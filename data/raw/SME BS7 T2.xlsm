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BA BS7,8\"/>
    </mc:Choice>
  </mc:AlternateContent>
  <xr:revisionPtr revIDLastSave="0" documentId="13_ncr:1_{1044EFEF-97A5-4A99-BBA5-47971B44A813}" xr6:coauthVersionLast="47" xr6:coauthVersionMax="47" xr10:uidLastSave="{00000000-0000-0000-0000-000000000000}"/>
  <bookViews>
    <workbookView xWindow="-120" yWindow="-120" windowWidth="20730" windowHeight="11040" tabRatio="881" firstSheet="5" activeTab="5" xr2:uid="{00000000-000D-0000-FFFF-FFFF00000000}"/>
  </bookViews>
  <sheets>
    <sheet name="Dashboard" sheetId="19" r:id="rId1"/>
    <sheet name="Conduct" sheetId="20" r:id="rId2"/>
    <sheet name="Interest Attitude" sheetId="21" r:id="rId3"/>
    <sheet name="Report Card Template" sheetId="1" r:id="rId4"/>
    <sheet name="Class Teachers" sheetId="5" r:id="rId5"/>
    <sheet name="Grades Summary" sheetId="2" r:id="rId6"/>
    <sheet name="Subjects" sheetId="3" r:id="rId7"/>
    <sheet name="General Remarks" sheetId="4" r:id="rId8"/>
    <sheet name="Teacher's Remarks" sheetId="10" r:id="rId9"/>
    <sheet name="Attendance" sheetId="11" r:id="rId10"/>
    <sheet name="Test 1" sheetId="12" r:id="rId11"/>
    <sheet name="Examscore" sheetId="7" r:id="rId12"/>
    <sheet name="Test 2" sheetId="14" r:id="rId13"/>
    <sheet name="Project Work" sheetId="15" r:id="rId14"/>
    <sheet name="Group Work" sheetId="16" r:id="rId15"/>
    <sheet name="ClassScore" sheetId="6" r:id="rId16"/>
    <sheet name="Student" sheetId="13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7" l="1"/>
  <c r="U2" i="7"/>
  <c r="M2" i="7"/>
  <c r="K40" i="6"/>
  <c r="O51" i="7"/>
  <c r="M51" i="7"/>
  <c r="AJ18" i="2"/>
  <c r="AL49" i="2"/>
  <c r="AK56" i="2"/>
  <c r="B45" i="7"/>
  <c r="B34" i="7"/>
  <c r="B37" i="7"/>
  <c r="B52" i="7"/>
  <c r="A7" i="12"/>
  <c r="D2" i="6"/>
  <c r="C2" i="6"/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7" i="2"/>
  <c r="AK58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60" i="2"/>
  <c r="AJ61" i="2"/>
  <c r="AJ62" i="2"/>
  <c r="AJ63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2" i="2"/>
  <c r="CD99" i="2"/>
  <c r="CE99" i="2"/>
  <c r="CF99" i="2"/>
  <c r="CG99" i="2"/>
  <c r="CH99" i="2"/>
  <c r="CI99" i="2"/>
  <c r="CJ99" i="2"/>
  <c r="CK99" i="2"/>
  <c r="CL99" i="2"/>
  <c r="CM99" i="2"/>
  <c r="CD100" i="2"/>
  <c r="CE100" i="2"/>
  <c r="CF100" i="2"/>
  <c r="CG100" i="2"/>
  <c r="CH100" i="2"/>
  <c r="CI100" i="2"/>
  <c r="CJ100" i="2"/>
  <c r="CK100" i="2"/>
  <c r="CL100" i="2"/>
  <c r="CM100" i="2"/>
  <c r="CD101" i="2"/>
  <c r="CE101" i="2"/>
  <c r="CF101" i="2"/>
  <c r="CG101" i="2"/>
  <c r="CH101" i="2"/>
  <c r="CI101" i="2"/>
  <c r="CJ101" i="2"/>
  <c r="CK101" i="2"/>
  <c r="CL101" i="2"/>
  <c r="CM101" i="2"/>
  <c r="CD102" i="2"/>
  <c r="CE102" i="2"/>
  <c r="CF102" i="2"/>
  <c r="CG102" i="2"/>
  <c r="CH102" i="2"/>
  <c r="CI102" i="2"/>
  <c r="CJ102" i="2"/>
  <c r="CK102" i="2"/>
  <c r="CL102" i="2"/>
  <c r="CM102" i="2"/>
  <c r="CD103" i="2"/>
  <c r="CE103" i="2"/>
  <c r="CF103" i="2"/>
  <c r="CG103" i="2"/>
  <c r="CH103" i="2"/>
  <c r="CI103" i="2"/>
  <c r="CJ103" i="2"/>
  <c r="CK103" i="2"/>
  <c r="CL103" i="2"/>
  <c r="CM103" i="2"/>
  <c r="CD104" i="2"/>
  <c r="CE104" i="2"/>
  <c r="CF104" i="2"/>
  <c r="CG104" i="2"/>
  <c r="CH104" i="2"/>
  <c r="CI104" i="2"/>
  <c r="CJ104" i="2"/>
  <c r="CK104" i="2"/>
  <c r="CL104" i="2"/>
  <c r="CM104" i="2"/>
  <c r="CD105" i="2"/>
  <c r="CE105" i="2"/>
  <c r="CF105" i="2"/>
  <c r="CG105" i="2"/>
  <c r="CH105" i="2"/>
  <c r="CI105" i="2"/>
  <c r="CJ105" i="2"/>
  <c r="CK105" i="2"/>
  <c r="CL105" i="2"/>
  <c r="CM105" i="2"/>
  <c r="CD106" i="2"/>
  <c r="CE106" i="2"/>
  <c r="CF106" i="2"/>
  <c r="CG106" i="2"/>
  <c r="CH106" i="2"/>
  <c r="CI106" i="2"/>
  <c r="CJ106" i="2"/>
  <c r="CK106" i="2"/>
  <c r="CL106" i="2"/>
  <c r="CM106" i="2"/>
  <c r="CD107" i="2"/>
  <c r="CE107" i="2"/>
  <c r="CF107" i="2"/>
  <c r="CG107" i="2"/>
  <c r="CH107" i="2"/>
  <c r="CI107" i="2"/>
  <c r="CJ107" i="2"/>
  <c r="CK107" i="2"/>
  <c r="CL107" i="2"/>
  <c r="CM107" i="2"/>
  <c r="CD108" i="2"/>
  <c r="CE108" i="2"/>
  <c r="CF108" i="2"/>
  <c r="CG108" i="2"/>
  <c r="CH108" i="2"/>
  <c r="CI108" i="2"/>
  <c r="CJ108" i="2"/>
  <c r="CK108" i="2"/>
  <c r="CL108" i="2"/>
  <c r="CM108" i="2"/>
  <c r="CD109" i="2"/>
  <c r="CE109" i="2"/>
  <c r="CF109" i="2"/>
  <c r="CG109" i="2"/>
  <c r="CH109" i="2"/>
  <c r="CI109" i="2"/>
  <c r="CJ109" i="2"/>
  <c r="CK109" i="2"/>
  <c r="CL109" i="2"/>
  <c r="CM109" i="2"/>
  <c r="CD110" i="2"/>
  <c r="CE110" i="2"/>
  <c r="CF110" i="2"/>
  <c r="CG110" i="2"/>
  <c r="CH110" i="2"/>
  <c r="CI110" i="2"/>
  <c r="CJ110" i="2"/>
  <c r="CK110" i="2"/>
  <c r="CL110" i="2"/>
  <c r="CM110" i="2"/>
  <c r="CD111" i="2"/>
  <c r="CE111" i="2"/>
  <c r="CF111" i="2"/>
  <c r="CG111" i="2"/>
  <c r="CH111" i="2"/>
  <c r="CI111" i="2"/>
  <c r="CJ111" i="2"/>
  <c r="CK111" i="2"/>
  <c r="CL111" i="2"/>
  <c r="CM111" i="2"/>
  <c r="CD112" i="2"/>
  <c r="CE112" i="2"/>
  <c r="CF112" i="2"/>
  <c r="CG112" i="2"/>
  <c r="CH112" i="2"/>
  <c r="CI112" i="2"/>
  <c r="CJ112" i="2"/>
  <c r="CK112" i="2"/>
  <c r="CL112" i="2"/>
  <c r="CM112" i="2"/>
  <c r="CD113" i="2"/>
  <c r="CE113" i="2"/>
  <c r="CF113" i="2"/>
  <c r="CG113" i="2"/>
  <c r="CH113" i="2"/>
  <c r="CI113" i="2"/>
  <c r="CJ113" i="2"/>
  <c r="CK113" i="2"/>
  <c r="CL113" i="2"/>
  <c r="CM113" i="2"/>
  <c r="CD114" i="2"/>
  <c r="CE114" i="2"/>
  <c r="CF114" i="2"/>
  <c r="CG114" i="2"/>
  <c r="CH114" i="2"/>
  <c r="CI114" i="2"/>
  <c r="CJ114" i="2"/>
  <c r="CK114" i="2"/>
  <c r="CL114" i="2"/>
  <c r="CM114" i="2"/>
  <c r="CD115" i="2"/>
  <c r="CE115" i="2"/>
  <c r="CF115" i="2"/>
  <c r="CG115" i="2"/>
  <c r="CH115" i="2"/>
  <c r="CI115" i="2"/>
  <c r="CJ115" i="2"/>
  <c r="CK115" i="2"/>
  <c r="CL115" i="2"/>
  <c r="CM115" i="2"/>
  <c r="CD116" i="2"/>
  <c r="CE116" i="2"/>
  <c r="CF116" i="2"/>
  <c r="CG116" i="2"/>
  <c r="CH116" i="2"/>
  <c r="CI116" i="2"/>
  <c r="CJ116" i="2"/>
  <c r="CK116" i="2"/>
  <c r="CL116" i="2"/>
  <c r="CM116" i="2"/>
  <c r="CD117" i="2"/>
  <c r="CE117" i="2"/>
  <c r="CF117" i="2"/>
  <c r="CG117" i="2"/>
  <c r="CH117" i="2"/>
  <c r="CI117" i="2"/>
  <c r="CJ117" i="2"/>
  <c r="CK117" i="2"/>
  <c r="CL117" i="2"/>
  <c r="CM117" i="2"/>
  <c r="CE1" i="2"/>
  <c r="CF1" i="2"/>
  <c r="CG1" i="2"/>
  <c r="CH1" i="2"/>
  <c r="CI1" i="2"/>
  <c r="CJ1" i="2"/>
  <c r="CK1" i="2"/>
  <c r="CL1" i="2"/>
  <c r="CM1" i="2"/>
  <c r="CD1" i="2"/>
  <c r="BS99" i="2"/>
  <c r="BT99" i="2"/>
  <c r="BU99" i="2"/>
  <c r="BV99" i="2"/>
  <c r="BW99" i="2"/>
  <c r="BX99" i="2"/>
  <c r="BY99" i="2"/>
  <c r="BZ99" i="2"/>
  <c r="CA99" i="2"/>
  <c r="CB99" i="2"/>
  <c r="BS100" i="2"/>
  <c r="BT100" i="2"/>
  <c r="BU100" i="2"/>
  <c r="BV100" i="2"/>
  <c r="BW100" i="2"/>
  <c r="BX100" i="2"/>
  <c r="BY100" i="2"/>
  <c r="BZ100" i="2"/>
  <c r="CA100" i="2"/>
  <c r="CB100" i="2"/>
  <c r="BS101" i="2"/>
  <c r="BT101" i="2"/>
  <c r="BU101" i="2"/>
  <c r="BV101" i="2"/>
  <c r="BW101" i="2"/>
  <c r="BX101" i="2"/>
  <c r="BY101" i="2"/>
  <c r="BZ101" i="2"/>
  <c r="CA101" i="2"/>
  <c r="CB101" i="2"/>
  <c r="BS102" i="2"/>
  <c r="BT102" i="2"/>
  <c r="BU102" i="2"/>
  <c r="BV102" i="2"/>
  <c r="BW102" i="2"/>
  <c r="BX102" i="2"/>
  <c r="BY102" i="2"/>
  <c r="BZ102" i="2"/>
  <c r="CA102" i="2"/>
  <c r="CB102" i="2"/>
  <c r="BS103" i="2"/>
  <c r="BT103" i="2"/>
  <c r="BU103" i="2"/>
  <c r="BV103" i="2"/>
  <c r="BW103" i="2"/>
  <c r="BX103" i="2"/>
  <c r="BY103" i="2"/>
  <c r="BZ103" i="2"/>
  <c r="CA103" i="2"/>
  <c r="CB103" i="2"/>
  <c r="BS104" i="2"/>
  <c r="BT104" i="2"/>
  <c r="BU104" i="2"/>
  <c r="BV104" i="2"/>
  <c r="BW104" i="2"/>
  <c r="BX104" i="2"/>
  <c r="BY104" i="2"/>
  <c r="BZ104" i="2"/>
  <c r="CA104" i="2"/>
  <c r="CB104" i="2"/>
  <c r="BS105" i="2"/>
  <c r="BT105" i="2"/>
  <c r="BU105" i="2"/>
  <c r="BV105" i="2"/>
  <c r="BW105" i="2"/>
  <c r="BX105" i="2"/>
  <c r="BY105" i="2"/>
  <c r="BZ105" i="2"/>
  <c r="CA105" i="2"/>
  <c r="CB105" i="2"/>
  <c r="BS106" i="2"/>
  <c r="BT106" i="2"/>
  <c r="BU106" i="2"/>
  <c r="BV106" i="2"/>
  <c r="BW106" i="2"/>
  <c r="BX106" i="2"/>
  <c r="BY106" i="2"/>
  <c r="BZ106" i="2"/>
  <c r="CA106" i="2"/>
  <c r="CB106" i="2"/>
  <c r="BS107" i="2"/>
  <c r="BT107" i="2"/>
  <c r="BU107" i="2"/>
  <c r="BV107" i="2"/>
  <c r="BW107" i="2"/>
  <c r="BX107" i="2"/>
  <c r="BY107" i="2"/>
  <c r="BZ107" i="2"/>
  <c r="CA107" i="2"/>
  <c r="CB107" i="2"/>
  <c r="BS108" i="2"/>
  <c r="BT108" i="2"/>
  <c r="BU108" i="2"/>
  <c r="BV108" i="2"/>
  <c r="BW108" i="2"/>
  <c r="BX108" i="2"/>
  <c r="BY108" i="2"/>
  <c r="BZ108" i="2"/>
  <c r="CA108" i="2"/>
  <c r="CB108" i="2"/>
  <c r="BS109" i="2"/>
  <c r="BT109" i="2"/>
  <c r="BU109" i="2"/>
  <c r="BV109" i="2"/>
  <c r="BW109" i="2"/>
  <c r="BX109" i="2"/>
  <c r="BY109" i="2"/>
  <c r="BZ109" i="2"/>
  <c r="CA109" i="2"/>
  <c r="CB109" i="2"/>
  <c r="BS110" i="2"/>
  <c r="BT110" i="2"/>
  <c r="BU110" i="2"/>
  <c r="BV110" i="2"/>
  <c r="BW110" i="2"/>
  <c r="BX110" i="2"/>
  <c r="BY110" i="2"/>
  <c r="BZ110" i="2"/>
  <c r="CA110" i="2"/>
  <c r="CB110" i="2"/>
  <c r="BS111" i="2"/>
  <c r="BT111" i="2"/>
  <c r="BU111" i="2"/>
  <c r="BV111" i="2"/>
  <c r="BW111" i="2"/>
  <c r="BX111" i="2"/>
  <c r="BY111" i="2"/>
  <c r="BZ111" i="2"/>
  <c r="CA111" i="2"/>
  <c r="CB111" i="2"/>
  <c r="BS112" i="2"/>
  <c r="BT112" i="2"/>
  <c r="BU112" i="2"/>
  <c r="BV112" i="2"/>
  <c r="BW112" i="2"/>
  <c r="BX112" i="2"/>
  <c r="BY112" i="2"/>
  <c r="BZ112" i="2"/>
  <c r="CA112" i="2"/>
  <c r="CB112" i="2"/>
  <c r="BS113" i="2"/>
  <c r="BT113" i="2"/>
  <c r="BU113" i="2"/>
  <c r="BV113" i="2"/>
  <c r="BW113" i="2"/>
  <c r="BX113" i="2"/>
  <c r="BY113" i="2"/>
  <c r="BZ113" i="2"/>
  <c r="CA113" i="2"/>
  <c r="CB113" i="2"/>
  <c r="BS114" i="2"/>
  <c r="BT114" i="2"/>
  <c r="BU114" i="2"/>
  <c r="BV114" i="2"/>
  <c r="BW114" i="2"/>
  <c r="BX114" i="2"/>
  <c r="BY114" i="2"/>
  <c r="BZ114" i="2"/>
  <c r="CA114" i="2"/>
  <c r="CB114" i="2"/>
  <c r="BS115" i="2"/>
  <c r="BT115" i="2"/>
  <c r="BU115" i="2"/>
  <c r="BV115" i="2"/>
  <c r="BW115" i="2"/>
  <c r="BX115" i="2"/>
  <c r="BY115" i="2"/>
  <c r="BZ115" i="2"/>
  <c r="CA115" i="2"/>
  <c r="CB115" i="2"/>
  <c r="BS116" i="2"/>
  <c r="BT116" i="2"/>
  <c r="BU116" i="2"/>
  <c r="BV116" i="2"/>
  <c r="BW116" i="2"/>
  <c r="BX116" i="2"/>
  <c r="BY116" i="2"/>
  <c r="BZ116" i="2"/>
  <c r="CA116" i="2"/>
  <c r="CB116" i="2"/>
  <c r="BS117" i="2"/>
  <c r="BT117" i="2"/>
  <c r="BU117" i="2"/>
  <c r="BV117" i="2"/>
  <c r="BW117" i="2"/>
  <c r="BX117" i="2"/>
  <c r="BY117" i="2"/>
  <c r="BZ117" i="2"/>
  <c r="CA117" i="2"/>
  <c r="CB117" i="2"/>
  <c r="BT1" i="2"/>
  <c r="BU1" i="2"/>
  <c r="BV1" i="2"/>
  <c r="BW1" i="2"/>
  <c r="BX1" i="2"/>
  <c r="BY1" i="2"/>
  <c r="BZ1" i="2"/>
  <c r="CA1" i="2"/>
  <c r="CB1" i="2"/>
  <c r="BS1" i="2"/>
  <c r="BL1" i="2"/>
  <c r="BJ1" i="2"/>
  <c r="BH1" i="2"/>
  <c r="BF1" i="2"/>
  <c r="BD1" i="2"/>
  <c r="BB1" i="2"/>
  <c r="AZ1" i="2"/>
  <c r="AX1" i="2"/>
  <c r="AV1" i="2"/>
  <c r="AT1" i="2"/>
  <c r="C99" i="2"/>
  <c r="D99" i="2"/>
  <c r="E99" i="2"/>
  <c r="F99" i="2"/>
  <c r="G99" i="2"/>
  <c r="H99" i="2"/>
  <c r="I99" i="2"/>
  <c r="J99" i="2"/>
  <c r="K99" i="2"/>
  <c r="L99" i="2"/>
  <c r="C100" i="2"/>
  <c r="D100" i="2"/>
  <c r="E100" i="2"/>
  <c r="F100" i="2"/>
  <c r="G100" i="2"/>
  <c r="H100" i="2"/>
  <c r="I100" i="2"/>
  <c r="J100" i="2"/>
  <c r="K100" i="2"/>
  <c r="L100" i="2"/>
  <c r="C101" i="2"/>
  <c r="D101" i="2"/>
  <c r="E101" i="2"/>
  <c r="F101" i="2"/>
  <c r="G101" i="2"/>
  <c r="H101" i="2"/>
  <c r="I101" i="2"/>
  <c r="J101" i="2"/>
  <c r="K101" i="2"/>
  <c r="L101" i="2"/>
  <c r="C102" i="2"/>
  <c r="D102" i="2"/>
  <c r="N102" i="2" s="1"/>
  <c r="E102" i="2"/>
  <c r="F102" i="2"/>
  <c r="G102" i="2"/>
  <c r="AA102" i="2" s="1"/>
  <c r="H102" i="2"/>
  <c r="I102" i="2"/>
  <c r="J102" i="2"/>
  <c r="K102" i="2"/>
  <c r="L102" i="2"/>
  <c r="C103" i="2"/>
  <c r="D103" i="2"/>
  <c r="E103" i="2"/>
  <c r="F103" i="2"/>
  <c r="G103" i="2"/>
  <c r="H103" i="2"/>
  <c r="I103" i="2"/>
  <c r="J103" i="2"/>
  <c r="K103" i="2"/>
  <c r="L103" i="2"/>
  <c r="C104" i="2"/>
  <c r="D104" i="2"/>
  <c r="E104" i="2"/>
  <c r="F104" i="2"/>
  <c r="G104" i="2"/>
  <c r="H104" i="2"/>
  <c r="I104" i="2"/>
  <c r="J104" i="2"/>
  <c r="K104" i="2"/>
  <c r="L104" i="2"/>
  <c r="C105" i="2"/>
  <c r="D105" i="2"/>
  <c r="E105" i="2"/>
  <c r="F105" i="2"/>
  <c r="G105" i="2"/>
  <c r="H105" i="2"/>
  <c r="I105" i="2"/>
  <c r="J105" i="2"/>
  <c r="K105" i="2"/>
  <c r="L105" i="2"/>
  <c r="C106" i="2"/>
  <c r="D106" i="2"/>
  <c r="E106" i="2"/>
  <c r="F106" i="2"/>
  <c r="G106" i="2"/>
  <c r="H106" i="2"/>
  <c r="I106" i="2"/>
  <c r="J106" i="2"/>
  <c r="K106" i="2"/>
  <c r="L106" i="2"/>
  <c r="C107" i="2"/>
  <c r="D107" i="2"/>
  <c r="E107" i="2"/>
  <c r="F107" i="2"/>
  <c r="G107" i="2"/>
  <c r="H107" i="2"/>
  <c r="I107" i="2"/>
  <c r="J107" i="2"/>
  <c r="K107" i="2"/>
  <c r="L107" i="2"/>
  <c r="C108" i="2"/>
  <c r="D108" i="2"/>
  <c r="E108" i="2"/>
  <c r="O108" i="2" s="1"/>
  <c r="F108" i="2"/>
  <c r="G108" i="2"/>
  <c r="H108" i="2"/>
  <c r="I108" i="2"/>
  <c r="J108" i="2"/>
  <c r="K108" i="2"/>
  <c r="L108" i="2"/>
  <c r="C109" i="2"/>
  <c r="D109" i="2"/>
  <c r="E109" i="2"/>
  <c r="F109" i="2"/>
  <c r="G109" i="2"/>
  <c r="H109" i="2"/>
  <c r="I109" i="2"/>
  <c r="J109" i="2"/>
  <c r="K109" i="2"/>
  <c r="L109" i="2"/>
  <c r="C110" i="2"/>
  <c r="D110" i="2"/>
  <c r="E110" i="2"/>
  <c r="F110" i="2"/>
  <c r="G110" i="2"/>
  <c r="H110" i="2"/>
  <c r="I110" i="2"/>
  <c r="J110" i="2"/>
  <c r="K110" i="2"/>
  <c r="L110" i="2"/>
  <c r="C111" i="2"/>
  <c r="D111" i="2"/>
  <c r="E111" i="2"/>
  <c r="F111" i="2"/>
  <c r="G111" i="2"/>
  <c r="Q111" i="2" s="1"/>
  <c r="H111" i="2"/>
  <c r="I111" i="2"/>
  <c r="J111" i="2"/>
  <c r="K111" i="2"/>
  <c r="L111" i="2"/>
  <c r="C112" i="2"/>
  <c r="D112" i="2"/>
  <c r="E112" i="2"/>
  <c r="F112" i="2"/>
  <c r="G112" i="2"/>
  <c r="H112" i="2"/>
  <c r="I112" i="2"/>
  <c r="J112" i="2"/>
  <c r="K112" i="2"/>
  <c r="L112" i="2"/>
  <c r="C113" i="2"/>
  <c r="D113" i="2"/>
  <c r="E113" i="2"/>
  <c r="F113" i="2"/>
  <c r="G113" i="2"/>
  <c r="H113" i="2"/>
  <c r="I113" i="2"/>
  <c r="J113" i="2"/>
  <c r="K113" i="2"/>
  <c r="L113" i="2"/>
  <c r="C114" i="2"/>
  <c r="D114" i="2"/>
  <c r="E114" i="2"/>
  <c r="F114" i="2"/>
  <c r="G114" i="2"/>
  <c r="H114" i="2"/>
  <c r="I114" i="2"/>
  <c r="S114" i="2" s="1"/>
  <c r="J114" i="2"/>
  <c r="K114" i="2"/>
  <c r="L114" i="2"/>
  <c r="C115" i="2"/>
  <c r="D115" i="2"/>
  <c r="E115" i="2"/>
  <c r="Y115" i="2" s="1"/>
  <c r="F115" i="2"/>
  <c r="G115" i="2"/>
  <c r="H115" i="2"/>
  <c r="I115" i="2"/>
  <c r="J115" i="2"/>
  <c r="K115" i="2"/>
  <c r="L115" i="2"/>
  <c r="C116" i="2"/>
  <c r="D116" i="2"/>
  <c r="E116" i="2"/>
  <c r="O116" i="2" s="1"/>
  <c r="F116" i="2"/>
  <c r="G116" i="2"/>
  <c r="H116" i="2"/>
  <c r="I116" i="2"/>
  <c r="J116" i="2"/>
  <c r="K116" i="2"/>
  <c r="L116" i="2"/>
  <c r="C117" i="2"/>
  <c r="D117" i="2"/>
  <c r="E117" i="2"/>
  <c r="F117" i="2"/>
  <c r="G117" i="2"/>
  <c r="H117" i="2"/>
  <c r="I117" i="2"/>
  <c r="J117" i="2"/>
  <c r="K117" i="2"/>
  <c r="U117" i="2" s="1"/>
  <c r="L117" i="2"/>
  <c r="C3" i="6"/>
  <c r="M3" i="6" s="1"/>
  <c r="BS3" i="2" s="1"/>
  <c r="D3" i="6"/>
  <c r="N3" i="6" s="1"/>
  <c r="BT3" i="2" s="1"/>
  <c r="E3" i="6"/>
  <c r="O3" i="6" s="1"/>
  <c r="BU3" i="2" s="1"/>
  <c r="F3" i="6"/>
  <c r="P3" i="6" s="1"/>
  <c r="BV3" i="2" s="1"/>
  <c r="G3" i="6"/>
  <c r="Q3" i="6" s="1"/>
  <c r="BW3" i="2" s="1"/>
  <c r="H3" i="6"/>
  <c r="R3" i="6" s="1"/>
  <c r="BX3" i="2" s="1"/>
  <c r="I3" i="6"/>
  <c r="S3" i="6" s="1"/>
  <c r="BY3" i="2" s="1"/>
  <c r="J3" i="6"/>
  <c r="T3" i="6" s="1"/>
  <c r="BZ3" i="2" s="1"/>
  <c r="K3" i="6"/>
  <c r="U3" i="6" s="1"/>
  <c r="CA3" i="2" s="1"/>
  <c r="L3" i="6"/>
  <c r="V3" i="6" s="1"/>
  <c r="CB3" i="2" s="1"/>
  <c r="C4" i="6"/>
  <c r="M4" i="6" s="1"/>
  <c r="BS4" i="2" s="1"/>
  <c r="D4" i="6"/>
  <c r="N4" i="6" s="1"/>
  <c r="BT4" i="2" s="1"/>
  <c r="E4" i="6"/>
  <c r="O4" i="6" s="1"/>
  <c r="BU4" i="2" s="1"/>
  <c r="F4" i="6"/>
  <c r="P4" i="6" s="1"/>
  <c r="BV4" i="2" s="1"/>
  <c r="G4" i="6"/>
  <c r="Q4" i="6" s="1"/>
  <c r="BW4" i="2" s="1"/>
  <c r="H4" i="6"/>
  <c r="R4" i="6" s="1"/>
  <c r="BX4" i="2" s="1"/>
  <c r="I4" i="6"/>
  <c r="S4" i="6" s="1"/>
  <c r="BY4" i="2" s="1"/>
  <c r="J4" i="6"/>
  <c r="T4" i="6" s="1"/>
  <c r="BZ4" i="2" s="1"/>
  <c r="K4" i="6"/>
  <c r="U4" i="6" s="1"/>
  <c r="CA4" i="2" s="1"/>
  <c r="L4" i="6"/>
  <c r="V4" i="6" s="1"/>
  <c r="CB4" i="2" s="1"/>
  <c r="C5" i="6"/>
  <c r="M5" i="6" s="1"/>
  <c r="BS5" i="2" s="1"/>
  <c r="D5" i="6"/>
  <c r="N5" i="6" s="1"/>
  <c r="BT5" i="2" s="1"/>
  <c r="E5" i="6"/>
  <c r="O5" i="6" s="1"/>
  <c r="BU5" i="2" s="1"/>
  <c r="F5" i="6"/>
  <c r="P5" i="6" s="1"/>
  <c r="BV5" i="2" s="1"/>
  <c r="G5" i="6"/>
  <c r="Q5" i="6" s="1"/>
  <c r="BW5" i="2" s="1"/>
  <c r="H5" i="6"/>
  <c r="R5" i="6" s="1"/>
  <c r="BX5" i="2" s="1"/>
  <c r="I5" i="6"/>
  <c r="S5" i="6" s="1"/>
  <c r="BY5" i="2" s="1"/>
  <c r="J5" i="6"/>
  <c r="T5" i="6" s="1"/>
  <c r="BZ5" i="2" s="1"/>
  <c r="K5" i="6"/>
  <c r="U5" i="6" s="1"/>
  <c r="CA5" i="2" s="1"/>
  <c r="L5" i="6"/>
  <c r="V5" i="6" s="1"/>
  <c r="CB5" i="2" s="1"/>
  <c r="C6" i="6"/>
  <c r="M6" i="6" s="1"/>
  <c r="BS6" i="2" s="1"/>
  <c r="D6" i="6"/>
  <c r="N6" i="6" s="1"/>
  <c r="BT6" i="2" s="1"/>
  <c r="E6" i="6"/>
  <c r="O6" i="6" s="1"/>
  <c r="BU6" i="2" s="1"/>
  <c r="F6" i="6"/>
  <c r="P6" i="6" s="1"/>
  <c r="BV6" i="2" s="1"/>
  <c r="G6" i="6"/>
  <c r="Q6" i="6" s="1"/>
  <c r="BW6" i="2" s="1"/>
  <c r="H6" i="6"/>
  <c r="R6" i="6" s="1"/>
  <c r="BX6" i="2" s="1"/>
  <c r="I6" i="6"/>
  <c r="S6" i="6" s="1"/>
  <c r="BY6" i="2" s="1"/>
  <c r="J6" i="6"/>
  <c r="T6" i="6" s="1"/>
  <c r="BZ6" i="2" s="1"/>
  <c r="K6" i="6"/>
  <c r="U6" i="6" s="1"/>
  <c r="CA6" i="2" s="1"/>
  <c r="L6" i="6"/>
  <c r="V6" i="6" s="1"/>
  <c r="CB6" i="2" s="1"/>
  <c r="C7" i="6"/>
  <c r="M7" i="6" s="1"/>
  <c r="BS7" i="2" s="1"/>
  <c r="D7" i="6"/>
  <c r="N7" i="6" s="1"/>
  <c r="BT7" i="2" s="1"/>
  <c r="E7" i="6"/>
  <c r="O7" i="6" s="1"/>
  <c r="BU7" i="2" s="1"/>
  <c r="F7" i="6"/>
  <c r="P7" i="6" s="1"/>
  <c r="BV7" i="2" s="1"/>
  <c r="G7" i="6"/>
  <c r="Q7" i="6" s="1"/>
  <c r="BW7" i="2" s="1"/>
  <c r="H7" i="6"/>
  <c r="R7" i="6" s="1"/>
  <c r="BX7" i="2" s="1"/>
  <c r="I7" i="6"/>
  <c r="S7" i="6" s="1"/>
  <c r="BY7" i="2" s="1"/>
  <c r="J7" i="6"/>
  <c r="T7" i="6" s="1"/>
  <c r="BZ7" i="2" s="1"/>
  <c r="K7" i="6"/>
  <c r="U7" i="6" s="1"/>
  <c r="CA7" i="2" s="1"/>
  <c r="L7" i="6"/>
  <c r="V7" i="6" s="1"/>
  <c r="CB7" i="2" s="1"/>
  <c r="C8" i="6"/>
  <c r="M8" i="6" s="1"/>
  <c r="BS8" i="2" s="1"/>
  <c r="D8" i="6"/>
  <c r="N8" i="6" s="1"/>
  <c r="BT8" i="2" s="1"/>
  <c r="E8" i="6"/>
  <c r="O8" i="6" s="1"/>
  <c r="BU8" i="2" s="1"/>
  <c r="F8" i="6"/>
  <c r="P8" i="6" s="1"/>
  <c r="BV8" i="2" s="1"/>
  <c r="G8" i="6"/>
  <c r="Q8" i="6" s="1"/>
  <c r="BW8" i="2" s="1"/>
  <c r="H8" i="6"/>
  <c r="R8" i="6" s="1"/>
  <c r="BX8" i="2" s="1"/>
  <c r="I8" i="6"/>
  <c r="S8" i="6" s="1"/>
  <c r="BY8" i="2" s="1"/>
  <c r="J8" i="6"/>
  <c r="T8" i="6" s="1"/>
  <c r="BZ8" i="2" s="1"/>
  <c r="K8" i="6"/>
  <c r="U8" i="6" s="1"/>
  <c r="CA8" i="2" s="1"/>
  <c r="L8" i="6"/>
  <c r="V8" i="6" s="1"/>
  <c r="CB8" i="2" s="1"/>
  <c r="C9" i="6"/>
  <c r="M9" i="6" s="1"/>
  <c r="BS9" i="2" s="1"/>
  <c r="D9" i="6"/>
  <c r="N9" i="6" s="1"/>
  <c r="BT9" i="2" s="1"/>
  <c r="E9" i="6"/>
  <c r="O9" i="6" s="1"/>
  <c r="BU9" i="2" s="1"/>
  <c r="F9" i="6"/>
  <c r="P9" i="6" s="1"/>
  <c r="BV9" i="2" s="1"/>
  <c r="G9" i="6"/>
  <c r="Q9" i="6" s="1"/>
  <c r="BW9" i="2" s="1"/>
  <c r="H9" i="6"/>
  <c r="R9" i="6" s="1"/>
  <c r="BX9" i="2" s="1"/>
  <c r="I9" i="6"/>
  <c r="S9" i="6" s="1"/>
  <c r="BY9" i="2" s="1"/>
  <c r="J9" i="6"/>
  <c r="T9" i="6" s="1"/>
  <c r="BZ9" i="2" s="1"/>
  <c r="K9" i="6"/>
  <c r="U9" i="6" s="1"/>
  <c r="CA9" i="2" s="1"/>
  <c r="L9" i="6"/>
  <c r="V9" i="6" s="1"/>
  <c r="CB9" i="2" s="1"/>
  <c r="C10" i="6"/>
  <c r="M10" i="6" s="1"/>
  <c r="BS10" i="2" s="1"/>
  <c r="D10" i="6"/>
  <c r="N10" i="6" s="1"/>
  <c r="BT10" i="2" s="1"/>
  <c r="E10" i="6"/>
  <c r="O10" i="6" s="1"/>
  <c r="BU10" i="2" s="1"/>
  <c r="F10" i="6"/>
  <c r="P10" i="6" s="1"/>
  <c r="BV10" i="2" s="1"/>
  <c r="G10" i="6"/>
  <c r="Q10" i="6" s="1"/>
  <c r="BW10" i="2" s="1"/>
  <c r="H10" i="6"/>
  <c r="R10" i="6" s="1"/>
  <c r="BX10" i="2" s="1"/>
  <c r="I10" i="6"/>
  <c r="S10" i="6" s="1"/>
  <c r="BY10" i="2" s="1"/>
  <c r="J10" i="6"/>
  <c r="T10" i="6" s="1"/>
  <c r="BZ10" i="2" s="1"/>
  <c r="K10" i="6"/>
  <c r="U10" i="6" s="1"/>
  <c r="CA10" i="2" s="1"/>
  <c r="L10" i="6"/>
  <c r="V10" i="6" s="1"/>
  <c r="CB10" i="2" s="1"/>
  <c r="C11" i="6"/>
  <c r="M11" i="6" s="1"/>
  <c r="BS11" i="2" s="1"/>
  <c r="D11" i="6"/>
  <c r="N11" i="6" s="1"/>
  <c r="BT11" i="2" s="1"/>
  <c r="E11" i="6"/>
  <c r="O11" i="6" s="1"/>
  <c r="BU11" i="2" s="1"/>
  <c r="F11" i="6"/>
  <c r="P11" i="6" s="1"/>
  <c r="BV11" i="2" s="1"/>
  <c r="G11" i="6"/>
  <c r="Q11" i="6" s="1"/>
  <c r="BW11" i="2" s="1"/>
  <c r="H11" i="6"/>
  <c r="R11" i="6" s="1"/>
  <c r="BX11" i="2" s="1"/>
  <c r="I11" i="6"/>
  <c r="S11" i="6" s="1"/>
  <c r="BY11" i="2" s="1"/>
  <c r="J11" i="6"/>
  <c r="T11" i="6" s="1"/>
  <c r="BZ11" i="2" s="1"/>
  <c r="K11" i="6"/>
  <c r="U11" i="6" s="1"/>
  <c r="CA11" i="2" s="1"/>
  <c r="L11" i="6"/>
  <c r="V11" i="6" s="1"/>
  <c r="CB11" i="2" s="1"/>
  <c r="C12" i="6"/>
  <c r="M12" i="6" s="1"/>
  <c r="BS12" i="2" s="1"/>
  <c r="D12" i="6"/>
  <c r="N12" i="6" s="1"/>
  <c r="BT12" i="2" s="1"/>
  <c r="E12" i="6"/>
  <c r="O12" i="6" s="1"/>
  <c r="BU12" i="2" s="1"/>
  <c r="F12" i="6"/>
  <c r="P12" i="6" s="1"/>
  <c r="BV12" i="2" s="1"/>
  <c r="G12" i="6"/>
  <c r="Q12" i="6" s="1"/>
  <c r="BW12" i="2" s="1"/>
  <c r="H12" i="6"/>
  <c r="R12" i="6" s="1"/>
  <c r="BX12" i="2" s="1"/>
  <c r="I12" i="6"/>
  <c r="S12" i="6" s="1"/>
  <c r="BY12" i="2" s="1"/>
  <c r="J12" i="6"/>
  <c r="T12" i="6" s="1"/>
  <c r="BZ12" i="2" s="1"/>
  <c r="K12" i="6"/>
  <c r="U12" i="6" s="1"/>
  <c r="CA12" i="2" s="1"/>
  <c r="L12" i="6"/>
  <c r="V12" i="6" s="1"/>
  <c r="CB12" i="2" s="1"/>
  <c r="C13" i="6"/>
  <c r="M13" i="6" s="1"/>
  <c r="BS13" i="2" s="1"/>
  <c r="D13" i="6"/>
  <c r="N13" i="6" s="1"/>
  <c r="BT13" i="2" s="1"/>
  <c r="E13" i="6"/>
  <c r="O13" i="6" s="1"/>
  <c r="BU13" i="2" s="1"/>
  <c r="F13" i="6"/>
  <c r="P13" i="6" s="1"/>
  <c r="BV13" i="2" s="1"/>
  <c r="G13" i="6"/>
  <c r="Q13" i="6" s="1"/>
  <c r="BW13" i="2" s="1"/>
  <c r="H13" i="6"/>
  <c r="R13" i="6" s="1"/>
  <c r="BX13" i="2" s="1"/>
  <c r="I13" i="6"/>
  <c r="S13" i="6" s="1"/>
  <c r="BY13" i="2" s="1"/>
  <c r="J13" i="6"/>
  <c r="T13" i="6" s="1"/>
  <c r="BZ13" i="2" s="1"/>
  <c r="K13" i="6"/>
  <c r="U13" i="6" s="1"/>
  <c r="CA13" i="2" s="1"/>
  <c r="L13" i="6"/>
  <c r="V13" i="6" s="1"/>
  <c r="CB13" i="2" s="1"/>
  <c r="C14" i="6"/>
  <c r="M14" i="6" s="1"/>
  <c r="BS14" i="2" s="1"/>
  <c r="D14" i="6"/>
  <c r="N14" i="6" s="1"/>
  <c r="BT14" i="2" s="1"/>
  <c r="E14" i="6"/>
  <c r="O14" i="6" s="1"/>
  <c r="BU14" i="2" s="1"/>
  <c r="F14" i="6"/>
  <c r="P14" i="6" s="1"/>
  <c r="BV14" i="2" s="1"/>
  <c r="G14" i="6"/>
  <c r="Q14" i="6" s="1"/>
  <c r="BW14" i="2" s="1"/>
  <c r="H14" i="6"/>
  <c r="R14" i="6" s="1"/>
  <c r="BX14" i="2" s="1"/>
  <c r="I14" i="6"/>
  <c r="S14" i="6" s="1"/>
  <c r="BY14" i="2" s="1"/>
  <c r="J14" i="6"/>
  <c r="T14" i="6" s="1"/>
  <c r="BZ14" i="2" s="1"/>
  <c r="K14" i="6"/>
  <c r="U14" i="6" s="1"/>
  <c r="CA14" i="2" s="1"/>
  <c r="L14" i="6"/>
  <c r="V14" i="6" s="1"/>
  <c r="CB14" i="2" s="1"/>
  <c r="C15" i="6"/>
  <c r="M15" i="6" s="1"/>
  <c r="BS15" i="2" s="1"/>
  <c r="D15" i="6"/>
  <c r="N15" i="6" s="1"/>
  <c r="BT15" i="2" s="1"/>
  <c r="E15" i="6"/>
  <c r="O15" i="6" s="1"/>
  <c r="BU15" i="2" s="1"/>
  <c r="F15" i="6"/>
  <c r="P15" i="6" s="1"/>
  <c r="BV15" i="2" s="1"/>
  <c r="G15" i="6"/>
  <c r="Q15" i="6" s="1"/>
  <c r="BW15" i="2" s="1"/>
  <c r="H15" i="6"/>
  <c r="R15" i="6" s="1"/>
  <c r="BX15" i="2" s="1"/>
  <c r="I15" i="6"/>
  <c r="S15" i="6" s="1"/>
  <c r="BY15" i="2" s="1"/>
  <c r="J15" i="6"/>
  <c r="T15" i="6" s="1"/>
  <c r="BZ15" i="2" s="1"/>
  <c r="K15" i="6"/>
  <c r="U15" i="6" s="1"/>
  <c r="CA15" i="2" s="1"/>
  <c r="L15" i="6"/>
  <c r="V15" i="6" s="1"/>
  <c r="CB15" i="2" s="1"/>
  <c r="C16" i="6"/>
  <c r="M16" i="6" s="1"/>
  <c r="BS16" i="2" s="1"/>
  <c r="D16" i="6"/>
  <c r="N16" i="6" s="1"/>
  <c r="BT16" i="2" s="1"/>
  <c r="E16" i="6"/>
  <c r="O16" i="6" s="1"/>
  <c r="BU16" i="2" s="1"/>
  <c r="F16" i="6"/>
  <c r="P16" i="6" s="1"/>
  <c r="BV16" i="2" s="1"/>
  <c r="G16" i="6"/>
  <c r="Q16" i="6" s="1"/>
  <c r="BW16" i="2" s="1"/>
  <c r="H16" i="6"/>
  <c r="R16" i="6" s="1"/>
  <c r="BX16" i="2" s="1"/>
  <c r="I16" i="6"/>
  <c r="S16" i="6" s="1"/>
  <c r="BY16" i="2" s="1"/>
  <c r="J16" i="6"/>
  <c r="T16" i="6" s="1"/>
  <c r="BZ16" i="2" s="1"/>
  <c r="K16" i="6"/>
  <c r="U16" i="6" s="1"/>
  <c r="CA16" i="2" s="1"/>
  <c r="L16" i="6"/>
  <c r="V16" i="6" s="1"/>
  <c r="CB16" i="2" s="1"/>
  <c r="C17" i="6"/>
  <c r="M17" i="6" s="1"/>
  <c r="BS17" i="2" s="1"/>
  <c r="D17" i="6"/>
  <c r="N17" i="6" s="1"/>
  <c r="BT17" i="2" s="1"/>
  <c r="E17" i="6"/>
  <c r="O17" i="6" s="1"/>
  <c r="BU17" i="2" s="1"/>
  <c r="F17" i="6"/>
  <c r="P17" i="6" s="1"/>
  <c r="BV17" i="2" s="1"/>
  <c r="G17" i="6"/>
  <c r="Q17" i="6" s="1"/>
  <c r="BW17" i="2" s="1"/>
  <c r="H17" i="6"/>
  <c r="R17" i="6" s="1"/>
  <c r="BX17" i="2" s="1"/>
  <c r="I17" i="6"/>
  <c r="S17" i="6" s="1"/>
  <c r="BY17" i="2" s="1"/>
  <c r="J17" i="6"/>
  <c r="T17" i="6" s="1"/>
  <c r="BZ17" i="2" s="1"/>
  <c r="K17" i="6"/>
  <c r="U17" i="6" s="1"/>
  <c r="CA17" i="2" s="1"/>
  <c r="L17" i="6"/>
  <c r="V17" i="6" s="1"/>
  <c r="CB17" i="2" s="1"/>
  <c r="C18" i="6"/>
  <c r="M18" i="6" s="1"/>
  <c r="BS18" i="2" s="1"/>
  <c r="D18" i="6"/>
  <c r="N18" i="6" s="1"/>
  <c r="BT18" i="2" s="1"/>
  <c r="E18" i="6"/>
  <c r="O18" i="6" s="1"/>
  <c r="BU18" i="2" s="1"/>
  <c r="F18" i="6"/>
  <c r="P18" i="6" s="1"/>
  <c r="BV18" i="2" s="1"/>
  <c r="G18" i="6"/>
  <c r="Q18" i="6" s="1"/>
  <c r="BW18" i="2" s="1"/>
  <c r="H18" i="6"/>
  <c r="R18" i="6" s="1"/>
  <c r="BX18" i="2" s="1"/>
  <c r="I18" i="6"/>
  <c r="S18" i="6" s="1"/>
  <c r="BY18" i="2" s="1"/>
  <c r="J18" i="6"/>
  <c r="T18" i="6" s="1"/>
  <c r="BZ18" i="2" s="1"/>
  <c r="K18" i="6"/>
  <c r="U18" i="6" s="1"/>
  <c r="CA18" i="2" s="1"/>
  <c r="L18" i="6"/>
  <c r="V18" i="6" s="1"/>
  <c r="CB18" i="2" s="1"/>
  <c r="C19" i="6"/>
  <c r="M19" i="6" s="1"/>
  <c r="BS19" i="2" s="1"/>
  <c r="D19" i="6"/>
  <c r="N19" i="6" s="1"/>
  <c r="BT19" i="2" s="1"/>
  <c r="E19" i="6"/>
  <c r="O19" i="6" s="1"/>
  <c r="BU19" i="2" s="1"/>
  <c r="F19" i="6"/>
  <c r="P19" i="6" s="1"/>
  <c r="BV19" i="2" s="1"/>
  <c r="G19" i="6"/>
  <c r="Q19" i="6" s="1"/>
  <c r="BW19" i="2" s="1"/>
  <c r="H19" i="6"/>
  <c r="R19" i="6" s="1"/>
  <c r="BX19" i="2" s="1"/>
  <c r="I19" i="6"/>
  <c r="S19" i="6" s="1"/>
  <c r="BY19" i="2" s="1"/>
  <c r="J19" i="6"/>
  <c r="T19" i="6" s="1"/>
  <c r="BZ19" i="2" s="1"/>
  <c r="K19" i="6"/>
  <c r="U19" i="6" s="1"/>
  <c r="CA19" i="2" s="1"/>
  <c r="L19" i="6"/>
  <c r="V19" i="6" s="1"/>
  <c r="CB19" i="2" s="1"/>
  <c r="C20" i="6"/>
  <c r="M20" i="6" s="1"/>
  <c r="BS20" i="2" s="1"/>
  <c r="D20" i="6"/>
  <c r="N20" i="6" s="1"/>
  <c r="BT20" i="2" s="1"/>
  <c r="E20" i="6"/>
  <c r="O20" i="6" s="1"/>
  <c r="BU20" i="2" s="1"/>
  <c r="F20" i="6"/>
  <c r="P20" i="6" s="1"/>
  <c r="BV20" i="2" s="1"/>
  <c r="G20" i="6"/>
  <c r="Q20" i="6" s="1"/>
  <c r="BW20" i="2" s="1"/>
  <c r="H20" i="6"/>
  <c r="R20" i="6" s="1"/>
  <c r="BX20" i="2" s="1"/>
  <c r="I20" i="6"/>
  <c r="S20" i="6" s="1"/>
  <c r="BY20" i="2" s="1"/>
  <c r="J20" i="6"/>
  <c r="T20" i="6" s="1"/>
  <c r="BZ20" i="2" s="1"/>
  <c r="K20" i="6"/>
  <c r="U20" i="6" s="1"/>
  <c r="CA20" i="2" s="1"/>
  <c r="L20" i="6"/>
  <c r="V20" i="6" s="1"/>
  <c r="CB20" i="2" s="1"/>
  <c r="C21" i="6"/>
  <c r="M21" i="6" s="1"/>
  <c r="BS21" i="2" s="1"/>
  <c r="D21" i="6"/>
  <c r="N21" i="6" s="1"/>
  <c r="BT21" i="2" s="1"/>
  <c r="E21" i="6"/>
  <c r="O21" i="6" s="1"/>
  <c r="BU21" i="2" s="1"/>
  <c r="F21" i="6"/>
  <c r="P21" i="6" s="1"/>
  <c r="BV21" i="2" s="1"/>
  <c r="G21" i="6"/>
  <c r="Q21" i="6" s="1"/>
  <c r="BW21" i="2" s="1"/>
  <c r="H21" i="6"/>
  <c r="R21" i="6" s="1"/>
  <c r="BX21" i="2" s="1"/>
  <c r="I21" i="6"/>
  <c r="S21" i="6" s="1"/>
  <c r="BY21" i="2" s="1"/>
  <c r="J21" i="6"/>
  <c r="T21" i="6" s="1"/>
  <c r="BZ21" i="2" s="1"/>
  <c r="K21" i="6"/>
  <c r="U21" i="6" s="1"/>
  <c r="CA21" i="2" s="1"/>
  <c r="L21" i="6"/>
  <c r="V21" i="6" s="1"/>
  <c r="CB21" i="2" s="1"/>
  <c r="C22" i="6"/>
  <c r="M22" i="6" s="1"/>
  <c r="BS22" i="2" s="1"/>
  <c r="D22" i="6"/>
  <c r="N22" i="6" s="1"/>
  <c r="BT22" i="2" s="1"/>
  <c r="E22" i="6"/>
  <c r="O22" i="6" s="1"/>
  <c r="BU22" i="2" s="1"/>
  <c r="F22" i="6"/>
  <c r="P22" i="6" s="1"/>
  <c r="BV22" i="2" s="1"/>
  <c r="G22" i="6"/>
  <c r="Q22" i="6" s="1"/>
  <c r="BW22" i="2" s="1"/>
  <c r="H22" i="6"/>
  <c r="R22" i="6" s="1"/>
  <c r="BX22" i="2" s="1"/>
  <c r="I22" i="6"/>
  <c r="S22" i="6" s="1"/>
  <c r="BY22" i="2" s="1"/>
  <c r="J22" i="6"/>
  <c r="T22" i="6" s="1"/>
  <c r="BZ22" i="2" s="1"/>
  <c r="K22" i="6"/>
  <c r="U22" i="6" s="1"/>
  <c r="CA22" i="2" s="1"/>
  <c r="L22" i="6"/>
  <c r="V22" i="6" s="1"/>
  <c r="CB22" i="2" s="1"/>
  <c r="C23" i="6"/>
  <c r="M23" i="6" s="1"/>
  <c r="BS23" i="2" s="1"/>
  <c r="D23" i="6"/>
  <c r="N23" i="6" s="1"/>
  <c r="BT23" i="2" s="1"/>
  <c r="E23" i="6"/>
  <c r="O23" i="6" s="1"/>
  <c r="BU23" i="2" s="1"/>
  <c r="F23" i="6"/>
  <c r="P23" i="6" s="1"/>
  <c r="BV23" i="2" s="1"/>
  <c r="G23" i="6"/>
  <c r="Q23" i="6" s="1"/>
  <c r="BW23" i="2" s="1"/>
  <c r="H23" i="6"/>
  <c r="R23" i="6" s="1"/>
  <c r="BX23" i="2" s="1"/>
  <c r="I23" i="6"/>
  <c r="S23" i="6" s="1"/>
  <c r="BY23" i="2" s="1"/>
  <c r="J23" i="6"/>
  <c r="T23" i="6" s="1"/>
  <c r="BZ23" i="2" s="1"/>
  <c r="K23" i="6"/>
  <c r="U23" i="6" s="1"/>
  <c r="CA23" i="2" s="1"/>
  <c r="L23" i="6"/>
  <c r="V23" i="6" s="1"/>
  <c r="CB23" i="2" s="1"/>
  <c r="C24" i="6"/>
  <c r="M24" i="6" s="1"/>
  <c r="BS24" i="2" s="1"/>
  <c r="D24" i="6"/>
  <c r="N24" i="6" s="1"/>
  <c r="BT24" i="2" s="1"/>
  <c r="E24" i="6"/>
  <c r="O24" i="6" s="1"/>
  <c r="BU24" i="2" s="1"/>
  <c r="F24" i="6"/>
  <c r="P24" i="6" s="1"/>
  <c r="BV24" i="2" s="1"/>
  <c r="G24" i="6"/>
  <c r="Q24" i="6" s="1"/>
  <c r="BW24" i="2" s="1"/>
  <c r="H24" i="6"/>
  <c r="R24" i="6" s="1"/>
  <c r="BX24" i="2" s="1"/>
  <c r="I24" i="6"/>
  <c r="S24" i="6" s="1"/>
  <c r="BY24" i="2" s="1"/>
  <c r="J24" i="6"/>
  <c r="T24" i="6" s="1"/>
  <c r="BZ24" i="2" s="1"/>
  <c r="K24" i="6"/>
  <c r="U24" i="6" s="1"/>
  <c r="CA24" i="2" s="1"/>
  <c r="L24" i="6"/>
  <c r="V24" i="6" s="1"/>
  <c r="CB24" i="2" s="1"/>
  <c r="C25" i="6"/>
  <c r="M25" i="6" s="1"/>
  <c r="BS25" i="2" s="1"/>
  <c r="D25" i="6"/>
  <c r="N25" i="6" s="1"/>
  <c r="BT25" i="2" s="1"/>
  <c r="E25" i="6"/>
  <c r="O25" i="6" s="1"/>
  <c r="BU25" i="2" s="1"/>
  <c r="F25" i="6"/>
  <c r="P25" i="6" s="1"/>
  <c r="BV25" i="2" s="1"/>
  <c r="G25" i="6"/>
  <c r="Q25" i="6" s="1"/>
  <c r="BW25" i="2" s="1"/>
  <c r="H25" i="6"/>
  <c r="R25" i="6" s="1"/>
  <c r="BX25" i="2" s="1"/>
  <c r="I25" i="6"/>
  <c r="S25" i="6" s="1"/>
  <c r="BY25" i="2" s="1"/>
  <c r="J25" i="6"/>
  <c r="T25" i="6" s="1"/>
  <c r="BZ25" i="2" s="1"/>
  <c r="K25" i="6"/>
  <c r="U25" i="6" s="1"/>
  <c r="CA25" i="2" s="1"/>
  <c r="L25" i="6"/>
  <c r="V25" i="6" s="1"/>
  <c r="CB25" i="2" s="1"/>
  <c r="C26" i="6"/>
  <c r="M26" i="6" s="1"/>
  <c r="BS26" i="2" s="1"/>
  <c r="D26" i="6"/>
  <c r="N26" i="6" s="1"/>
  <c r="BT26" i="2" s="1"/>
  <c r="E26" i="6"/>
  <c r="O26" i="6" s="1"/>
  <c r="BU26" i="2" s="1"/>
  <c r="F26" i="6"/>
  <c r="P26" i="6" s="1"/>
  <c r="BV26" i="2" s="1"/>
  <c r="G26" i="6"/>
  <c r="Q26" i="6" s="1"/>
  <c r="BW26" i="2" s="1"/>
  <c r="H26" i="6"/>
  <c r="R26" i="6" s="1"/>
  <c r="BX26" i="2" s="1"/>
  <c r="I26" i="6"/>
  <c r="S26" i="6" s="1"/>
  <c r="BY26" i="2" s="1"/>
  <c r="J26" i="6"/>
  <c r="T26" i="6" s="1"/>
  <c r="BZ26" i="2" s="1"/>
  <c r="K26" i="6"/>
  <c r="U26" i="6" s="1"/>
  <c r="CA26" i="2" s="1"/>
  <c r="L26" i="6"/>
  <c r="V26" i="6" s="1"/>
  <c r="CB26" i="2" s="1"/>
  <c r="C27" i="6"/>
  <c r="M27" i="6" s="1"/>
  <c r="BS27" i="2" s="1"/>
  <c r="D27" i="6"/>
  <c r="N27" i="6" s="1"/>
  <c r="BT27" i="2" s="1"/>
  <c r="E27" i="6"/>
  <c r="O27" i="6" s="1"/>
  <c r="BU27" i="2" s="1"/>
  <c r="F27" i="6"/>
  <c r="P27" i="6" s="1"/>
  <c r="BV27" i="2" s="1"/>
  <c r="G27" i="6"/>
  <c r="Q27" i="6" s="1"/>
  <c r="BW27" i="2" s="1"/>
  <c r="H27" i="6"/>
  <c r="R27" i="6" s="1"/>
  <c r="BX27" i="2" s="1"/>
  <c r="I27" i="6"/>
  <c r="S27" i="6" s="1"/>
  <c r="BY27" i="2" s="1"/>
  <c r="J27" i="6"/>
  <c r="T27" i="6" s="1"/>
  <c r="BZ27" i="2" s="1"/>
  <c r="K27" i="6"/>
  <c r="U27" i="6" s="1"/>
  <c r="CA27" i="2" s="1"/>
  <c r="L27" i="6"/>
  <c r="V27" i="6" s="1"/>
  <c r="CB27" i="2" s="1"/>
  <c r="C28" i="6"/>
  <c r="M28" i="6" s="1"/>
  <c r="BS28" i="2" s="1"/>
  <c r="D28" i="6"/>
  <c r="N28" i="6" s="1"/>
  <c r="BT28" i="2" s="1"/>
  <c r="E28" i="6"/>
  <c r="O28" i="6" s="1"/>
  <c r="BU28" i="2" s="1"/>
  <c r="F28" i="6"/>
  <c r="P28" i="6" s="1"/>
  <c r="BV28" i="2" s="1"/>
  <c r="G28" i="6"/>
  <c r="Q28" i="6" s="1"/>
  <c r="BW28" i="2" s="1"/>
  <c r="H28" i="6"/>
  <c r="R28" i="6" s="1"/>
  <c r="BX28" i="2" s="1"/>
  <c r="I28" i="6"/>
  <c r="S28" i="6" s="1"/>
  <c r="BY28" i="2" s="1"/>
  <c r="J28" i="6"/>
  <c r="T28" i="6" s="1"/>
  <c r="BZ28" i="2" s="1"/>
  <c r="K28" i="6"/>
  <c r="U28" i="6" s="1"/>
  <c r="CA28" i="2" s="1"/>
  <c r="L28" i="6"/>
  <c r="V28" i="6" s="1"/>
  <c r="CB28" i="2" s="1"/>
  <c r="C29" i="6"/>
  <c r="M29" i="6" s="1"/>
  <c r="BS29" i="2" s="1"/>
  <c r="D29" i="6"/>
  <c r="N29" i="6" s="1"/>
  <c r="BT29" i="2" s="1"/>
  <c r="E29" i="6"/>
  <c r="O29" i="6" s="1"/>
  <c r="BU29" i="2" s="1"/>
  <c r="F29" i="6"/>
  <c r="P29" i="6" s="1"/>
  <c r="BV29" i="2" s="1"/>
  <c r="G29" i="6"/>
  <c r="Q29" i="6" s="1"/>
  <c r="BW29" i="2" s="1"/>
  <c r="H29" i="6"/>
  <c r="R29" i="6" s="1"/>
  <c r="BX29" i="2" s="1"/>
  <c r="I29" i="6"/>
  <c r="S29" i="6" s="1"/>
  <c r="BY29" i="2" s="1"/>
  <c r="J29" i="6"/>
  <c r="T29" i="6" s="1"/>
  <c r="BZ29" i="2" s="1"/>
  <c r="K29" i="6"/>
  <c r="U29" i="6" s="1"/>
  <c r="CA29" i="2" s="1"/>
  <c r="L29" i="6"/>
  <c r="V29" i="6" s="1"/>
  <c r="CB29" i="2" s="1"/>
  <c r="C30" i="6"/>
  <c r="M30" i="6" s="1"/>
  <c r="BS30" i="2" s="1"/>
  <c r="D30" i="6"/>
  <c r="N30" i="6" s="1"/>
  <c r="BT30" i="2" s="1"/>
  <c r="E30" i="6"/>
  <c r="O30" i="6" s="1"/>
  <c r="BU30" i="2" s="1"/>
  <c r="F30" i="6"/>
  <c r="P30" i="6" s="1"/>
  <c r="BV30" i="2" s="1"/>
  <c r="G30" i="6"/>
  <c r="Q30" i="6" s="1"/>
  <c r="BW30" i="2" s="1"/>
  <c r="H30" i="6"/>
  <c r="R30" i="6" s="1"/>
  <c r="BX30" i="2" s="1"/>
  <c r="I30" i="6"/>
  <c r="S30" i="6" s="1"/>
  <c r="BY30" i="2" s="1"/>
  <c r="J30" i="6"/>
  <c r="T30" i="6" s="1"/>
  <c r="BZ30" i="2" s="1"/>
  <c r="K30" i="6"/>
  <c r="U30" i="6" s="1"/>
  <c r="CA30" i="2" s="1"/>
  <c r="L30" i="6"/>
  <c r="V30" i="6" s="1"/>
  <c r="CB30" i="2" s="1"/>
  <c r="C31" i="6"/>
  <c r="M31" i="6" s="1"/>
  <c r="BS31" i="2" s="1"/>
  <c r="D31" i="6"/>
  <c r="N31" i="6" s="1"/>
  <c r="BT31" i="2" s="1"/>
  <c r="E31" i="6"/>
  <c r="O31" i="6" s="1"/>
  <c r="BU31" i="2" s="1"/>
  <c r="F31" i="6"/>
  <c r="P31" i="6" s="1"/>
  <c r="BV31" i="2" s="1"/>
  <c r="G31" i="6"/>
  <c r="Q31" i="6" s="1"/>
  <c r="BW31" i="2" s="1"/>
  <c r="H31" i="6"/>
  <c r="R31" i="6" s="1"/>
  <c r="BX31" i="2" s="1"/>
  <c r="I31" i="6"/>
  <c r="S31" i="6" s="1"/>
  <c r="BY31" i="2" s="1"/>
  <c r="J31" i="6"/>
  <c r="T31" i="6" s="1"/>
  <c r="BZ31" i="2" s="1"/>
  <c r="K31" i="6"/>
  <c r="U31" i="6" s="1"/>
  <c r="CA31" i="2" s="1"/>
  <c r="L31" i="6"/>
  <c r="V31" i="6" s="1"/>
  <c r="CB31" i="2" s="1"/>
  <c r="C32" i="6"/>
  <c r="M32" i="6" s="1"/>
  <c r="BS32" i="2" s="1"/>
  <c r="D32" i="6"/>
  <c r="N32" i="6" s="1"/>
  <c r="BT32" i="2" s="1"/>
  <c r="E32" i="6"/>
  <c r="O32" i="6" s="1"/>
  <c r="BU32" i="2" s="1"/>
  <c r="F32" i="6"/>
  <c r="P32" i="6" s="1"/>
  <c r="BV32" i="2" s="1"/>
  <c r="G32" i="6"/>
  <c r="Q32" i="6" s="1"/>
  <c r="BW32" i="2" s="1"/>
  <c r="H32" i="6"/>
  <c r="R32" i="6" s="1"/>
  <c r="BX32" i="2" s="1"/>
  <c r="I32" i="6"/>
  <c r="S32" i="6" s="1"/>
  <c r="BY32" i="2" s="1"/>
  <c r="J32" i="6"/>
  <c r="T32" i="6" s="1"/>
  <c r="BZ32" i="2" s="1"/>
  <c r="K32" i="6"/>
  <c r="U32" i="6" s="1"/>
  <c r="CA32" i="2" s="1"/>
  <c r="L32" i="6"/>
  <c r="V32" i="6" s="1"/>
  <c r="CB32" i="2" s="1"/>
  <c r="C33" i="6"/>
  <c r="M33" i="6" s="1"/>
  <c r="BS33" i="2" s="1"/>
  <c r="D33" i="6"/>
  <c r="N33" i="6" s="1"/>
  <c r="BT33" i="2" s="1"/>
  <c r="E33" i="6"/>
  <c r="O33" i="6" s="1"/>
  <c r="BU33" i="2" s="1"/>
  <c r="F33" i="6"/>
  <c r="P33" i="6" s="1"/>
  <c r="BV33" i="2" s="1"/>
  <c r="G33" i="6"/>
  <c r="Q33" i="6" s="1"/>
  <c r="BW33" i="2" s="1"/>
  <c r="H33" i="6"/>
  <c r="R33" i="6" s="1"/>
  <c r="BX33" i="2" s="1"/>
  <c r="I33" i="6"/>
  <c r="S33" i="6" s="1"/>
  <c r="BY33" i="2" s="1"/>
  <c r="J33" i="6"/>
  <c r="T33" i="6" s="1"/>
  <c r="BZ33" i="2" s="1"/>
  <c r="K33" i="6"/>
  <c r="U33" i="6" s="1"/>
  <c r="CA33" i="2" s="1"/>
  <c r="L33" i="6"/>
  <c r="V33" i="6" s="1"/>
  <c r="CB33" i="2" s="1"/>
  <c r="C34" i="6"/>
  <c r="M34" i="6" s="1"/>
  <c r="BS34" i="2" s="1"/>
  <c r="D34" i="6"/>
  <c r="N34" i="6" s="1"/>
  <c r="BT34" i="2" s="1"/>
  <c r="E34" i="6"/>
  <c r="O34" i="6" s="1"/>
  <c r="BU34" i="2" s="1"/>
  <c r="F34" i="6"/>
  <c r="P34" i="6" s="1"/>
  <c r="BV34" i="2" s="1"/>
  <c r="G34" i="6"/>
  <c r="Q34" i="6" s="1"/>
  <c r="BW34" i="2" s="1"/>
  <c r="H34" i="6"/>
  <c r="R34" i="6" s="1"/>
  <c r="BX34" i="2" s="1"/>
  <c r="I34" i="6"/>
  <c r="S34" i="6" s="1"/>
  <c r="BY34" i="2" s="1"/>
  <c r="J34" i="6"/>
  <c r="T34" i="6" s="1"/>
  <c r="BZ34" i="2" s="1"/>
  <c r="K34" i="6"/>
  <c r="U34" i="6" s="1"/>
  <c r="CA34" i="2" s="1"/>
  <c r="L34" i="6"/>
  <c r="V34" i="6" s="1"/>
  <c r="CB34" i="2" s="1"/>
  <c r="C35" i="6"/>
  <c r="M35" i="6" s="1"/>
  <c r="BS35" i="2" s="1"/>
  <c r="D35" i="6"/>
  <c r="N35" i="6" s="1"/>
  <c r="BT35" i="2" s="1"/>
  <c r="E35" i="6"/>
  <c r="O35" i="6" s="1"/>
  <c r="BU35" i="2" s="1"/>
  <c r="F35" i="6"/>
  <c r="P35" i="6" s="1"/>
  <c r="BV35" i="2" s="1"/>
  <c r="G35" i="6"/>
  <c r="Q35" i="6" s="1"/>
  <c r="BW35" i="2" s="1"/>
  <c r="H35" i="6"/>
  <c r="R35" i="6" s="1"/>
  <c r="BX35" i="2" s="1"/>
  <c r="I35" i="6"/>
  <c r="S35" i="6" s="1"/>
  <c r="BY35" i="2" s="1"/>
  <c r="J35" i="6"/>
  <c r="T35" i="6" s="1"/>
  <c r="BZ35" i="2" s="1"/>
  <c r="K35" i="6"/>
  <c r="U35" i="6" s="1"/>
  <c r="CA35" i="2" s="1"/>
  <c r="L35" i="6"/>
  <c r="V35" i="6" s="1"/>
  <c r="CB35" i="2" s="1"/>
  <c r="C36" i="6"/>
  <c r="M36" i="6" s="1"/>
  <c r="BS36" i="2" s="1"/>
  <c r="D36" i="6"/>
  <c r="N36" i="6" s="1"/>
  <c r="BT36" i="2" s="1"/>
  <c r="E36" i="6"/>
  <c r="O36" i="6" s="1"/>
  <c r="BU36" i="2" s="1"/>
  <c r="F36" i="6"/>
  <c r="P36" i="6" s="1"/>
  <c r="BV36" i="2" s="1"/>
  <c r="G36" i="6"/>
  <c r="Q36" i="6" s="1"/>
  <c r="BW36" i="2" s="1"/>
  <c r="H36" i="6"/>
  <c r="R36" i="6" s="1"/>
  <c r="BX36" i="2" s="1"/>
  <c r="I36" i="6"/>
  <c r="S36" i="6" s="1"/>
  <c r="BY36" i="2" s="1"/>
  <c r="J36" i="6"/>
  <c r="T36" i="6" s="1"/>
  <c r="BZ36" i="2" s="1"/>
  <c r="K36" i="6"/>
  <c r="U36" i="6" s="1"/>
  <c r="CA36" i="2" s="1"/>
  <c r="L36" i="6"/>
  <c r="V36" i="6" s="1"/>
  <c r="CB36" i="2" s="1"/>
  <c r="C37" i="6"/>
  <c r="M37" i="6" s="1"/>
  <c r="BS37" i="2" s="1"/>
  <c r="D37" i="6"/>
  <c r="N37" i="6" s="1"/>
  <c r="BT37" i="2" s="1"/>
  <c r="E37" i="6"/>
  <c r="O37" i="6" s="1"/>
  <c r="BU37" i="2" s="1"/>
  <c r="F37" i="6"/>
  <c r="P37" i="6" s="1"/>
  <c r="BV37" i="2" s="1"/>
  <c r="G37" i="6"/>
  <c r="Q37" i="6" s="1"/>
  <c r="BW37" i="2" s="1"/>
  <c r="H37" i="6"/>
  <c r="R37" i="6" s="1"/>
  <c r="BX37" i="2" s="1"/>
  <c r="I37" i="6"/>
  <c r="S37" i="6" s="1"/>
  <c r="BY37" i="2" s="1"/>
  <c r="J37" i="6"/>
  <c r="T37" i="6" s="1"/>
  <c r="BZ37" i="2" s="1"/>
  <c r="K37" i="6"/>
  <c r="U37" i="6" s="1"/>
  <c r="CA37" i="2" s="1"/>
  <c r="L37" i="6"/>
  <c r="V37" i="6" s="1"/>
  <c r="CB37" i="2" s="1"/>
  <c r="C38" i="6"/>
  <c r="M38" i="6" s="1"/>
  <c r="BS38" i="2" s="1"/>
  <c r="D38" i="6"/>
  <c r="N38" i="6" s="1"/>
  <c r="BT38" i="2" s="1"/>
  <c r="E38" i="6"/>
  <c r="O38" i="6" s="1"/>
  <c r="BU38" i="2" s="1"/>
  <c r="F38" i="6"/>
  <c r="P38" i="6" s="1"/>
  <c r="BV38" i="2" s="1"/>
  <c r="G38" i="6"/>
  <c r="Q38" i="6" s="1"/>
  <c r="BW38" i="2" s="1"/>
  <c r="H38" i="6"/>
  <c r="R38" i="6" s="1"/>
  <c r="BX38" i="2" s="1"/>
  <c r="I38" i="6"/>
  <c r="S38" i="6" s="1"/>
  <c r="BY38" i="2" s="1"/>
  <c r="J38" i="6"/>
  <c r="T38" i="6" s="1"/>
  <c r="BZ38" i="2" s="1"/>
  <c r="K38" i="6"/>
  <c r="U38" i="6" s="1"/>
  <c r="CA38" i="2" s="1"/>
  <c r="L38" i="6"/>
  <c r="V38" i="6" s="1"/>
  <c r="CB38" i="2" s="1"/>
  <c r="C39" i="6"/>
  <c r="M39" i="6" s="1"/>
  <c r="BS39" i="2" s="1"/>
  <c r="D39" i="6"/>
  <c r="N39" i="6" s="1"/>
  <c r="BT39" i="2" s="1"/>
  <c r="E39" i="6"/>
  <c r="O39" i="6" s="1"/>
  <c r="BU39" i="2" s="1"/>
  <c r="F39" i="6"/>
  <c r="P39" i="6" s="1"/>
  <c r="BV39" i="2" s="1"/>
  <c r="G39" i="6"/>
  <c r="Q39" i="6" s="1"/>
  <c r="BW39" i="2" s="1"/>
  <c r="H39" i="6"/>
  <c r="R39" i="6" s="1"/>
  <c r="BX39" i="2" s="1"/>
  <c r="I39" i="6"/>
  <c r="S39" i="6" s="1"/>
  <c r="BY39" i="2" s="1"/>
  <c r="J39" i="6"/>
  <c r="T39" i="6" s="1"/>
  <c r="BZ39" i="2" s="1"/>
  <c r="K39" i="6"/>
  <c r="U39" i="6" s="1"/>
  <c r="CA39" i="2" s="1"/>
  <c r="L39" i="6"/>
  <c r="V39" i="6" s="1"/>
  <c r="CB39" i="2" s="1"/>
  <c r="C40" i="6"/>
  <c r="M40" i="6" s="1"/>
  <c r="BS40" i="2" s="1"/>
  <c r="D40" i="6"/>
  <c r="N40" i="6" s="1"/>
  <c r="BT40" i="2" s="1"/>
  <c r="E40" i="6"/>
  <c r="O40" i="6" s="1"/>
  <c r="BU40" i="2" s="1"/>
  <c r="F40" i="6"/>
  <c r="P40" i="6" s="1"/>
  <c r="BV40" i="2" s="1"/>
  <c r="G40" i="6"/>
  <c r="Q40" i="6" s="1"/>
  <c r="BW40" i="2" s="1"/>
  <c r="H40" i="6"/>
  <c r="R40" i="6" s="1"/>
  <c r="BX40" i="2" s="1"/>
  <c r="I40" i="6"/>
  <c r="S40" i="6" s="1"/>
  <c r="BY40" i="2" s="1"/>
  <c r="J40" i="6"/>
  <c r="T40" i="6" s="1"/>
  <c r="BZ40" i="2" s="1"/>
  <c r="U40" i="6"/>
  <c r="L40" i="6"/>
  <c r="V40" i="6" s="1"/>
  <c r="CB40" i="2" s="1"/>
  <c r="C41" i="6"/>
  <c r="M41" i="6" s="1"/>
  <c r="BS41" i="2" s="1"/>
  <c r="D41" i="6"/>
  <c r="N41" i="6" s="1"/>
  <c r="BT41" i="2" s="1"/>
  <c r="E41" i="6"/>
  <c r="O41" i="6" s="1"/>
  <c r="BU41" i="2" s="1"/>
  <c r="F41" i="6"/>
  <c r="P41" i="6" s="1"/>
  <c r="BV41" i="2" s="1"/>
  <c r="G41" i="6"/>
  <c r="Q41" i="6" s="1"/>
  <c r="BW41" i="2" s="1"/>
  <c r="H41" i="6"/>
  <c r="R41" i="6" s="1"/>
  <c r="BX41" i="2" s="1"/>
  <c r="I41" i="6"/>
  <c r="S41" i="6" s="1"/>
  <c r="BY41" i="2" s="1"/>
  <c r="J41" i="6"/>
  <c r="T41" i="6" s="1"/>
  <c r="BZ41" i="2" s="1"/>
  <c r="K41" i="6"/>
  <c r="U41" i="6" s="1"/>
  <c r="CA41" i="2" s="1"/>
  <c r="L41" i="6"/>
  <c r="V41" i="6" s="1"/>
  <c r="CB41" i="2" s="1"/>
  <c r="C42" i="6"/>
  <c r="M42" i="6" s="1"/>
  <c r="BS42" i="2" s="1"/>
  <c r="D42" i="6"/>
  <c r="N42" i="6" s="1"/>
  <c r="BT42" i="2" s="1"/>
  <c r="E42" i="6"/>
  <c r="O42" i="6" s="1"/>
  <c r="BU42" i="2" s="1"/>
  <c r="F42" i="6"/>
  <c r="P42" i="6" s="1"/>
  <c r="BV42" i="2" s="1"/>
  <c r="G42" i="6"/>
  <c r="Q42" i="6" s="1"/>
  <c r="BW42" i="2" s="1"/>
  <c r="H42" i="6"/>
  <c r="R42" i="6" s="1"/>
  <c r="BX42" i="2" s="1"/>
  <c r="I42" i="6"/>
  <c r="S42" i="6" s="1"/>
  <c r="BY42" i="2" s="1"/>
  <c r="J42" i="6"/>
  <c r="T42" i="6" s="1"/>
  <c r="BZ42" i="2" s="1"/>
  <c r="K42" i="6"/>
  <c r="U42" i="6" s="1"/>
  <c r="CA42" i="2" s="1"/>
  <c r="L42" i="6"/>
  <c r="V42" i="6" s="1"/>
  <c r="CB42" i="2" s="1"/>
  <c r="C43" i="6"/>
  <c r="M43" i="6" s="1"/>
  <c r="BS43" i="2" s="1"/>
  <c r="D43" i="6"/>
  <c r="N43" i="6" s="1"/>
  <c r="BT43" i="2" s="1"/>
  <c r="E43" i="6"/>
  <c r="O43" i="6" s="1"/>
  <c r="BU43" i="2" s="1"/>
  <c r="F43" i="6"/>
  <c r="P43" i="6" s="1"/>
  <c r="BV43" i="2" s="1"/>
  <c r="G43" i="6"/>
  <c r="Q43" i="6" s="1"/>
  <c r="BW43" i="2" s="1"/>
  <c r="H43" i="6"/>
  <c r="R43" i="6" s="1"/>
  <c r="BX43" i="2" s="1"/>
  <c r="I43" i="6"/>
  <c r="S43" i="6" s="1"/>
  <c r="BY43" i="2" s="1"/>
  <c r="J43" i="6"/>
  <c r="T43" i="6" s="1"/>
  <c r="BZ43" i="2" s="1"/>
  <c r="K43" i="6"/>
  <c r="U43" i="6" s="1"/>
  <c r="CA43" i="2" s="1"/>
  <c r="L43" i="6"/>
  <c r="V43" i="6" s="1"/>
  <c r="CB43" i="2" s="1"/>
  <c r="C44" i="6"/>
  <c r="M44" i="6" s="1"/>
  <c r="BS44" i="2" s="1"/>
  <c r="D44" i="6"/>
  <c r="N44" i="6" s="1"/>
  <c r="BT44" i="2" s="1"/>
  <c r="E44" i="6"/>
  <c r="O44" i="6" s="1"/>
  <c r="BU44" i="2" s="1"/>
  <c r="F44" i="6"/>
  <c r="P44" i="6" s="1"/>
  <c r="BV44" i="2" s="1"/>
  <c r="G44" i="6"/>
  <c r="Q44" i="6" s="1"/>
  <c r="BW44" i="2" s="1"/>
  <c r="H44" i="6"/>
  <c r="R44" i="6" s="1"/>
  <c r="BX44" i="2" s="1"/>
  <c r="I44" i="6"/>
  <c r="S44" i="6" s="1"/>
  <c r="BY44" i="2" s="1"/>
  <c r="J44" i="6"/>
  <c r="T44" i="6" s="1"/>
  <c r="BZ44" i="2" s="1"/>
  <c r="K44" i="6"/>
  <c r="U44" i="6" s="1"/>
  <c r="CA44" i="2" s="1"/>
  <c r="L44" i="6"/>
  <c r="V44" i="6" s="1"/>
  <c r="CB44" i="2" s="1"/>
  <c r="C45" i="6"/>
  <c r="M45" i="6" s="1"/>
  <c r="BS45" i="2" s="1"/>
  <c r="D45" i="6"/>
  <c r="N45" i="6" s="1"/>
  <c r="BT45" i="2" s="1"/>
  <c r="E45" i="6"/>
  <c r="O45" i="6" s="1"/>
  <c r="BU45" i="2" s="1"/>
  <c r="F45" i="6"/>
  <c r="P45" i="6" s="1"/>
  <c r="BV45" i="2" s="1"/>
  <c r="G45" i="6"/>
  <c r="Q45" i="6" s="1"/>
  <c r="BW45" i="2" s="1"/>
  <c r="H45" i="6"/>
  <c r="R45" i="6" s="1"/>
  <c r="BX45" i="2" s="1"/>
  <c r="I45" i="6"/>
  <c r="S45" i="6" s="1"/>
  <c r="BY45" i="2" s="1"/>
  <c r="J45" i="6"/>
  <c r="T45" i="6" s="1"/>
  <c r="BZ45" i="2" s="1"/>
  <c r="K45" i="6"/>
  <c r="U45" i="6" s="1"/>
  <c r="CA45" i="2" s="1"/>
  <c r="L45" i="6"/>
  <c r="V45" i="6" s="1"/>
  <c r="CB45" i="2" s="1"/>
  <c r="C46" i="6"/>
  <c r="M46" i="6" s="1"/>
  <c r="BS46" i="2" s="1"/>
  <c r="D46" i="6"/>
  <c r="N46" i="6" s="1"/>
  <c r="BT46" i="2" s="1"/>
  <c r="E46" i="6"/>
  <c r="O46" i="6" s="1"/>
  <c r="BU46" i="2" s="1"/>
  <c r="F46" i="6"/>
  <c r="P46" i="6" s="1"/>
  <c r="BV46" i="2" s="1"/>
  <c r="G46" i="6"/>
  <c r="Q46" i="6" s="1"/>
  <c r="BW46" i="2" s="1"/>
  <c r="H46" i="6"/>
  <c r="R46" i="6" s="1"/>
  <c r="BX46" i="2" s="1"/>
  <c r="I46" i="6"/>
  <c r="S46" i="6" s="1"/>
  <c r="BY46" i="2" s="1"/>
  <c r="J46" i="6"/>
  <c r="T46" i="6" s="1"/>
  <c r="BZ46" i="2" s="1"/>
  <c r="K46" i="6"/>
  <c r="U46" i="6" s="1"/>
  <c r="CA46" i="2" s="1"/>
  <c r="L46" i="6"/>
  <c r="V46" i="6" s="1"/>
  <c r="CB46" i="2" s="1"/>
  <c r="C47" i="6"/>
  <c r="M47" i="6" s="1"/>
  <c r="BS47" i="2" s="1"/>
  <c r="D47" i="6"/>
  <c r="N47" i="6" s="1"/>
  <c r="BT47" i="2" s="1"/>
  <c r="E47" i="6"/>
  <c r="O47" i="6" s="1"/>
  <c r="BU47" i="2" s="1"/>
  <c r="F47" i="6"/>
  <c r="P47" i="6" s="1"/>
  <c r="BV47" i="2" s="1"/>
  <c r="G47" i="6"/>
  <c r="Q47" i="6" s="1"/>
  <c r="BW47" i="2" s="1"/>
  <c r="H47" i="6"/>
  <c r="R47" i="6" s="1"/>
  <c r="BX47" i="2" s="1"/>
  <c r="I47" i="6"/>
  <c r="S47" i="6" s="1"/>
  <c r="BY47" i="2" s="1"/>
  <c r="J47" i="6"/>
  <c r="T47" i="6" s="1"/>
  <c r="BZ47" i="2" s="1"/>
  <c r="K47" i="6"/>
  <c r="U47" i="6" s="1"/>
  <c r="CA47" i="2" s="1"/>
  <c r="L47" i="6"/>
  <c r="V47" i="6" s="1"/>
  <c r="CB47" i="2" s="1"/>
  <c r="C48" i="6"/>
  <c r="M48" i="6" s="1"/>
  <c r="BS48" i="2" s="1"/>
  <c r="D48" i="6"/>
  <c r="N48" i="6" s="1"/>
  <c r="BT48" i="2" s="1"/>
  <c r="E48" i="6"/>
  <c r="O48" i="6" s="1"/>
  <c r="BU48" i="2" s="1"/>
  <c r="F48" i="6"/>
  <c r="P48" i="6" s="1"/>
  <c r="BV48" i="2" s="1"/>
  <c r="G48" i="6"/>
  <c r="Q48" i="6" s="1"/>
  <c r="BW48" i="2" s="1"/>
  <c r="H48" i="6"/>
  <c r="R48" i="6" s="1"/>
  <c r="BX48" i="2" s="1"/>
  <c r="I48" i="6"/>
  <c r="S48" i="6" s="1"/>
  <c r="BY48" i="2" s="1"/>
  <c r="J48" i="6"/>
  <c r="T48" i="6" s="1"/>
  <c r="BZ48" i="2" s="1"/>
  <c r="K48" i="6"/>
  <c r="U48" i="6" s="1"/>
  <c r="CA48" i="2" s="1"/>
  <c r="L48" i="6"/>
  <c r="V48" i="6" s="1"/>
  <c r="CB48" i="2" s="1"/>
  <c r="C49" i="6"/>
  <c r="M49" i="6" s="1"/>
  <c r="BS49" i="2" s="1"/>
  <c r="D49" i="6"/>
  <c r="N49" i="6" s="1"/>
  <c r="BT49" i="2" s="1"/>
  <c r="E49" i="6"/>
  <c r="O49" i="6" s="1"/>
  <c r="BU49" i="2" s="1"/>
  <c r="F49" i="6"/>
  <c r="P49" i="6" s="1"/>
  <c r="BV49" i="2" s="1"/>
  <c r="G49" i="6"/>
  <c r="Q49" i="6" s="1"/>
  <c r="BW49" i="2" s="1"/>
  <c r="H49" i="6"/>
  <c r="R49" i="6" s="1"/>
  <c r="BX49" i="2" s="1"/>
  <c r="I49" i="6"/>
  <c r="S49" i="6" s="1"/>
  <c r="BY49" i="2" s="1"/>
  <c r="J49" i="6"/>
  <c r="T49" i="6" s="1"/>
  <c r="BZ49" i="2" s="1"/>
  <c r="K49" i="6"/>
  <c r="U49" i="6" s="1"/>
  <c r="CA49" i="2" s="1"/>
  <c r="L49" i="6"/>
  <c r="V49" i="6" s="1"/>
  <c r="CB49" i="2" s="1"/>
  <c r="C50" i="6"/>
  <c r="M50" i="6" s="1"/>
  <c r="BS50" i="2" s="1"/>
  <c r="D50" i="6"/>
  <c r="N50" i="6" s="1"/>
  <c r="BT50" i="2" s="1"/>
  <c r="E50" i="6"/>
  <c r="O50" i="6" s="1"/>
  <c r="BU50" i="2" s="1"/>
  <c r="F50" i="6"/>
  <c r="P50" i="6" s="1"/>
  <c r="BV50" i="2" s="1"/>
  <c r="G50" i="6"/>
  <c r="Q50" i="6" s="1"/>
  <c r="BW50" i="2" s="1"/>
  <c r="H50" i="6"/>
  <c r="R50" i="6" s="1"/>
  <c r="BX50" i="2" s="1"/>
  <c r="I50" i="6"/>
  <c r="S50" i="6" s="1"/>
  <c r="BY50" i="2" s="1"/>
  <c r="J50" i="6"/>
  <c r="T50" i="6" s="1"/>
  <c r="BZ50" i="2" s="1"/>
  <c r="K50" i="6"/>
  <c r="U50" i="6" s="1"/>
  <c r="CA50" i="2" s="1"/>
  <c r="L50" i="6"/>
  <c r="V50" i="6" s="1"/>
  <c r="CB50" i="2" s="1"/>
  <c r="C51" i="6"/>
  <c r="M51" i="6" s="1"/>
  <c r="BS51" i="2" s="1"/>
  <c r="D51" i="6"/>
  <c r="N51" i="6" s="1"/>
  <c r="BT51" i="2" s="1"/>
  <c r="E51" i="6"/>
  <c r="O51" i="6" s="1"/>
  <c r="BU51" i="2" s="1"/>
  <c r="F51" i="6"/>
  <c r="P51" i="6" s="1"/>
  <c r="BV51" i="2" s="1"/>
  <c r="G51" i="6"/>
  <c r="Q51" i="6" s="1"/>
  <c r="BW51" i="2" s="1"/>
  <c r="H51" i="6"/>
  <c r="R51" i="6" s="1"/>
  <c r="BX51" i="2" s="1"/>
  <c r="I51" i="6"/>
  <c r="S51" i="6" s="1"/>
  <c r="BY51" i="2" s="1"/>
  <c r="J51" i="6"/>
  <c r="T51" i="6" s="1"/>
  <c r="BZ51" i="2" s="1"/>
  <c r="K51" i="6"/>
  <c r="U51" i="6" s="1"/>
  <c r="CA51" i="2" s="1"/>
  <c r="L51" i="6"/>
  <c r="V51" i="6" s="1"/>
  <c r="CB51" i="2" s="1"/>
  <c r="C52" i="6"/>
  <c r="M52" i="6" s="1"/>
  <c r="BS52" i="2" s="1"/>
  <c r="D52" i="6"/>
  <c r="N52" i="6" s="1"/>
  <c r="BT52" i="2" s="1"/>
  <c r="E52" i="6"/>
  <c r="O52" i="6" s="1"/>
  <c r="BU52" i="2" s="1"/>
  <c r="F52" i="6"/>
  <c r="P52" i="6" s="1"/>
  <c r="BV52" i="2" s="1"/>
  <c r="G52" i="6"/>
  <c r="Q52" i="6" s="1"/>
  <c r="BW52" i="2" s="1"/>
  <c r="H52" i="6"/>
  <c r="R52" i="6" s="1"/>
  <c r="BX52" i="2" s="1"/>
  <c r="I52" i="6"/>
  <c r="S52" i="6" s="1"/>
  <c r="BY52" i="2" s="1"/>
  <c r="J52" i="6"/>
  <c r="T52" i="6" s="1"/>
  <c r="BZ52" i="2" s="1"/>
  <c r="K52" i="6"/>
  <c r="U52" i="6" s="1"/>
  <c r="CA52" i="2" s="1"/>
  <c r="L52" i="6"/>
  <c r="V52" i="6" s="1"/>
  <c r="CB52" i="2" s="1"/>
  <c r="C53" i="6"/>
  <c r="M53" i="6" s="1"/>
  <c r="BS53" i="2" s="1"/>
  <c r="D53" i="6"/>
  <c r="N53" i="6" s="1"/>
  <c r="BT53" i="2" s="1"/>
  <c r="E53" i="6"/>
  <c r="O53" i="6" s="1"/>
  <c r="BU53" i="2" s="1"/>
  <c r="F53" i="6"/>
  <c r="P53" i="6" s="1"/>
  <c r="BV53" i="2" s="1"/>
  <c r="G53" i="6"/>
  <c r="Q53" i="6" s="1"/>
  <c r="BW53" i="2" s="1"/>
  <c r="H53" i="6"/>
  <c r="R53" i="6" s="1"/>
  <c r="BX53" i="2" s="1"/>
  <c r="I53" i="6"/>
  <c r="S53" i="6" s="1"/>
  <c r="BY53" i="2" s="1"/>
  <c r="J53" i="6"/>
  <c r="T53" i="6" s="1"/>
  <c r="BZ53" i="2" s="1"/>
  <c r="K53" i="6"/>
  <c r="U53" i="6" s="1"/>
  <c r="CA53" i="2" s="1"/>
  <c r="L53" i="6"/>
  <c r="V53" i="6" s="1"/>
  <c r="CB53" i="2" s="1"/>
  <c r="C54" i="6"/>
  <c r="M54" i="6" s="1"/>
  <c r="BS54" i="2" s="1"/>
  <c r="D54" i="6"/>
  <c r="N54" i="6" s="1"/>
  <c r="BT54" i="2" s="1"/>
  <c r="E54" i="6"/>
  <c r="O54" i="6" s="1"/>
  <c r="BU54" i="2" s="1"/>
  <c r="F54" i="6"/>
  <c r="P54" i="6" s="1"/>
  <c r="BV54" i="2" s="1"/>
  <c r="G54" i="6"/>
  <c r="Q54" i="6" s="1"/>
  <c r="BW54" i="2" s="1"/>
  <c r="H54" i="6"/>
  <c r="R54" i="6" s="1"/>
  <c r="BX54" i="2" s="1"/>
  <c r="I54" i="6"/>
  <c r="S54" i="6" s="1"/>
  <c r="BY54" i="2" s="1"/>
  <c r="J54" i="6"/>
  <c r="T54" i="6" s="1"/>
  <c r="BZ54" i="2" s="1"/>
  <c r="K54" i="6"/>
  <c r="U54" i="6" s="1"/>
  <c r="CA54" i="2" s="1"/>
  <c r="L54" i="6"/>
  <c r="V54" i="6" s="1"/>
  <c r="CB54" i="2" s="1"/>
  <c r="C55" i="6"/>
  <c r="M55" i="6" s="1"/>
  <c r="BS55" i="2" s="1"/>
  <c r="D55" i="6"/>
  <c r="N55" i="6" s="1"/>
  <c r="BT55" i="2" s="1"/>
  <c r="E55" i="6"/>
  <c r="O55" i="6" s="1"/>
  <c r="BU55" i="2" s="1"/>
  <c r="F55" i="6"/>
  <c r="P55" i="6" s="1"/>
  <c r="BV55" i="2" s="1"/>
  <c r="G55" i="6"/>
  <c r="Q55" i="6" s="1"/>
  <c r="BW55" i="2" s="1"/>
  <c r="H55" i="6"/>
  <c r="R55" i="6" s="1"/>
  <c r="BX55" i="2" s="1"/>
  <c r="I55" i="6"/>
  <c r="S55" i="6" s="1"/>
  <c r="BY55" i="2" s="1"/>
  <c r="J55" i="6"/>
  <c r="T55" i="6" s="1"/>
  <c r="BZ55" i="2" s="1"/>
  <c r="K55" i="6"/>
  <c r="U55" i="6" s="1"/>
  <c r="CA55" i="2" s="1"/>
  <c r="L55" i="6"/>
  <c r="V55" i="6" s="1"/>
  <c r="CB55" i="2" s="1"/>
  <c r="C56" i="6"/>
  <c r="M56" i="6" s="1"/>
  <c r="BS56" i="2" s="1"/>
  <c r="D56" i="6"/>
  <c r="N56" i="6" s="1"/>
  <c r="BT56" i="2" s="1"/>
  <c r="E56" i="6"/>
  <c r="O56" i="6" s="1"/>
  <c r="BU56" i="2" s="1"/>
  <c r="F56" i="6"/>
  <c r="P56" i="6" s="1"/>
  <c r="BV56" i="2" s="1"/>
  <c r="G56" i="6"/>
  <c r="Q56" i="6" s="1"/>
  <c r="BW56" i="2" s="1"/>
  <c r="H56" i="6"/>
  <c r="R56" i="6" s="1"/>
  <c r="BX56" i="2" s="1"/>
  <c r="I56" i="6"/>
  <c r="S56" i="6" s="1"/>
  <c r="BY56" i="2" s="1"/>
  <c r="J56" i="6"/>
  <c r="T56" i="6" s="1"/>
  <c r="BZ56" i="2" s="1"/>
  <c r="K56" i="6"/>
  <c r="U56" i="6" s="1"/>
  <c r="CA56" i="2" s="1"/>
  <c r="L56" i="6"/>
  <c r="V56" i="6" s="1"/>
  <c r="CB56" i="2" s="1"/>
  <c r="C57" i="6"/>
  <c r="M57" i="6" s="1"/>
  <c r="BS57" i="2" s="1"/>
  <c r="D57" i="6"/>
  <c r="N57" i="6" s="1"/>
  <c r="BT57" i="2" s="1"/>
  <c r="E57" i="6"/>
  <c r="O57" i="6" s="1"/>
  <c r="BU57" i="2" s="1"/>
  <c r="F57" i="6"/>
  <c r="P57" i="6" s="1"/>
  <c r="BV57" i="2" s="1"/>
  <c r="G57" i="6"/>
  <c r="Q57" i="6" s="1"/>
  <c r="BW57" i="2" s="1"/>
  <c r="H57" i="6"/>
  <c r="R57" i="6" s="1"/>
  <c r="BX57" i="2" s="1"/>
  <c r="I57" i="6"/>
  <c r="S57" i="6" s="1"/>
  <c r="BY57" i="2" s="1"/>
  <c r="J57" i="6"/>
  <c r="T57" i="6" s="1"/>
  <c r="BZ57" i="2" s="1"/>
  <c r="K57" i="6"/>
  <c r="U57" i="6" s="1"/>
  <c r="CA57" i="2" s="1"/>
  <c r="L57" i="6"/>
  <c r="V57" i="6" s="1"/>
  <c r="CB57" i="2" s="1"/>
  <c r="C58" i="6"/>
  <c r="M58" i="6" s="1"/>
  <c r="BS58" i="2" s="1"/>
  <c r="D58" i="6"/>
  <c r="N58" i="6" s="1"/>
  <c r="BT58" i="2" s="1"/>
  <c r="E58" i="6"/>
  <c r="O58" i="6" s="1"/>
  <c r="BU58" i="2" s="1"/>
  <c r="F58" i="6"/>
  <c r="P58" i="6" s="1"/>
  <c r="BV58" i="2" s="1"/>
  <c r="G58" i="6"/>
  <c r="Q58" i="6" s="1"/>
  <c r="BW58" i="2" s="1"/>
  <c r="H58" i="6"/>
  <c r="R58" i="6" s="1"/>
  <c r="BX58" i="2" s="1"/>
  <c r="I58" i="6"/>
  <c r="S58" i="6" s="1"/>
  <c r="BY58" i="2" s="1"/>
  <c r="J58" i="6"/>
  <c r="T58" i="6" s="1"/>
  <c r="BZ58" i="2" s="1"/>
  <c r="K58" i="6"/>
  <c r="U58" i="6" s="1"/>
  <c r="CA58" i="2" s="1"/>
  <c r="L58" i="6"/>
  <c r="V58" i="6" s="1"/>
  <c r="CB58" i="2" s="1"/>
  <c r="C59" i="6"/>
  <c r="M59" i="6" s="1"/>
  <c r="BS59" i="2" s="1"/>
  <c r="D59" i="6"/>
  <c r="N59" i="6" s="1"/>
  <c r="BT59" i="2" s="1"/>
  <c r="E59" i="6"/>
  <c r="O59" i="6" s="1"/>
  <c r="BU59" i="2" s="1"/>
  <c r="F59" i="6"/>
  <c r="P59" i="6" s="1"/>
  <c r="BV59" i="2" s="1"/>
  <c r="G59" i="6"/>
  <c r="Q59" i="6" s="1"/>
  <c r="BW59" i="2" s="1"/>
  <c r="H59" i="6"/>
  <c r="R59" i="6" s="1"/>
  <c r="BX59" i="2" s="1"/>
  <c r="I59" i="6"/>
  <c r="S59" i="6" s="1"/>
  <c r="BY59" i="2" s="1"/>
  <c r="J59" i="6"/>
  <c r="T59" i="6" s="1"/>
  <c r="BZ59" i="2" s="1"/>
  <c r="K59" i="6"/>
  <c r="U59" i="6" s="1"/>
  <c r="CA59" i="2" s="1"/>
  <c r="L59" i="6"/>
  <c r="V59" i="6" s="1"/>
  <c r="CB59" i="2" s="1"/>
  <c r="C60" i="6"/>
  <c r="M60" i="6" s="1"/>
  <c r="D60" i="6"/>
  <c r="N60" i="6" s="1"/>
  <c r="E60" i="6"/>
  <c r="O60" i="6" s="1"/>
  <c r="F60" i="6"/>
  <c r="P60" i="6" s="1"/>
  <c r="G60" i="6"/>
  <c r="Q60" i="6" s="1"/>
  <c r="H60" i="6"/>
  <c r="R60" i="6" s="1"/>
  <c r="I60" i="6"/>
  <c r="S60" i="6" s="1"/>
  <c r="J60" i="6"/>
  <c r="T60" i="6" s="1"/>
  <c r="K60" i="6"/>
  <c r="U60" i="6" s="1"/>
  <c r="L60" i="6"/>
  <c r="V60" i="6" s="1"/>
  <c r="C61" i="6"/>
  <c r="M61" i="6" s="1"/>
  <c r="D61" i="6"/>
  <c r="N61" i="6" s="1"/>
  <c r="E61" i="6"/>
  <c r="O61" i="6" s="1"/>
  <c r="F61" i="6"/>
  <c r="P61" i="6" s="1"/>
  <c r="G61" i="6"/>
  <c r="Q61" i="6" s="1"/>
  <c r="H61" i="6"/>
  <c r="R61" i="6" s="1"/>
  <c r="I61" i="6"/>
  <c r="S61" i="6" s="1"/>
  <c r="J61" i="6"/>
  <c r="T61" i="6" s="1"/>
  <c r="K61" i="6"/>
  <c r="U61" i="6" s="1"/>
  <c r="L61" i="6"/>
  <c r="V61" i="6" s="1"/>
  <c r="C62" i="6"/>
  <c r="M62" i="6" s="1"/>
  <c r="D62" i="6"/>
  <c r="N62" i="6" s="1"/>
  <c r="E62" i="6"/>
  <c r="O62" i="6" s="1"/>
  <c r="F62" i="6"/>
  <c r="P62" i="6" s="1"/>
  <c r="G62" i="6"/>
  <c r="Q62" i="6" s="1"/>
  <c r="H62" i="6"/>
  <c r="R62" i="6" s="1"/>
  <c r="I62" i="6"/>
  <c r="S62" i="6" s="1"/>
  <c r="J62" i="6"/>
  <c r="T62" i="6" s="1"/>
  <c r="K62" i="6"/>
  <c r="U62" i="6" s="1"/>
  <c r="L62" i="6"/>
  <c r="V62" i="6" s="1"/>
  <c r="C63" i="6"/>
  <c r="M63" i="6" s="1"/>
  <c r="D63" i="6"/>
  <c r="N63" i="6" s="1"/>
  <c r="E63" i="6"/>
  <c r="O63" i="6" s="1"/>
  <c r="F63" i="6"/>
  <c r="P63" i="6" s="1"/>
  <c r="G63" i="6"/>
  <c r="Q63" i="6" s="1"/>
  <c r="H63" i="6"/>
  <c r="R63" i="6" s="1"/>
  <c r="I63" i="6"/>
  <c r="S63" i="6" s="1"/>
  <c r="J63" i="6"/>
  <c r="T63" i="6" s="1"/>
  <c r="K63" i="6"/>
  <c r="U63" i="6" s="1"/>
  <c r="L63" i="6"/>
  <c r="V63" i="6" s="1"/>
  <c r="C64" i="6"/>
  <c r="M64" i="6" s="1"/>
  <c r="BS64" i="2" s="1"/>
  <c r="D64" i="6"/>
  <c r="N64" i="6" s="1"/>
  <c r="E64" i="6"/>
  <c r="O64" i="6" s="1"/>
  <c r="F64" i="6"/>
  <c r="P64" i="6" s="1"/>
  <c r="G64" i="6"/>
  <c r="Q64" i="6" s="1"/>
  <c r="H64" i="6"/>
  <c r="R64" i="6" s="1"/>
  <c r="I64" i="6"/>
  <c r="S64" i="6" s="1"/>
  <c r="J64" i="6"/>
  <c r="T64" i="6" s="1"/>
  <c r="K64" i="6"/>
  <c r="U64" i="6" s="1"/>
  <c r="CA64" i="2" s="1"/>
  <c r="L64" i="6"/>
  <c r="V64" i="6" s="1"/>
  <c r="C65" i="6"/>
  <c r="M65" i="6" s="1"/>
  <c r="D65" i="6"/>
  <c r="N65" i="6" s="1"/>
  <c r="E65" i="6"/>
  <c r="O65" i="6" s="1"/>
  <c r="F65" i="6"/>
  <c r="P65" i="6" s="1"/>
  <c r="G65" i="6"/>
  <c r="Q65" i="6" s="1"/>
  <c r="H65" i="6"/>
  <c r="R65" i="6" s="1"/>
  <c r="I65" i="6"/>
  <c r="S65" i="6" s="1"/>
  <c r="BY65" i="2" s="1"/>
  <c r="J65" i="6"/>
  <c r="T65" i="6" s="1"/>
  <c r="K65" i="6"/>
  <c r="U65" i="6" s="1"/>
  <c r="L65" i="6"/>
  <c r="V65" i="6" s="1"/>
  <c r="C66" i="6"/>
  <c r="M66" i="6" s="1"/>
  <c r="D66" i="6"/>
  <c r="N66" i="6" s="1"/>
  <c r="E66" i="6"/>
  <c r="O66" i="6" s="1"/>
  <c r="F66" i="6"/>
  <c r="P66" i="6" s="1"/>
  <c r="G66" i="6"/>
  <c r="Q66" i="6" s="1"/>
  <c r="H66" i="6"/>
  <c r="R66" i="6" s="1"/>
  <c r="I66" i="6"/>
  <c r="S66" i="6" s="1"/>
  <c r="J66" i="6"/>
  <c r="T66" i="6" s="1"/>
  <c r="K66" i="6"/>
  <c r="U66" i="6" s="1"/>
  <c r="L66" i="6"/>
  <c r="V66" i="6" s="1"/>
  <c r="C67" i="6"/>
  <c r="M67" i="6" s="1"/>
  <c r="D67" i="6"/>
  <c r="N67" i="6" s="1"/>
  <c r="E67" i="6"/>
  <c r="O67" i="6" s="1"/>
  <c r="F67" i="6"/>
  <c r="P67" i="6" s="1"/>
  <c r="G67" i="6"/>
  <c r="Q67" i="6" s="1"/>
  <c r="H67" i="6"/>
  <c r="R67" i="6" s="1"/>
  <c r="I67" i="6"/>
  <c r="S67" i="6" s="1"/>
  <c r="J67" i="6"/>
  <c r="T67" i="6" s="1"/>
  <c r="K67" i="6"/>
  <c r="U67" i="6" s="1"/>
  <c r="L67" i="6"/>
  <c r="V67" i="6" s="1"/>
  <c r="C68" i="6"/>
  <c r="M68" i="6" s="1"/>
  <c r="D68" i="6"/>
  <c r="N68" i="6" s="1"/>
  <c r="E68" i="6"/>
  <c r="O68" i="6" s="1"/>
  <c r="F68" i="6"/>
  <c r="P68" i="6" s="1"/>
  <c r="G68" i="6"/>
  <c r="Q68" i="6" s="1"/>
  <c r="H68" i="6"/>
  <c r="R68" i="6" s="1"/>
  <c r="I68" i="6"/>
  <c r="S68" i="6" s="1"/>
  <c r="J68" i="6"/>
  <c r="T68" i="6" s="1"/>
  <c r="K68" i="6"/>
  <c r="U68" i="6" s="1"/>
  <c r="L68" i="6"/>
  <c r="V68" i="6" s="1"/>
  <c r="C69" i="6"/>
  <c r="M69" i="6" s="1"/>
  <c r="D69" i="6"/>
  <c r="N69" i="6" s="1"/>
  <c r="E69" i="6"/>
  <c r="O69" i="6" s="1"/>
  <c r="F69" i="6"/>
  <c r="P69" i="6" s="1"/>
  <c r="G69" i="6"/>
  <c r="Q69" i="6" s="1"/>
  <c r="H69" i="6"/>
  <c r="R69" i="6" s="1"/>
  <c r="I69" i="6"/>
  <c r="S69" i="6" s="1"/>
  <c r="J69" i="6"/>
  <c r="T69" i="6" s="1"/>
  <c r="K69" i="6"/>
  <c r="U69" i="6" s="1"/>
  <c r="L69" i="6"/>
  <c r="V69" i="6" s="1"/>
  <c r="C70" i="6"/>
  <c r="M70" i="6" s="1"/>
  <c r="D70" i="6"/>
  <c r="N70" i="6" s="1"/>
  <c r="E70" i="6"/>
  <c r="O70" i="6" s="1"/>
  <c r="F70" i="6"/>
  <c r="P70" i="6" s="1"/>
  <c r="G70" i="6"/>
  <c r="Q70" i="6" s="1"/>
  <c r="H70" i="6"/>
  <c r="R70" i="6" s="1"/>
  <c r="I70" i="6"/>
  <c r="S70" i="6" s="1"/>
  <c r="J70" i="6"/>
  <c r="T70" i="6" s="1"/>
  <c r="K70" i="6"/>
  <c r="U70" i="6" s="1"/>
  <c r="L70" i="6"/>
  <c r="V70" i="6" s="1"/>
  <c r="C71" i="6"/>
  <c r="M71" i="6" s="1"/>
  <c r="D71" i="6"/>
  <c r="N71" i="6" s="1"/>
  <c r="E71" i="6"/>
  <c r="O71" i="6" s="1"/>
  <c r="F71" i="6"/>
  <c r="P71" i="6" s="1"/>
  <c r="G71" i="6"/>
  <c r="Q71" i="6" s="1"/>
  <c r="H71" i="6"/>
  <c r="R71" i="6" s="1"/>
  <c r="I71" i="6"/>
  <c r="S71" i="6" s="1"/>
  <c r="J71" i="6"/>
  <c r="T71" i="6" s="1"/>
  <c r="K71" i="6"/>
  <c r="U71" i="6" s="1"/>
  <c r="L71" i="6"/>
  <c r="V71" i="6" s="1"/>
  <c r="C72" i="6"/>
  <c r="M72" i="6" s="1"/>
  <c r="D72" i="6"/>
  <c r="N72" i="6" s="1"/>
  <c r="E72" i="6"/>
  <c r="O72" i="6" s="1"/>
  <c r="F72" i="6"/>
  <c r="P72" i="6" s="1"/>
  <c r="G72" i="6"/>
  <c r="Q72" i="6" s="1"/>
  <c r="H72" i="6"/>
  <c r="R72" i="6" s="1"/>
  <c r="I72" i="6"/>
  <c r="S72" i="6" s="1"/>
  <c r="J72" i="6"/>
  <c r="T72" i="6" s="1"/>
  <c r="K72" i="6"/>
  <c r="U72" i="6" s="1"/>
  <c r="L72" i="6"/>
  <c r="V72" i="6" s="1"/>
  <c r="C73" i="6"/>
  <c r="M73" i="6" s="1"/>
  <c r="D73" i="6"/>
  <c r="N73" i="6" s="1"/>
  <c r="E73" i="6"/>
  <c r="O73" i="6" s="1"/>
  <c r="F73" i="6"/>
  <c r="P73" i="6" s="1"/>
  <c r="G73" i="6"/>
  <c r="Q73" i="6" s="1"/>
  <c r="H73" i="6"/>
  <c r="R73" i="6" s="1"/>
  <c r="I73" i="6"/>
  <c r="S73" i="6" s="1"/>
  <c r="J73" i="6"/>
  <c r="T73" i="6" s="1"/>
  <c r="K73" i="6"/>
  <c r="U73" i="6" s="1"/>
  <c r="L73" i="6"/>
  <c r="V73" i="6" s="1"/>
  <c r="C74" i="6"/>
  <c r="M74" i="6" s="1"/>
  <c r="D74" i="6"/>
  <c r="N74" i="6" s="1"/>
  <c r="E74" i="6"/>
  <c r="O74" i="6" s="1"/>
  <c r="F74" i="6"/>
  <c r="P74" i="6" s="1"/>
  <c r="G74" i="6"/>
  <c r="Q74" i="6" s="1"/>
  <c r="H74" i="6"/>
  <c r="R74" i="6" s="1"/>
  <c r="I74" i="6"/>
  <c r="S74" i="6" s="1"/>
  <c r="J74" i="6"/>
  <c r="T74" i="6" s="1"/>
  <c r="K74" i="6"/>
  <c r="U74" i="6" s="1"/>
  <c r="L74" i="6"/>
  <c r="V74" i="6" s="1"/>
  <c r="C75" i="6"/>
  <c r="M75" i="6" s="1"/>
  <c r="D75" i="6"/>
  <c r="N75" i="6" s="1"/>
  <c r="E75" i="6"/>
  <c r="O75" i="6" s="1"/>
  <c r="F75" i="6"/>
  <c r="P75" i="6" s="1"/>
  <c r="G75" i="6"/>
  <c r="Q75" i="6" s="1"/>
  <c r="H75" i="6"/>
  <c r="R75" i="6" s="1"/>
  <c r="I75" i="6"/>
  <c r="S75" i="6" s="1"/>
  <c r="J75" i="6"/>
  <c r="T75" i="6" s="1"/>
  <c r="K75" i="6"/>
  <c r="U75" i="6" s="1"/>
  <c r="L75" i="6"/>
  <c r="V75" i="6" s="1"/>
  <c r="C76" i="6"/>
  <c r="M76" i="6" s="1"/>
  <c r="D76" i="6"/>
  <c r="N76" i="6" s="1"/>
  <c r="E76" i="6"/>
  <c r="O76" i="6" s="1"/>
  <c r="F76" i="6"/>
  <c r="P76" i="6" s="1"/>
  <c r="G76" i="6"/>
  <c r="Q76" i="6" s="1"/>
  <c r="H76" i="6"/>
  <c r="R76" i="6" s="1"/>
  <c r="I76" i="6"/>
  <c r="S76" i="6" s="1"/>
  <c r="J76" i="6"/>
  <c r="T76" i="6" s="1"/>
  <c r="K76" i="6"/>
  <c r="U76" i="6" s="1"/>
  <c r="L76" i="6"/>
  <c r="V76" i="6" s="1"/>
  <c r="C77" i="6"/>
  <c r="M77" i="6" s="1"/>
  <c r="D77" i="6"/>
  <c r="N77" i="6" s="1"/>
  <c r="E77" i="6"/>
  <c r="O77" i="6" s="1"/>
  <c r="F77" i="6"/>
  <c r="P77" i="6" s="1"/>
  <c r="G77" i="6"/>
  <c r="Q77" i="6" s="1"/>
  <c r="H77" i="6"/>
  <c r="R77" i="6" s="1"/>
  <c r="I77" i="6"/>
  <c r="S77" i="6" s="1"/>
  <c r="J77" i="6"/>
  <c r="T77" i="6" s="1"/>
  <c r="K77" i="6"/>
  <c r="U77" i="6" s="1"/>
  <c r="L77" i="6"/>
  <c r="V77" i="6" s="1"/>
  <c r="C78" i="6"/>
  <c r="M78" i="6" s="1"/>
  <c r="D78" i="6"/>
  <c r="N78" i="6" s="1"/>
  <c r="E78" i="6"/>
  <c r="O78" i="6" s="1"/>
  <c r="F78" i="6"/>
  <c r="P78" i="6" s="1"/>
  <c r="G78" i="6"/>
  <c r="Q78" i="6" s="1"/>
  <c r="H78" i="6"/>
  <c r="R78" i="6" s="1"/>
  <c r="I78" i="6"/>
  <c r="S78" i="6" s="1"/>
  <c r="J78" i="6"/>
  <c r="T78" i="6" s="1"/>
  <c r="K78" i="6"/>
  <c r="U78" i="6" s="1"/>
  <c r="L78" i="6"/>
  <c r="V78" i="6" s="1"/>
  <c r="C79" i="6"/>
  <c r="M79" i="6" s="1"/>
  <c r="D79" i="6"/>
  <c r="N79" i="6" s="1"/>
  <c r="E79" i="6"/>
  <c r="O79" i="6" s="1"/>
  <c r="F79" i="6"/>
  <c r="P79" i="6" s="1"/>
  <c r="G79" i="6"/>
  <c r="Q79" i="6" s="1"/>
  <c r="H79" i="6"/>
  <c r="R79" i="6" s="1"/>
  <c r="I79" i="6"/>
  <c r="S79" i="6" s="1"/>
  <c r="J79" i="6"/>
  <c r="T79" i="6" s="1"/>
  <c r="K79" i="6"/>
  <c r="U79" i="6" s="1"/>
  <c r="L79" i="6"/>
  <c r="V79" i="6" s="1"/>
  <c r="C80" i="6"/>
  <c r="M80" i="6" s="1"/>
  <c r="D80" i="6"/>
  <c r="N80" i="6" s="1"/>
  <c r="E80" i="6"/>
  <c r="O80" i="6" s="1"/>
  <c r="F80" i="6"/>
  <c r="P80" i="6" s="1"/>
  <c r="G80" i="6"/>
  <c r="Q80" i="6" s="1"/>
  <c r="H80" i="6"/>
  <c r="R80" i="6" s="1"/>
  <c r="I80" i="6"/>
  <c r="S80" i="6" s="1"/>
  <c r="J80" i="6"/>
  <c r="T80" i="6" s="1"/>
  <c r="K80" i="6"/>
  <c r="U80" i="6" s="1"/>
  <c r="L80" i="6"/>
  <c r="V80" i="6" s="1"/>
  <c r="C81" i="6"/>
  <c r="M81" i="6" s="1"/>
  <c r="D81" i="6"/>
  <c r="N81" i="6" s="1"/>
  <c r="E81" i="6"/>
  <c r="O81" i="6" s="1"/>
  <c r="F81" i="6"/>
  <c r="P81" i="6" s="1"/>
  <c r="G81" i="6"/>
  <c r="Q81" i="6" s="1"/>
  <c r="H81" i="6"/>
  <c r="R81" i="6" s="1"/>
  <c r="I81" i="6"/>
  <c r="S81" i="6" s="1"/>
  <c r="J81" i="6"/>
  <c r="T81" i="6" s="1"/>
  <c r="K81" i="6"/>
  <c r="U81" i="6" s="1"/>
  <c r="L81" i="6"/>
  <c r="V81" i="6" s="1"/>
  <c r="C82" i="6"/>
  <c r="M82" i="6" s="1"/>
  <c r="D82" i="6"/>
  <c r="N82" i="6" s="1"/>
  <c r="E82" i="6"/>
  <c r="O82" i="6" s="1"/>
  <c r="F82" i="6"/>
  <c r="P82" i="6" s="1"/>
  <c r="G82" i="6"/>
  <c r="Q82" i="6" s="1"/>
  <c r="H82" i="6"/>
  <c r="R82" i="6" s="1"/>
  <c r="I82" i="6"/>
  <c r="S82" i="6" s="1"/>
  <c r="J82" i="6"/>
  <c r="T82" i="6" s="1"/>
  <c r="K82" i="6"/>
  <c r="U82" i="6" s="1"/>
  <c r="CA82" i="2" s="1"/>
  <c r="L82" i="6"/>
  <c r="V82" i="6" s="1"/>
  <c r="C83" i="6"/>
  <c r="M83" i="6" s="1"/>
  <c r="D83" i="6"/>
  <c r="N83" i="6" s="1"/>
  <c r="E83" i="6"/>
  <c r="O83" i="6" s="1"/>
  <c r="BU83" i="2" s="1"/>
  <c r="F83" i="6"/>
  <c r="P83" i="6" s="1"/>
  <c r="G83" i="6"/>
  <c r="Q83" i="6" s="1"/>
  <c r="H83" i="6"/>
  <c r="R83" i="6" s="1"/>
  <c r="I83" i="6"/>
  <c r="S83" i="6" s="1"/>
  <c r="BY83" i="2" s="1"/>
  <c r="J83" i="6"/>
  <c r="T83" i="6" s="1"/>
  <c r="K83" i="6"/>
  <c r="U83" i="6" s="1"/>
  <c r="L83" i="6"/>
  <c r="V83" i="6" s="1"/>
  <c r="C84" i="6"/>
  <c r="M84" i="6" s="1"/>
  <c r="BS84" i="2" s="1"/>
  <c r="D84" i="6"/>
  <c r="N84" i="6" s="1"/>
  <c r="E84" i="6"/>
  <c r="O84" i="6" s="1"/>
  <c r="F84" i="6"/>
  <c r="P84" i="6" s="1"/>
  <c r="G84" i="6"/>
  <c r="Q84" i="6" s="1"/>
  <c r="BW84" i="2" s="1"/>
  <c r="H84" i="6"/>
  <c r="R84" i="6" s="1"/>
  <c r="I84" i="6"/>
  <c r="S84" i="6" s="1"/>
  <c r="J84" i="6"/>
  <c r="T84" i="6" s="1"/>
  <c r="K84" i="6"/>
  <c r="U84" i="6" s="1"/>
  <c r="CA84" i="2" s="1"/>
  <c r="L84" i="6"/>
  <c r="V84" i="6" s="1"/>
  <c r="C85" i="6"/>
  <c r="M85" i="6" s="1"/>
  <c r="D85" i="6"/>
  <c r="N85" i="6" s="1"/>
  <c r="E85" i="6"/>
  <c r="O85" i="6" s="1"/>
  <c r="BU85" i="2" s="1"/>
  <c r="F85" i="6"/>
  <c r="P85" i="6" s="1"/>
  <c r="G85" i="6"/>
  <c r="Q85" i="6" s="1"/>
  <c r="H85" i="6"/>
  <c r="R85" i="6" s="1"/>
  <c r="I85" i="6"/>
  <c r="S85" i="6" s="1"/>
  <c r="BY85" i="2" s="1"/>
  <c r="J85" i="6"/>
  <c r="T85" i="6" s="1"/>
  <c r="K85" i="6"/>
  <c r="U85" i="6" s="1"/>
  <c r="L85" i="6"/>
  <c r="V85" i="6" s="1"/>
  <c r="C86" i="6"/>
  <c r="M86" i="6" s="1"/>
  <c r="BS86" i="2" s="1"/>
  <c r="D86" i="6"/>
  <c r="N86" i="6" s="1"/>
  <c r="E86" i="6"/>
  <c r="O86" i="6" s="1"/>
  <c r="F86" i="6"/>
  <c r="P86" i="6" s="1"/>
  <c r="G86" i="6"/>
  <c r="Q86" i="6" s="1"/>
  <c r="BW86" i="2" s="1"/>
  <c r="H86" i="6"/>
  <c r="R86" i="6" s="1"/>
  <c r="I86" i="6"/>
  <c r="S86" i="6" s="1"/>
  <c r="J86" i="6"/>
  <c r="T86" i="6" s="1"/>
  <c r="K86" i="6"/>
  <c r="U86" i="6" s="1"/>
  <c r="CA86" i="2" s="1"/>
  <c r="L86" i="6"/>
  <c r="V86" i="6" s="1"/>
  <c r="C87" i="6"/>
  <c r="M87" i="6" s="1"/>
  <c r="D87" i="6"/>
  <c r="N87" i="6" s="1"/>
  <c r="E87" i="6"/>
  <c r="O87" i="6" s="1"/>
  <c r="BU87" i="2" s="1"/>
  <c r="F87" i="6"/>
  <c r="P87" i="6" s="1"/>
  <c r="G87" i="6"/>
  <c r="Q87" i="6" s="1"/>
  <c r="H87" i="6"/>
  <c r="R87" i="6" s="1"/>
  <c r="I87" i="6"/>
  <c r="S87" i="6" s="1"/>
  <c r="BY87" i="2" s="1"/>
  <c r="J87" i="6"/>
  <c r="T87" i="6" s="1"/>
  <c r="K87" i="6"/>
  <c r="U87" i="6" s="1"/>
  <c r="L87" i="6"/>
  <c r="V87" i="6" s="1"/>
  <c r="C88" i="6"/>
  <c r="M88" i="6" s="1"/>
  <c r="BS88" i="2" s="1"/>
  <c r="D88" i="6"/>
  <c r="N88" i="6" s="1"/>
  <c r="E88" i="6"/>
  <c r="O88" i="6" s="1"/>
  <c r="F88" i="6"/>
  <c r="P88" i="6" s="1"/>
  <c r="G88" i="6"/>
  <c r="Q88" i="6" s="1"/>
  <c r="BW88" i="2" s="1"/>
  <c r="H88" i="6"/>
  <c r="R88" i="6" s="1"/>
  <c r="I88" i="6"/>
  <c r="S88" i="6" s="1"/>
  <c r="J88" i="6"/>
  <c r="T88" i="6" s="1"/>
  <c r="K88" i="6"/>
  <c r="U88" i="6" s="1"/>
  <c r="CA88" i="2" s="1"/>
  <c r="L88" i="6"/>
  <c r="V88" i="6" s="1"/>
  <c r="C89" i="6"/>
  <c r="M89" i="6" s="1"/>
  <c r="D89" i="6"/>
  <c r="N89" i="6" s="1"/>
  <c r="E89" i="6"/>
  <c r="O89" i="6" s="1"/>
  <c r="BU89" i="2" s="1"/>
  <c r="F89" i="6"/>
  <c r="P89" i="6" s="1"/>
  <c r="G89" i="6"/>
  <c r="Q89" i="6" s="1"/>
  <c r="H89" i="6"/>
  <c r="R89" i="6" s="1"/>
  <c r="I89" i="6"/>
  <c r="S89" i="6" s="1"/>
  <c r="BY89" i="2" s="1"/>
  <c r="J89" i="6"/>
  <c r="T89" i="6" s="1"/>
  <c r="K89" i="6"/>
  <c r="U89" i="6" s="1"/>
  <c r="L89" i="6"/>
  <c r="V89" i="6" s="1"/>
  <c r="C90" i="6"/>
  <c r="M90" i="6" s="1"/>
  <c r="BS90" i="2" s="1"/>
  <c r="D90" i="6"/>
  <c r="N90" i="6" s="1"/>
  <c r="E90" i="6"/>
  <c r="O90" i="6" s="1"/>
  <c r="F90" i="6"/>
  <c r="P90" i="6" s="1"/>
  <c r="G90" i="6"/>
  <c r="Q90" i="6" s="1"/>
  <c r="BW90" i="2" s="1"/>
  <c r="H90" i="6"/>
  <c r="R90" i="6" s="1"/>
  <c r="I90" i="6"/>
  <c r="S90" i="6" s="1"/>
  <c r="J90" i="6"/>
  <c r="T90" i="6" s="1"/>
  <c r="K90" i="6"/>
  <c r="U90" i="6" s="1"/>
  <c r="CA90" i="2" s="1"/>
  <c r="L90" i="6"/>
  <c r="V90" i="6" s="1"/>
  <c r="C91" i="6"/>
  <c r="M91" i="6" s="1"/>
  <c r="D91" i="6"/>
  <c r="N91" i="6" s="1"/>
  <c r="E91" i="6"/>
  <c r="O91" i="6" s="1"/>
  <c r="BU91" i="2" s="1"/>
  <c r="F91" i="6"/>
  <c r="P91" i="6" s="1"/>
  <c r="G91" i="6"/>
  <c r="Q91" i="6" s="1"/>
  <c r="H91" i="6"/>
  <c r="R91" i="6" s="1"/>
  <c r="I91" i="6"/>
  <c r="S91" i="6" s="1"/>
  <c r="BY91" i="2" s="1"/>
  <c r="J91" i="6"/>
  <c r="T91" i="6" s="1"/>
  <c r="K91" i="6"/>
  <c r="U91" i="6" s="1"/>
  <c r="L91" i="6"/>
  <c r="V91" i="6" s="1"/>
  <c r="C92" i="6"/>
  <c r="M92" i="6" s="1"/>
  <c r="BS92" i="2" s="1"/>
  <c r="D92" i="6"/>
  <c r="N92" i="6" s="1"/>
  <c r="E92" i="6"/>
  <c r="O92" i="6" s="1"/>
  <c r="F92" i="6"/>
  <c r="P92" i="6" s="1"/>
  <c r="G92" i="6"/>
  <c r="Q92" i="6" s="1"/>
  <c r="BW92" i="2" s="1"/>
  <c r="H92" i="6"/>
  <c r="R92" i="6" s="1"/>
  <c r="I92" i="6"/>
  <c r="S92" i="6" s="1"/>
  <c r="J92" i="6"/>
  <c r="T92" i="6" s="1"/>
  <c r="K92" i="6"/>
  <c r="U92" i="6" s="1"/>
  <c r="CA92" i="2" s="1"/>
  <c r="L92" i="6"/>
  <c r="V92" i="6" s="1"/>
  <c r="C93" i="6"/>
  <c r="M93" i="6" s="1"/>
  <c r="D93" i="6"/>
  <c r="N93" i="6" s="1"/>
  <c r="E93" i="6"/>
  <c r="O93" i="6" s="1"/>
  <c r="BU93" i="2" s="1"/>
  <c r="F93" i="6"/>
  <c r="P93" i="6" s="1"/>
  <c r="G93" i="6"/>
  <c r="Q93" i="6" s="1"/>
  <c r="H93" i="6"/>
  <c r="R93" i="6" s="1"/>
  <c r="I93" i="6"/>
  <c r="S93" i="6" s="1"/>
  <c r="BY93" i="2" s="1"/>
  <c r="J93" i="6"/>
  <c r="T93" i="6" s="1"/>
  <c r="K93" i="6"/>
  <c r="U93" i="6" s="1"/>
  <c r="L93" i="6"/>
  <c r="V93" i="6" s="1"/>
  <c r="C94" i="6"/>
  <c r="M94" i="6" s="1"/>
  <c r="BS94" i="2" s="1"/>
  <c r="D94" i="6"/>
  <c r="N94" i="6" s="1"/>
  <c r="E94" i="6"/>
  <c r="O94" i="6" s="1"/>
  <c r="F94" i="6"/>
  <c r="P94" i="6" s="1"/>
  <c r="G94" i="6"/>
  <c r="Q94" i="6" s="1"/>
  <c r="BW94" i="2" s="1"/>
  <c r="H94" i="6"/>
  <c r="R94" i="6" s="1"/>
  <c r="I94" i="6"/>
  <c r="S94" i="6" s="1"/>
  <c r="J94" i="6"/>
  <c r="T94" i="6" s="1"/>
  <c r="K94" i="6"/>
  <c r="U94" i="6" s="1"/>
  <c r="CA94" i="2" s="1"/>
  <c r="L94" i="6"/>
  <c r="V94" i="6" s="1"/>
  <c r="C95" i="6"/>
  <c r="M95" i="6" s="1"/>
  <c r="D95" i="6"/>
  <c r="N95" i="6" s="1"/>
  <c r="E95" i="6"/>
  <c r="O95" i="6" s="1"/>
  <c r="BU95" i="2" s="1"/>
  <c r="F95" i="6"/>
  <c r="P95" i="6" s="1"/>
  <c r="G95" i="6"/>
  <c r="Q95" i="6" s="1"/>
  <c r="H95" i="6"/>
  <c r="R95" i="6" s="1"/>
  <c r="I95" i="6"/>
  <c r="S95" i="6" s="1"/>
  <c r="BY95" i="2" s="1"/>
  <c r="J95" i="6"/>
  <c r="T95" i="6" s="1"/>
  <c r="K95" i="6"/>
  <c r="U95" i="6" s="1"/>
  <c r="L95" i="6"/>
  <c r="V95" i="6" s="1"/>
  <c r="C96" i="6"/>
  <c r="M96" i="6" s="1"/>
  <c r="BS96" i="2" s="1"/>
  <c r="D96" i="6"/>
  <c r="N96" i="6" s="1"/>
  <c r="E96" i="6"/>
  <c r="O96" i="6" s="1"/>
  <c r="F96" i="6"/>
  <c r="P96" i="6" s="1"/>
  <c r="G96" i="6"/>
  <c r="Q96" i="6" s="1"/>
  <c r="BW96" i="2" s="1"/>
  <c r="H96" i="6"/>
  <c r="R96" i="6" s="1"/>
  <c r="I96" i="6"/>
  <c r="S96" i="6" s="1"/>
  <c r="J96" i="6"/>
  <c r="T96" i="6" s="1"/>
  <c r="K96" i="6"/>
  <c r="U96" i="6" s="1"/>
  <c r="CA96" i="2" s="1"/>
  <c r="L96" i="6"/>
  <c r="V96" i="6" s="1"/>
  <c r="C97" i="6"/>
  <c r="M97" i="6" s="1"/>
  <c r="D97" i="6"/>
  <c r="N97" i="6" s="1"/>
  <c r="E97" i="6"/>
  <c r="O97" i="6" s="1"/>
  <c r="BU97" i="2" s="1"/>
  <c r="F97" i="6"/>
  <c r="P97" i="6" s="1"/>
  <c r="G97" i="6"/>
  <c r="Q97" i="6" s="1"/>
  <c r="H97" i="6"/>
  <c r="R97" i="6" s="1"/>
  <c r="I97" i="6"/>
  <c r="S97" i="6" s="1"/>
  <c r="BY97" i="2" s="1"/>
  <c r="J97" i="6"/>
  <c r="T97" i="6" s="1"/>
  <c r="K97" i="6"/>
  <c r="U97" i="6" s="1"/>
  <c r="L97" i="6"/>
  <c r="V97" i="6" s="1"/>
  <c r="C98" i="6"/>
  <c r="M98" i="6" s="1"/>
  <c r="BS98" i="2" s="1"/>
  <c r="D98" i="6"/>
  <c r="N98" i="6" s="1"/>
  <c r="E98" i="6"/>
  <c r="O98" i="6" s="1"/>
  <c r="F98" i="6"/>
  <c r="P98" i="6" s="1"/>
  <c r="G98" i="6"/>
  <c r="Q98" i="6" s="1"/>
  <c r="BW98" i="2" s="1"/>
  <c r="H98" i="6"/>
  <c r="R98" i="6" s="1"/>
  <c r="I98" i="6"/>
  <c r="S98" i="6" s="1"/>
  <c r="J98" i="6"/>
  <c r="T98" i="6" s="1"/>
  <c r="K98" i="6"/>
  <c r="U98" i="6" s="1"/>
  <c r="CA98" i="2" s="1"/>
  <c r="L98" i="6"/>
  <c r="V98" i="6" s="1"/>
  <c r="N2" i="6"/>
  <c r="E2" i="6"/>
  <c r="O2" i="6" s="1"/>
  <c r="F2" i="6"/>
  <c r="P2" i="6" s="1"/>
  <c r="BV2" i="2" s="1"/>
  <c r="G2" i="6"/>
  <c r="Q2" i="6" s="1"/>
  <c r="H2" i="6"/>
  <c r="R2" i="6" s="1"/>
  <c r="I2" i="6"/>
  <c r="S2" i="6" s="1"/>
  <c r="J2" i="6"/>
  <c r="T2" i="6" s="1"/>
  <c r="BZ2" i="2" s="1"/>
  <c r="K2" i="6"/>
  <c r="U2" i="6" s="1"/>
  <c r="CA2" i="2" s="1"/>
  <c r="L2" i="6"/>
  <c r="V2" i="6" s="1"/>
  <c r="L1" i="6"/>
  <c r="K1" i="6"/>
  <c r="J1" i="6"/>
  <c r="I1" i="6"/>
  <c r="H1" i="6"/>
  <c r="G1" i="6"/>
  <c r="F1" i="6"/>
  <c r="E1" i="6"/>
  <c r="D1" i="6"/>
  <c r="C1" i="6"/>
  <c r="M3" i="7"/>
  <c r="CD3" i="2" s="1"/>
  <c r="N3" i="7"/>
  <c r="CE3" i="2" s="1"/>
  <c r="O3" i="7"/>
  <c r="CF3" i="2" s="1"/>
  <c r="P3" i="7"/>
  <c r="CG3" i="2" s="1"/>
  <c r="Q3" i="7"/>
  <c r="CH3" i="2" s="1"/>
  <c r="R3" i="7"/>
  <c r="CI3" i="2" s="1"/>
  <c r="S3" i="7"/>
  <c r="CJ3" i="2" s="1"/>
  <c r="T3" i="7"/>
  <c r="CK3" i="2" s="1"/>
  <c r="U3" i="7"/>
  <c r="CL3" i="2" s="1"/>
  <c r="V3" i="7"/>
  <c r="CM3" i="2" s="1"/>
  <c r="M4" i="7"/>
  <c r="N4" i="7"/>
  <c r="O4" i="7"/>
  <c r="P4" i="7"/>
  <c r="Q4" i="7"/>
  <c r="R4" i="7"/>
  <c r="S4" i="7"/>
  <c r="T4" i="7"/>
  <c r="U4" i="7"/>
  <c r="V4" i="7"/>
  <c r="M5" i="7"/>
  <c r="N5" i="7"/>
  <c r="O5" i="7"/>
  <c r="P5" i="7"/>
  <c r="Q5" i="7"/>
  <c r="R5" i="7"/>
  <c r="S5" i="7"/>
  <c r="T5" i="7"/>
  <c r="U5" i="7"/>
  <c r="V5" i="7"/>
  <c r="M6" i="7"/>
  <c r="N6" i="7"/>
  <c r="O6" i="7"/>
  <c r="P6" i="7"/>
  <c r="Q6" i="7"/>
  <c r="R6" i="7"/>
  <c r="S6" i="7"/>
  <c r="T6" i="7"/>
  <c r="U6" i="7"/>
  <c r="V6" i="7"/>
  <c r="M7" i="7"/>
  <c r="N7" i="7"/>
  <c r="O7" i="7"/>
  <c r="P7" i="7"/>
  <c r="Q7" i="7"/>
  <c r="R7" i="7"/>
  <c r="S7" i="7"/>
  <c r="T7" i="7"/>
  <c r="U7" i="7"/>
  <c r="V7" i="7"/>
  <c r="M8" i="7"/>
  <c r="N8" i="7"/>
  <c r="O8" i="7"/>
  <c r="P8" i="7"/>
  <c r="Q8" i="7"/>
  <c r="R8" i="7"/>
  <c r="S8" i="7"/>
  <c r="T8" i="7"/>
  <c r="U8" i="7"/>
  <c r="V8" i="7"/>
  <c r="M9" i="7"/>
  <c r="N9" i="7"/>
  <c r="O9" i="7"/>
  <c r="P9" i="7"/>
  <c r="Q9" i="7"/>
  <c r="R9" i="7"/>
  <c r="S9" i="7"/>
  <c r="T9" i="7"/>
  <c r="U9" i="7"/>
  <c r="V9" i="7"/>
  <c r="M10" i="7"/>
  <c r="N10" i="7"/>
  <c r="O10" i="7"/>
  <c r="P10" i="7"/>
  <c r="Q10" i="7"/>
  <c r="R10" i="7"/>
  <c r="S10" i="7"/>
  <c r="T10" i="7"/>
  <c r="U10" i="7"/>
  <c r="V10" i="7"/>
  <c r="M11" i="7"/>
  <c r="N11" i="7"/>
  <c r="O11" i="7"/>
  <c r="P11" i="7"/>
  <c r="Q11" i="7"/>
  <c r="R11" i="7"/>
  <c r="S11" i="7"/>
  <c r="T11" i="7"/>
  <c r="U11" i="7"/>
  <c r="V11" i="7"/>
  <c r="M12" i="7"/>
  <c r="N12" i="7"/>
  <c r="O12" i="7"/>
  <c r="P12" i="7"/>
  <c r="Q12" i="7"/>
  <c r="R12" i="7"/>
  <c r="S12" i="7"/>
  <c r="T12" i="7"/>
  <c r="U12" i="7"/>
  <c r="V12" i="7"/>
  <c r="M13" i="7"/>
  <c r="N13" i="7"/>
  <c r="O13" i="7"/>
  <c r="P13" i="7"/>
  <c r="Q13" i="7"/>
  <c r="R13" i="7"/>
  <c r="S13" i="7"/>
  <c r="T13" i="7"/>
  <c r="U13" i="7"/>
  <c r="V13" i="7"/>
  <c r="M14" i="7"/>
  <c r="N14" i="7"/>
  <c r="O14" i="7"/>
  <c r="P14" i="7"/>
  <c r="Q14" i="7"/>
  <c r="R14" i="7"/>
  <c r="S14" i="7"/>
  <c r="T14" i="7"/>
  <c r="U14" i="7"/>
  <c r="V14" i="7"/>
  <c r="M15" i="7"/>
  <c r="N15" i="7"/>
  <c r="O15" i="7"/>
  <c r="P15" i="7"/>
  <c r="Q15" i="7"/>
  <c r="R15" i="7"/>
  <c r="S15" i="7"/>
  <c r="T15" i="7"/>
  <c r="U15" i="7"/>
  <c r="V15" i="7"/>
  <c r="M16" i="7"/>
  <c r="N16" i="7"/>
  <c r="O16" i="7"/>
  <c r="P16" i="7"/>
  <c r="Q16" i="7"/>
  <c r="R16" i="7"/>
  <c r="S16" i="7"/>
  <c r="T16" i="7"/>
  <c r="U16" i="7"/>
  <c r="V16" i="7"/>
  <c r="M17" i="7"/>
  <c r="N17" i="7"/>
  <c r="O17" i="7"/>
  <c r="P17" i="7"/>
  <c r="Q17" i="7"/>
  <c r="R17" i="7"/>
  <c r="S17" i="7"/>
  <c r="T17" i="7"/>
  <c r="U17" i="7"/>
  <c r="V17" i="7"/>
  <c r="M18" i="7"/>
  <c r="N18" i="7"/>
  <c r="O18" i="7"/>
  <c r="P18" i="7"/>
  <c r="Q18" i="7"/>
  <c r="R18" i="7"/>
  <c r="S18" i="7"/>
  <c r="T18" i="7"/>
  <c r="U18" i="7"/>
  <c r="V18" i="7"/>
  <c r="M19" i="7"/>
  <c r="N19" i="7"/>
  <c r="O19" i="7"/>
  <c r="P19" i="7"/>
  <c r="Q19" i="7"/>
  <c r="R19" i="7"/>
  <c r="S19" i="7"/>
  <c r="T19" i="7"/>
  <c r="U19" i="7"/>
  <c r="V19" i="7"/>
  <c r="M20" i="7"/>
  <c r="N20" i="7"/>
  <c r="O20" i="7"/>
  <c r="P20" i="7"/>
  <c r="Q20" i="7"/>
  <c r="R20" i="7"/>
  <c r="S20" i="7"/>
  <c r="T20" i="7"/>
  <c r="U20" i="7"/>
  <c r="V20" i="7"/>
  <c r="M21" i="7"/>
  <c r="N21" i="7"/>
  <c r="O21" i="7"/>
  <c r="P21" i="7"/>
  <c r="Q21" i="7"/>
  <c r="R21" i="7"/>
  <c r="S21" i="7"/>
  <c r="T21" i="7"/>
  <c r="U21" i="7"/>
  <c r="V21" i="7"/>
  <c r="M22" i="7"/>
  <c r="N22" i="7"/>
  <c r="O22" i="7"/>
  <c r="P22" i="7"/>
  <c r="Q22" i="7"/>
  <c r="R22" i="7"/>
  <c r="S22" i="7"/>
  <c r="T22" i="7"/>
  <c r="U22" i="7"/>
  <c r="V22" i="7"/>
  <c r="M23" i="7"/>
  <c r="N23" i="7"/>
  <c r="O23" i="7"/>
  <c r="P23" i="7"/>
  <c r="Q23" i="7"/>
  <c r="R23" i="7"/>
  <c r="S23" i="7"/>
  <c r="T23" i="7"/>
  <c r="U23" i="7"/>
  <c r="V23" i="7"/>
  <c r="M24" i="7"/>
  <c r="N24" i="7"/>
  <c r="O24" i="7"/>
  <c r="P24" i="7"/>
  <c r="Q24" i="7"/>
  <c r="R24" i="7"/>
  <c r="S24" i="7"/>
  <c r="T24" i="7"/>
  <c r="U24" i="7"/>
  <c r="V24" i="7"/>
  <c r="M25" i="7"/>
  <c r="N25" i="7"/>
  <c r="O25" i="7"/>
  <c r="P25" i="7"/>
  <c r="Q25" i="7"/>
  <c r="R25" i="7"/>
  <c r="S25" i="7"/>
  <c r="T25" i="7"/>
  <c r="U25" i="7"/>
  <c r="V25" i="7"/>
  <c r="M26" i="7"/>
  <c r="N26" i="7"/>
  <c r="O26" i="7"/>
  <c r="P26" i="7"/>
  <c r="Q26" i="7"/>
  <c r="R26" i="7"/>
  <c r="S26" i="7"/>
  <c r="T26" i="7"/>
  <c r="U26" i="7"/>
  <c r="V26" i="7"/>
  <c r="M27" i="7"/>
  <c r="N27" i="7"/>
  <c r="O27" i="7"/>
  <c r="P27" i="7"/>
  <c r="Q27" i="7"/>
  <c r="R27" i="7"/>
  <c r="S27" i="7"/>
  <c r="T27" i="7"/>
  <c r="U27" i="7"/>
  <c r="V27" i="7"/>
  <c r="M28" i="7"/>
  <c r="N28" i="7"/>
  <c r="O28" i="7"/>
  <c r="P28" i="7"/>
  <c r="Q28" i="7"/>
  <c r="R28" i="7"/>
  <c r="S28" i="7"/>
  <c r="T28" i="7"/>
  <c r="U28" i="7"/>
  <c r="V28" i="7"/>
  <c r="M29" i="7"/>
  <c r="N29" i="7"/>
  <c r="O29" i="7"/>
  <c r="P29" i="7"/>
  <c r="Q29" i="7"/>
  <c r="R29" i="7"/>
  <c r="S29" i="7"/>
  <c r="T29" i="7"/>
  <c r="U29" i="7"/>
  <c r="V29" i="7"/>
  <c r="M30" i="7"/>
  <c r="N30" i="7"/>
  <c r="O30" i="7"/>
  <c r="P30" i="7"/>
  <c r="Q30" i="7"/>
  <c r="R30" i="7"/>
  <c r="S30" i="7"/>
  <c r="T30" i="7"/>
  <c r="U30" i="7"/>
  <c r="V30" i="7"/>
  <c r="M31" i="7"/>
  <c r="N31" i="7"/>
  <c r="O31" i="7"/>
  <c r="P31" i="7"/>
  <c r="Q31" i="7"/>
  <c r="R31" i="7"/>
  <c r="S31" i="7"/>
  <c r="T31" i="7"/>
  <c r="U31" i="7"/>
  <c r="V31" i="7"/>
  <c r="M32" i="7"/>
  <c r="N32" i="7"/>
  <c r="O32" i="7"/>
  <c r="P32" i="7"/>
  <c r="Q32" i="7"/>
  <c r="R32" i="7"/>
  <c r="S32" i="7"/>
  <c r="T32" i="7"/>
  <c r="U32" i="7"/>
  <c r="V32" i="7"/>
  <c r="M33" i="7"/>
  <c r="N33" i="7"/>
  <c r="O33" i="7"/>
  <c r="P33" i="7"/>
  <c r="Q33" i="7"/>
  <c r="R33" i="7"/>
  <c r="S33" i="7"/>
  <c r="T33" i="7"/>
  <c r="U33" i="7"/>
  <c r="V33" i="7"/>
  <c r="M34" i="7"/>
  <c r="N34" i="7"/>
  <c r="O34" i="7"/>
  <c r="P34" i="7"/>
  <c r="Q34" i="7"/>
  <c r="R34" i="7"/>
  <c r="S34" i="7"/>
  <c r="T34" i="7"/>
  <c r="U34" i="7"/>
  <c r="V34" i="7"/>
  <c r="M35" i="7"/>
  <c r="N35" i="7"/>
  <c r="O35" i="7"/>
  <c r="P35" i="7"/>
  <c r="Q35" i="7"/>
  <c r="R35" i="7"/>
  <c r="S35" i="7"/>
  <c r="T35" i="7"/>
  <c r="U35" i="7"/>
  <c r="V35" i="7"/>
  <c r="M36" i="7"/>
  <c r="N36" i="7"/>
  <c r="O36" i="7"/>
  <c r="P36" i="7"/>
  <c r="Q36" i="7"/>
  <c r="R36" i="7"/>
  <c r="S36" i="7"/>
  <c r="T36" i="7"/>
  <c r="U36" i="7"/>
  <c r="V36" i="7"/>
  <c r="M37" i="7"/>
  <c r="N37" i="7"/>
  <c r="O37" i="7"/>
  <c r="P37" i="7"/>
  <c r="Q37" i="7"/>
  <c r="R37" i="7"/>
  <c r="S37" i="7"/>
  <c r="T37" i="7"/>
  <c r="U37" i="7"/>
  <c r="V37" i="7"/>
  <c r="M38" i="7"/>
  <c r="N38" i="7"/>
  <c r="O38" i="7"/>
  <c r="P38" i="7"/>
  <c r="Q38" i="7"/>
  <c r="R38" i="7"/>
  <c r="S38" i="7"/>
  <c r="T38" i="7"/>
  <c r="U38" i="7"/>
  <c r="V38" i="7"/>
  <c r="M39" i="7"/>
  <c r="N39" i="7"/>
  <c r="O39" i="7"/>
  <c r="P39" i="7"/>
  <c r="Q39" i="7"/>
  <c r="R39" i="7"/>
  <c r="S39" i="7"/>
  <c r="T39" i="7"/>
  <c r="U39" i="7"/>
  <c r="V39" i="7"/>
  <c r="M40" i="7"/>
  <c r="N40" i="7"/>
  <c r="O40" i="7"/>
  <c r="P40" i="7"/>
  <c r="Q40" i="7"/>
  <c r="R40" i="7"/>
  <c r="S40" i="7"/>
  <c r="T40" i="7"/>
  <c r="U40" i="7"/>
  <c r="V40" i="7"/>
  <c r="M41" i="7"/>
  <c r="N41" i="7"/>
  <c r="O41" i="7"/>
  <c r="P41" i="7"/>
  <c r="Q41" i="7"/>
  <c r="R41" i="7"/>
  <c r="S41" i="7"/>
  <c r="T41" i="7"/>
  <c r="U41" i="7"/>
  <c r="V41" i="7"/>
  <c r="M42" i="7"/>
  <c r="N42" i="7"/>
  <c r="O42" i="7"/>
  <c r="P42" i="7"/>
  <c r="Q42" i="7"/>
  <c r="R42" i="7"/>
  <c r="S42" i="7"/>
  <c r="T42" i="7"/>
  <c r="U42" i="7"/>
  <c r="V42" i="7"/>
  <c r="M43" i="7"/>
  <c r="N43" i="7"/>
  <c r="O43" i="7"/>
  <c r="P43" i="7"/>
  <c r="Q43" i="7"/>
  <c r="R43" i="7"/>
  <c r="S43" i="7"/>
  <c r="T43" i="7"/>
  <c r="U43" i="7"/>
  <c r="V43" i="7"/>
  <c r="M44" i="7"/>
  <c r="N44" i="7"/>
  <c r="O44" i="7"/>
  <c r="P44" i="7"/>
  <c r="Q44" i="7"/>
  <c r="R44" i="7"/>
  <c r="S44" i="7"/>
  <c r="T44" i="7"/>
  <c r="U44" i="7"/>
  <c r="V44" i="7"/>
  <c r="M45" i="7"/>
  <c r="N45" i="7"/>
  <c r="O45" i="7"/>
  <c r="P45" i="7"/>
  <c r="Q45" i="7"/>
  <c r="R45" i="7"/>
  <c r="S45" i="7"/>
  <c r="T45" i="7"/>
  <c r="U45" i="7"/>
  <c r="V45" i="7"/>
  <c r="M46" i="7"/>
  <c r="N46" i="7"/>
  <c r="O46" i="7"/>
  <c r="P46" i="7"/>
  <c r="Q46" i="7"/>
  <c r="R46" i="7"/>
  <c r="S46" i="7"/>
  <c r="T46" i="7"/>
  <c r="U46" i="7"/>
  <c r="V46" i="7"/>
  <c r="M47" i="7"/>
  <c r="N47" i="7"/>
  <c r="O47" i="7"/>
  <c r="P47" i="7"/>
  <c r="Q47" i="7"/>
  <c r="R47" i="7"/>
  <c r="S47" i="7"/>
  <c r="T47" i="7"/>
  <c r="U47" i="7"/>
  <c r="V47" i="7"/>
  <c r="M48" i="7"/>
  <c r="N48" i="7"/>
  <c r="O48" i="7"/>
  <c r="P48" i="7"/>
  <c r="Q48" i="7"/>
  <c r="R48" i="7"/>
  <c r="S48" i="7"/>
  <c r="T48" i="7"/>
  <c r="U48" i="7"/>
  <c r="V48" i="7"/>
  <c r="M49" i="7"/>
  <c r="N49" i="7"/>
  <c r="O49" i="7"/>
  <c r="P49" i="7"/>
  <c r="Q49" i="7"/>
  <c r="R49" i="7"/>
  <c r="S49" i="7"/>
  <c r="T49" i="7"/>
  <c r="U49" i="7"/>
  <c r="V49" i="7"/>
  <c r="M50" i="7"/>
  <c r="N50" i="7"/>
  <c r="O50" i="7"/>
  <c r="P50" i="7"/>
  <c r="Q50" i="7"/>
  <c r="R50" i="7"/>
  <c r="S50" i="7"/>
  <c r="T50" i="7"/>
  <c r="U50" i="7"/>
  <c r="V50" i="7"/>
  <c r="N51" i="7"/>
  <c r="P51" i="7"/>
  <c r="Q51" i="7"/>
  <c r="R51" i="7"/>
  <c r="S51" i="7"/>
  <c r="T51" i="7"/>
  <c r="U51" i="7"/>
  <c r="V51" i="7"/>
  <c r="M52" i="7"/>
  <c r="N52" i="7"/>
  <c r="O52" i="7"/>
  <c r="P52" i="7"/>
  <c r="Q52" i="7"/>
  <c r="R52" i="7"/>
  <c r="S52" i="7"/>
  <c r="T52" i="7"/>
  <c r="U52" i="7"/>
  <c r="V52" i="7"/>
  <c r="M53" i="7"/>
  <c r="N53" i="7"/>
  <c r="O53" i="7"/>
  <c r="P53" i="7"/>
  <c r="Q53" i="7"/>
  <c r="R53" i="7"/>
  <c r="S53" i="7"/>
  <c r="T53" i="7"/>
  <c r="U53" i="7"/>
  <c r="V53" i="7"/>
  <c r="M54" i="7"/>
  <c r="N54" i="7"/>
  <c r="O54" i="7"/>
  <c r="P54" i="7"/>
  <c r="Q54" i="7"/>
  <c r="R54" i="7"/>
  <c r="S54" i="7"/>
  <c r="T54" i="7"/>
  <c r="U54" i="7"/>
  <c r="V54" i="7"/>
  <c r="M55" i="7"/>
  <c r="N55" i="7"/>
  <c r="O55" i="7"/>
  <c r="P55" i="7"/>
  <c r="Q55" i="7"/>
  <c r="R55" i="7"/>
  <c r="S55" i="7"/>
  <c r="T55" i="7"/>
  <c r="U55" i="7"/>
  <c r="V55" i="7"/>
  <c r="M56" i="7"/>
  <c r="N56" i="7"/>
  <c r="O56" i="7"/>
  <c r="P56" i="7"/>
  <c r="Q56" i="7"/>
  <c r="R56" i="7"/>
  <c r="S56" i="7"/>
  <c r="T56" i="7"/>
  <c r="U56" i="7"/>
  <c r="V56" i="7"/>
  <c r="M57" i="7"/>
  <c r="N57" i="7"/>
  <c r="O57" i="7"/>
  <c r="P57" i="7"/>
  <c r="Q57" i="7"/>
  <c r="R57" i="7"/>
  <c r="S57" i="7"/>
  <c r="T57" i="7"/>
  <c r="U57" i="7"/>
  <c r="V57" i="7"/>
  <c r="M58" i="7"/>
  <c r="N58" i="7"/>
  <c r="O58" i="7"/>
  <c r="P58" i="7"/>
  <c r="Q58" i="7"/>
  <c r="R58" i="7"/>
  <c r="S58" i="7"/>
  <c r="T58" i="7"/>
  <c r="U58" i="7"/>
  <c r="V58" i="7"/>
  <c r="M59" i="7"/>
  <c r="N59" i="7"/>
  <c r="O59" i="7"/>
  <c r="P59" i="7"/>
  <c r="Q59" i="7"/>
  <c r="R59" i="7"/>
  <c r="S59" i="7"/>
  <c r="T59" i="7"/>
  <c r="U59" i="7"/>
  <c r="V59" i="7"/>
  <c r="M60" i="7"/>
  <c r="CD60" i="2" s="1"/>
  <c r="N60" i="7"/>
  <c r="CE60" i="2" s="1"/>
  <c r="O60" i="7"/>
  <c r="CF60" i="2" s="1"/>
  <c r="P60" i="7"/>
  <c r="CG60" i="2" s="1"/>
  <c r="Q60" i="7"/>
  <c r="CH60" i="2" s="1"/>
  <c r="R60" i="7"/>
  <c r="CI60" i="2" s="1"/>
  <c r="S60" i="7"/>
  <c r="CJ60" i="2" s="1"/>
  <c r="T60" i="7"/>
  <c r="CK60" i="2" s="1"/>
  <c r="U60" i="7"/>
  <c r="CL60" i="2" s="1"/>
  <c r="V60" i="7"/>
  <c r="CM60" i="2" s="1"/>
  <c r="M61" i="7"/>
  <c r="CD61" i="2" s="1"/>
  <c r="N61" i="7"/>
  <c r="CE61" i="2" s="1"/>
  <c r="O61" i="7"/>
  <c r="CF61" i="2" s="1"/>
  <c r="P61" i="7"/>
  <c r="CG61" i="2" s="1"/>
  <c r="Q61" i="7"/>
  <c r="CH61" i="2" s="1"/>
  <c r="R61" i="7"/>
  <c r="CI61" i="2" s="1"/>
  <c r="S61" i="7"/>
  <c r="CJ61" i="2" s="1"/>
  <c r="T61" i="7"/>
  <c r="CK61" i="2" s="1"/>
  <c r="U61" i="7"/>
  <c r="CL61" i="2" s="1"/>
  <c r="V61" i="7"/>
  <c r="CM61" i="2" s="1"/>
  <c r="M62" i="7"/>
  <c r="CD62" i="2" s="1"/>
  <c r="N62" i="7"/>
  <c r="CE62" i="2" s="1"/>
  <c r="O62" i="7"/>
  <c r="CF62" i="2" s="1"/>
  <c r="P62" i="7"/>
  <c r="CG62" i="2" s="1"/>
  <c r="Q62" i="7"/>
  <c r="CH62" i="2" s="1"/>
  <c r="R62" i="7"/>
  <c r="CI62" i="2" s="1"/>
  <c r="S62" i="7"/>
  <c r="CJ62" i="2" s="1"/>
  <c r="T62" i="7"/>
  <c r="CK62" i="2" s="1"/>
  <c r="U62" i="7"/>
  <c r="CL62" i="2" s="1"/>
  <c r="V62" i="7"/>
  <c r="CM62" i="2" s="1"/>
  <c r="M63" i="7"/>
  <c r="CD63" i="2" s="1"/>
  <c r="N63" i="7"/>
  <c r="CE63" i="2" s="1"/>
  <c r="O63" i="7"/>
  <c r="CF63" i="2" s="1"/>
  <c r="P63" i="7"/>
  <c r="CG63" i="2" s="1"/>
  <c r="Q63" i="7"/>
  <c r="CH63" i="2" s="1"/>
  <c r="R63" i="7"/>
  <c r="CI63" i="2" s="1"/>
  <c r="S63" i="7"/>
  <c r="CJ63" i="2" s="1"/>
  <c r="T63" i="7"/>
  <c r="CK63" i="2" s="1"/>
  <c r="U63" i="7"/>
  <c r="CL63" i="2" s="1"/>
  <c r="V63" i="7"/>
  <c r="CM63" i="2" s="1"/>
  <c r="M64" i="7"/>
  <c r="CD64" i="2" s="1"/>
  <c r="N64" i="7"/>
  <c r="CE64" i="2" s="1"/>
  <c r="O64" i="7"/>
  <c r="CF64" i="2" s="1"/>
  <c r="P64" i="7"/>
  <c r="CG64" i="2" s="1"/>
  <c r="Q64" i="7"/>
  <c r="CH64" i="2" s="1"/>
  <c r="R64" i="7"/>
  <c r="CI64" i="2" s="1"/>
  <c r="S64" i="7"/>
  <c r="CJ64" i="2" s="1"/>
  <c r="T64" i="7"/>
  <c r="CK64" i="2" s="1"/>
  <c r="U64" i="7"/>
  <c r="CL64" i="2" s="1"/>
  <c r="V64" i="7"/>
  <c r="CM64" i="2" s="1"/>
  <c r="M65" i="7"/>
  <c r="CD65" i="2" s="1"/>
  <c r="N65" i="7"/>
  <c r="CE65" i="2" s="1"/>
  <c r="O65" i="7"/>
  <c r="CF65" i="2" s="1"/>
  <c r="P65" i="7"/>
  <c r="CG65" i="2" s="1"/>
  <c r="Q65" i="7"/>
  <c r="CH65" i="2" s="1"/>
  <c r="R65" i="7"/>
  <c r="CI65" i="2" s="1"/>
  <c r="S65" i="7"/>
  <c r="CJ65" i="2" s="1"/>
  <c r="T65" i="7"/>
  <c r="CK65" i="2" s="1"/>
  <c r="U65" i="7"/>
  <c r="CL65" i="2" s="1"/>
  <c r="V65" i="7"/>
  <c r="CM65" i="2" s="1"/>
  <c r="M66" i="7"/>
  <c r="CD66" i="2" s="1"/>
  <c r="N66" i="7"/>
  <c r="CE66" i="2" s="1"/>
  <c r="O66" i="7"/>
  <c r="CF66" i="2" s="1"/>
  <c r="P66" i="7"/>
  <c r="CG66" i="2" s="1"/>
  <c r="Q66" i="7"/>
  <c r="CH66" i="2" s="1"/>
  <c r="R66" i="7"/>
  <c r="CI66" i="2" s="1"/>
  <c r="S66" i="7"/>
  <c r="CJ66" i="2" s="1"/>
  <c r="T66" i="7"/>
  <c r="CK66" i="2" s="1"/>
  <c r="U66" i="7"/>
  <c r="CL66" i="2" s="1"/>
  <c r="V66" i="7"/>
  <c r="CM66" i="2" s="1"/>
  <c r="M67" i="7"/>
  <c r="CD67" i="2" s="1"/>
  <c r="N67" i="7"/>
  <c r="CE67" i="2" s="1"/>
  <c r="O67" i="7"/>
  <c r="CF67" i="2" s="1"/>
  <c r="P67" i="7"/>
  <c r="CG67" i="2" s="1"/>
  <c r="Q67" i="7"/>
  <c r="CH67" i="2" s="1"/>
  <c r="R67" i="7"/>
  <c r="CI67" i="2" s="1"/>
  <c r="S67" i="7"/>
  <c r="CJ67" i="2" s="1"/>
  <c r="T67" i="7"/>
  <c r="CK67" i="2" s="1"/>
  <c r="U67" i="7"/>
  <c r="CL67" i="2" s="1"/>
  <c r="V67" i="7"/>
  <c r="CM67" i="2" s="1"/>
  <c r="M68" i="7"/>
  <c r="CD68" i="2" s="1"/>
  <c r="N68" i="7"/>
  <c r="CE68" i="2" s="1"/>
  <c r="O68" i="7"/>
  <c r="CF68" i="2" s="1"/>
  <c r="P68" i="7"/>
  <c r="CG68" i="2" s="1"/>
  <c r="Q68" i="7"/>
  <c r="CH68" i="2" s="1"/>
  <c r="R68" i="7"/>
  <c r="CI68" i="2" s="1"/>
  <c r="S68" i="7"/>
  <c r="CJ68" i="2" s="1"/>
  <c r="T68" i="7"/>
  <c r="CK68" i="2" s="1"/>
  <c r="U68" i="7"/>
  <c r="CL68" i="2" s="1"/>
  <c r="V68" i="7"/>
  <c r="CM68" i="2" s="1"/>
  <c r="M69" i="7"/>
  <c r="CD69" i="2" s="1"/>
  <c r="N69" i="7"/>
  <c r="CE69" i="2" s="1"/>
  <c r="O69" i="7"/>
  <c r="CF69" i="2" s="1"/>
  <c r="P69" i="7"/>
  <c r="CG69" i="2" s="1"/>
  <c r="Q69" i="7"/>
  <c r="CH69" i="2" s="1"/>
  <c r="R69" i="7"/>
  <c r="CI69" i="2" s="1"/>
  <c r="S69" i="7"/>
  <c r="CJ69" i="2" s="1"/>
  <c r="T69" i="7"/>
  <c r="CK69" i="2" s="1"/>
  <c r="U69" i="7"/>
  <c r="CL69" i="2" s="1"/>
  <c r="V69" i="7"/>
  <c r="CM69" i="2" s="1"/>
  <c r="M70" i="7"/>
  <c r="CD70" i="2" s="1"/>
  <c r="N70" i="7"/>
  <c r="CE70" i="2" s="1"/>
  <c r="O70" i="7"/>
  <c r="CF70" i="2" s="1"/>
  <c r="P70" i="7"/>
  <c r="CG70" i="2" s="1"/>
  <c r="Q70" i="7"/>
  <c r="CH70" i="2" s="1"/>
  <c r="R70" i="7"/>
  <c r="CI70" i="2" s="1"/>
  <c r="S70" i="7"/>
  <c r="CJ70" i="2" s="1"/>
  <c r="T70" i="7"/>
  <c r="CK70" i="2" s="1"/>
  <c r="U70" i="7"/>
  <c r="CL70" i="2" s="1"/>
  <c r="V70" i="7"/>
  <c r="CM70" i="2" s="1"/>
  <c r="M71" i="7"/>
  <c r="CD71" i="2" s="1"/>
  <c r="N71" i="7"/>
  <c r="CE71" i="2" s="1"/>
  <c r="O71" i="7"/>
  <c r="CF71" i="2" s="1"/>
  <c r="P71" i="7"/>
  <c r="CG71" i="2" s="1"/>
  <c r="Q71" i="7"/>
  <c r="CH71" i="2" s="1"/>
  <c r="R71" i="7"/>
  <c r="CI71" i="2" s="1"/>
  <c r="S71" i="7"/>
  <c r="CJ71" i="2" s="1"/>
  <c r="T71" i="7"/>
  <c r="CK71" i="2" s="1"/>
  <c r="U71" i="7"/>
  <c r="CL71" i="2" s="1"/>
  <c r="V71" i="7"/>
  <c r="CM71" i="2" s="1"/>
  <c r="M72" i="7"/>
  <c r="CD72" i="2" s="1"/>
  <c r="N72" i="7"/>
  <c r="CE72" i="2" s="1"/>
  <c r="O72" i="7"/>
  <c r="CF72" i="2" s="1"/>
  <c r="P72" i="7"/>
  <c r="CG72" i="2" s="1"/>
  <c r="Q72" i="7"/>
  <c r="CH72" i="2" s="1"/>
  <c r="R72" i="7"/>
  <c r="CI72" i="2" s="1"/>
  <c r="S72" i="7"/>
  <c r="CJ72" i="2" s="1"/>
  <c r="T72" i="7"/>
  <c r="CK72" i="2" s="1"/>
  <c r="U72" i="7"/>
  <c r="CL72" i="2" s="1"/>
  <c r="V72" i="7"/>
  <c r="CM72" i="2" s="1"/>
  <c r="M73" i="7"/>
  <c r="CD73" i="2" s="1"/>
  <c r="N73" i="7"/>
  <c r="CE73" i="2" s="1"/>
  <c r="O73" i="7"/>
  <c r="CF73" i="2" s="1"/>
  <c r="P73" i="7"/>
  <c r="CG73" i="2" s="1"/>
  <c r="Q73" i="7"/>
  <c r="CH73" i="2" s="1"/>
  <c r="R73" i="7"/>
  <c r="CI73" i="2" s="1"/>
  <c r="S73" i="7"/>
  <c r="CJ73" i="2" s="1"/>
  <c r="T73" i="7"/>
  <c r="CK73" i="2" s="1"/>
  <c r="U73" i="7"/>
  <c r="CL73" i="2" s="1"/>
  <c r="V73" i="7"/>
  <c r="CM73" i="2" s="1"/>
  <c r="M74" i="7"/>
  <c r="CD74" i="2" s="1"/>
  <c r="N74" i="7"/>
  <c r="CE74" i="2" s="1"/>
  <c r="O74" i="7"/>
  <c r="CF74" i="2" s="1"/>
  <c r="P74" i="7"/>
  <c r="CG74" i="2" s="1"/>
  <c r="Q74" i="7"/>
  <c r="CH74" i="2" s="1"/>
  <c r="R74" i="7"/>
  <c r="CI74" i="2" s="1"/>
  <c r="S74" i="7"/>
  <c r="CJ74" i="2" s="1"/>
  <c r="T74" i="7"/>
  <c r="CK74" i="2" s="1"/>
  <c r="U74" i="7"/>
  <c r="CL74" i="2" s="1"/>
  <c r="V74" i="7"/>
  <c r="CM74" i="2" s="1"/>
  <c r="M75" i="7"/>
  <c r="CD75" i="2" s="1"/>
  <c r="N75" i="7"/>
  <c r="CE75" i="2" s="1"/>
  <c r="O75" i="7"/>
  <c r="CF75" i="2" s="1"/>
  <c r="P75" i="7"/>
  <c r="CG75" i="2" s="1"/>
  <c r="Q75" i="7"/>
  <c r="CH75" i="2" s="1"/>
  <c r="R75" i="7"/>
  <c r="CI75" i="2" s="1"/>
  <c r="S75" i="7"/>
  <c r="CJ75" i="2" s="1"/>
  <c r="T75" i="7"/>
  <c r="CK75" i="2" s="1"/>
  <c r="U75" i="7"/>
  <c r="CL75" i="2" s="1"/>
  <c r="V75" i="7"/>
  <c r="CM75" i="2" s="1"/>
  <c r="M76" i="7"/>
  <c r="CD76" i="2" s="1"/>
  <c r="N76" i="7"/>
  <c r="CE76" i="2" s="1"/>
  <c r="O76" i="7"/>
  <c r="CF76" i="2" s="1"/>
  <c r="P76" i="7"/>
  <c r="CG76" i="2" s="1"/>
  <c r="Q76" i="7"/>
  <c r="CH76" i="2" s="1"/>
  <c r="R76" i="7"/>
  <c r="CI76" i="2" s="1"/>
  <c r="S76" i="7"/>
  <c r="CJ76" i="2" s="1"/>
  <c r="T76" i="7"/>
  <c r="CK76" i="2" s="1"/>
  <c r="U76" i="7"/>
  <c r="CL76" i="2" s="1"/>
  <c r="V76" i="7"/>
  <c r="CM76" i="2" s="1"/>
  <c r="M77" i="7"/>
  <c r="CD77" i="2" s="1"/>
  <c r="N77" i="7"/>
  <c r="CE77" i="2" s="1"/>
  <c r="O77" i="7"/>
  <c r="CF77" i="2" s="1"/>
  <c r="P77" i="7"/>
  <c r="CG77" i="2" s="1"/>
  <c r="Q77" i="7"/>
  <c r="CH77" i="2" s="1"/>
  <c r="R77" i="7"/>
  <c r="CI77" i="2" s="1"/>
  <c r="S77" i="7"/>
  <c r="CJ77" i="2" s="1"/>
  <c r="T77" i="7"/>
  <c r="CK77" i="2" s="1"/>
  <c r="U77" i="7"/>
  <c r="CL77" i="2" s="1"/>
  <c r="V77" i="7"/>
  <c r="CM77" i="2" s="1"/>
  <c r="M78" i="7"/>
  <c r="CD78" i="2" s="1"/>
  <c r="N78" i="7"/>
  <c r="CE78" i="2" s="1"/>
  <c r="O78" i="7"/>
  <c r="CF78" i="2" s="1"/>
  <c r="P78" i="7"/>
  <c r="CG78" i="2" s="1"/>
  <c r="Q78" i="7"/>
  <c r="CH78" i="2" s="1"/>
  <c r="R78" i="7"/>
  <c r="CI78" i="2" s="1"/>
  <c r="S78" i="7"/>
  <c r="CJ78" i="2" s="1"/>
  <c r="T78" i="7"/>
  <c r="CK78" i="2" s="1"/>
  <c r="U78" i="7"/>
  <c r="CL78" i="2" s="1"/>
  <c r="V78" i="7"/>
  <c r="CM78" i="2" s="1"/>
  <c r="M79" i="7"/>
  <c r="CD79" i="2" s="1"/>
  <c r="N79" i="7"/>
  <c r="CE79" i="2" s="1"/>
  <c r="O79" i="7"/>
  <c r="CF79" i="2" s="1"/>
  <c r="P79" i="7"/>
  <c r="CG79" i="2" s="1"/>
  <c r="Q79" i="7"/>
  <c r="CH79" i="2" s="1"/>
  <c r="R79" i="7"/>
  <c r="CI79" i="2" s="1"/>
  <c r="S79" i="7"/>
  <c r="CJ79" i="2" s="1"/>
  <c r="T79" i="7"/>
  <c r="CK79" i="2" s="1"/>
  <c r="U79" i="7"/>
  <c r="CL79" i="2" s="1"/>
  <c r="V79" i="7"/>
  <c r="CM79" i="2" s="1"/>
  <c r="M80" i="7"/>
  <c r="CD80" i="2" s="1"/>
  <c r="N80" i="7"/>
  <c r="CE80" i="2" s="1"/>
  <c r="O80" i="7"/>
  <c r="CF80" i="2" s="1"/>
  <c r="P80" i="7"/>
  <c r="CG80" i="2" s="1"/>
  <c r="Q80" i="7"/>
  <c r="CH80" i="2" s="1"/>
  <c r="R80" i="7"/>
  <c r="CI80" i="2" s="1"/>
  <c r="S80" i="7"/>
  <c r="CJ80" i="2" s="1"/>
  <c r="T80" i="7"/>
  <c r="CK80" i="2" s="1"/>
  <c r="U80" i="7"/>
  <c r="CL80" i="2" s="1"/>
  <c r="V80" i="7"/>
  <c r="CM80" i="2" s="1"/>
  <c r="M81" i="7"/>
  <c r="CD81" i="2" s="1"/>
  <c r="N81" i="7"/>
  <c r="CE81" i="2" s="1"/>
  <c r="O81" i="7"/>
  <c r="CF81" i="2" s="1"/>
  <c r="P81" i="7"/>
  <c r="CG81" i="2" s="1"/>
  <c r="Q81" i="7"/>
  <c r="CH81" i="2" s="1"/>
  <c r="R81" i="7"/>
  <c r="CI81" i="2" s="1"/>
  <c r="S81" i="7"/>
  <c r="CJ81" i="2" s="1"/>
  <c r="T81" i="7"/>
  <c r="CK81" i="2" s="1"/>
  <c r="U81" i="7"/>
  <c r="CL81" i="2" s="1"/>
  <c r="V81" i="7"/>
  <c r="CM81" i="2" s="1"/>
  <c r="M82" i="7"/>
  <c r="CD82" i="2" s="1"/>
  <c r="N82" i="7"/>
  <c r="CE82" i="2" s="1"/>
  <c r="O82" i="7"/>
  <c r="CF82" i="2" s="1"/>
  <c r="P82" i="7"/>
  <c r="CG82" i="2" s="1"/>
  <c r="Q82" i="7"/>
  <c r="CH82" i="2" s="1"/>
  <c r="R82" i="7"/>
  <c r="CI82" i="2" s="1"/>
  <c r="S82" i="7"/>
  <c r="CJ82" i="2" s="1"/>
  <c r="T82" i="7"/>
  <c r="CK82" i="2" s="1"/>
  <c r="U82" i="7"/>
  <c r="CL82" i="2" s="1"/>
  <c r="V82" i="7"/>
  <c r="CM82" i="2" s="1"/>
  <c r="M83" i="7"/>
  <c r="CD83" i="2" s="1"/>
  <c r="N83" i="7"/>
  <c r="CE83" i="2" s="1"/>
  <c r="O83" i="7"/>
  <c r="CF83" i="2" s="1"/>
  <c r="P83" i="7"/>
  <c r="CG83" i="2" s="1"/>
  <c r="Q83" i="7"/>
  <c r="CH83" i="2" s="1"/>
  <c r="R83" i="7"/>
  <c r="CI83" i="2" s="1"/>
  <c r="S83" i="7"/>
  <c r="CJ83" i="2" s="1"/>
  <c r="T83" i="7"/>
  <c r="CK83" i="2" s="1"/>
  <c r="U83" i="7"/>
  <c r="CL83" i="2" s="1"/>
  <c r="V83" i="7"/>
  <c r="CM83" i="2" s="1"/>
  <c r="M84" i="7"/>
  <c r="CD84" i="2" s="1"/>
  <c r="N84" i="7"/>
  <c r="CE84" i="2" s="1"/>
  <c r="O84" i="7"/>
  <c r="CF84" i="2" s="1"/>
  <c r="P84" i="7"/>
  <c r="CG84" i="2" s="1"/>
  <c r="Q84" i="7"/>
  <c r="CH84" i="2" s="1"/>
  <c r="R84" i="7"/>
  <c r="CI84" i="2" s="1"/>
  <c r="S84" i="7"/>
  <c r="CJ84" i="2" s="1"/>
  <c r="T84" i="7"/>
  <c r="CK84" i="2" s="1"/>
  <c r="U84" i="7"/>
  <c r="CL84" i="2" s="1"/>
  <c r="V84" i="7"/>
  <c r="CM84" i="2" s="1"/>
  <c r="M85" i="7"/>
  <c r="CD85" i="2" s="1"/>
  <c r="N85" i="7"/>
  <c r="CE85" i="2" s="1"/>
  <c r="O85" i="7"/>
  <c r="CF85" i="2" s="1"/>
  <c r="P85" i="7"/>
  <c r="CG85" i="2" s="1"/>
  <c r="Q85" i="7"/>
  <c r="CH85" i="2" s="1"/>
  <c r="R85" i="7"/>
  <c r="CI85" i="2" s="1"/>
  <c r="S85" i="7"/>
  <c r="CJ85" i="2" s="1"/>
  <c r="T85" i="7"/>
  <c r="CK85" i="2" s="1"/>
  <c r="U85" i="7"/>
  <c r="CL85" i="2" s="1"/>
  <c r="V85" i="7"/>
  <c r="CM85" i="2" s="1"/>
  <c r="M86" i="7"/>
  <c r="CD86" i="2" s="1"/>
  <c r="N86" i="7"/>
  <c r="CE86" i="2" s="1"/>
  <c r="O86" i="7"/>
  <c r="CF86" i="2" s="1"/>
  <c r="P86" i="7"/>
  <c r="CG86" i="2" s="1"/>
  <c r="Q86" i="7"/>
  <c r="CH86" i="2" s="1"/>
  <c r="R86" i="7"/>
  <c r="CI86" i="2" s="1"/>
  <c r="S86" i="7"/>
  <c r="CJ86" i="2" s="1"/>
  <c r="T86" i="7"/>
  <c r="CK86" i="2" s="1"/>
  <c r="U86" i="7"/>
  <c r="CL86" i="2" s="1"/>
  <c r="V86" i="7"/>
  <c r="CM86" i="2" s="1"/>
  <c r="M87" i="7"/>
  <c r="CD87" i="2" s="1"/>
  <c r="N87" i="7"/>
  <c r="CE87" i="2" s="1"/>
  <c r="O87" i="7"/>
  <c r="CF87" i="2" s="1"/>
  <c r="P87" i="7"/>
  <c r="CG87" i="2" s="1"/>
  <c r="Q87" i="7"/>
  <c r="CH87" i="2" s="1"/>
  <c r="R87" i="7"/>
  <c r="CI87" i="2" s="1"/>
  <c r="S87" i="7"/>
  <c r="CJ87" i="2" s="1"/>
  <c r="T87" i="7"/>
  <c r="CK87" i="2" s="1"/>
  <c r="U87" i="7"/>
  <c r="CL87" i="2" s="1"/>
  <c r="V87" i="7"/>
  <c r="CM87" i="2" s="1"/>
  <c r="M88" i="7"/>
  <c r="CD88" i="2" s="1"/>
  <c r="N88" i="7"/>
  <c r="CE88" i="2" s="1"/>
  <c r="O88" i="7"/>
  <c r="CF88" i="2" s="1"/>
  <c r="P88" i="7"/>
  <c r="CG88" i="2" s="1"/>
  <c r="Q88" i="7"/>
  <c r="CH88" i="2" s="1"/>
  <c r="R88" i="7"/>
  <c r="CI88" i="2" s="1"/>
  <c r="S88" i="7"/>
  <c r="CJ88" i="2" s="1"/>
  <c r="T88" i="7"/>
  <c r="CK88" i="2" s="1"/>
  <c r="U88" i="7"/>
  <c r="CL88" i="2" s="1"/>
  <c r="V88" i="7"/>
  <c r="CM88" i="2" s="1"/>
  <c r="M89" i="7"/>
  <c r="CD89" i="2" s="1"/>
  <c r="N89" i="7"/>
  <c r="CE89" i="2" s="1"/>
  <c r="O89" i="7"/>
  <c r="CF89" i="2" s="1"/>
  <c r="P89" i="7"/>
  <c r="CG89" i="2" s="1"/>
  <c r="Q89" i="7"/>
  <c r="CH89" i="2" s="1"/>
  <c r="R89" i="7"/>
  <c r="CI89" i="2" s="1"/>
  <c r="S89" i="7"/>
  <c r="CJ89" i="2" s="1"/>
  <c r="T89" i="7"/>
  <c r="CK89" i="2" s="1"/>
  <c r="U89" i="7"/>
  <c r="CL89" i="2" s="1"/>
  <c r="V89" i="7"/>
  <c r="CM89" i="2" s="1"/>
  <c r="M90" i="7"/>
  <c r="CD90" i="2" s="1"/>
  <c r="N90" i="7"/>
  <c r="CE90" i="2" s="1"/>
  <c r="O90" i="7"/>
  <c r="CF90" i="2" s="1"/>
  <c r="P90" i="7"/>
  <c r="CG90" i="2" s="1"/>
  <c r="Q90" i="7"/>
  <c r="CH90" i="2" s="1"/>
  <c r="R90" i="7"/>
  <c r="CI90" i="2" s="1"/>
  <c r="S90" i="7"/>
  <c r="CJ90" i="2" s="1"/>
  <c r="T90" i="7"/>
  <c r="CK90" i="2" s="1"/>
  <c r="U90" i="7"/>
  <c r="CL90" i="2" s="1"/>
  <c r="V90" i="7"/>
  <c r="CM90" i="2" s="1"/>
  <c r="M91" i="7"/>
  <c r="CD91" i="2" s="1"/>
  <c r="N91" i="7"/>
  <c r="CE91" i="2" s="1"/>
  <c r="O91" i="7"/>
  <c r="CF91" i="2" s="1"/>
  <c r="P91" i="7"/>
  <c r="CG91" i="2" s="1"/>
  <c r="Q91" i="7"/>
  <c r="CH91" i="2" s="1"/>
  <c r="R91" i="7"/>
  <c r="CI91" i="2" s="1"/>
  <c r="S91" i="7"/>
  <c r="CJ91" i="2" s="1"/>
  <c r="T91" i="7"/>
  <c r="CK91" i="2" s="1"/>
  <c r="U91" i="7"/>
  <c r="CL91" i="2" s="1"/>
  <c r="V91" i="7"/>
  <c r="CM91" i="2" s="1"/>
  <c r="M92" i="7"/>
  <c r="CD92" i="2" s="1"/>
  <c r="N92" i="7"/>
  <c r="CE92" i="2" s="1"/>
  <c r="O92" i="7"/>
  <c r="CF92" i="2" s="1"/>
  <c r="P92" i="7"/>
  <c r="CG92" i="2" s="1"/>
  <c r="Q92" i="7"/>
  <c r="CH92" i="2" s="1"/>
  <c r="R92" i="7"/>
  <c r="CI92" i="2" s="1"/>
  <c r="S92" i="7"/>
  <c r="CJ92" i="2" s="1"/>
  <c r="T92" i="7"/>
  <c r="CK92" i="2" s="1"/>
  <c r="U92" i="7"/>
  <c r="CL92" i="2" s="1"/>
  <c r="V92" i="7"/>
  <c r="CM92" i="2" s="1"/>
  <c r="M93" i="7"/>
  <c r="CD93" i="2" s="1"/>
  <c r="N93" i="7"/>
  <c r="CE93" i="2" s="1"/>
  <c r="O93" i="7"/>
  <c r="CF93" i="2" s="1"/>
  <c r="P93" i="7"/>
  <c r="CG93" i="2" s="1"/>
  <c r="Q93" i="7"/>
  <c r="CH93" i="2" s="1"/>
  <c r="R93" i="7"/>
  <c r="CI93" i="2" s="1"/>
  <c r="S93" i="7"/>
  <c r="CJ93" i="2" s="1"/>
  <c r="T93" i="7"/>
  <c r="CK93" i="2" s="1"/>
  <c r="U93" i="7"/>
  <c r="CL93" i="2" s="1"/>
  <c r="V93" i="7"/>
  <c r="CM93" i="2" s="1"/>
  <c r="M94" i="7"/>
  <c r="CD94" i="2" s="1"/>
  <c r="N94" i="7"/>
  <c r="CE94" i="2" s="1"/>
  <c r="O94" i="7"/>
  <c r="CF94" i="2" s="1"/>
  <c r="P94" i="7"/>
  <c r="CG94" i="2" s="1"/>
  <c r="Q94" i="7"/>
  <c r="CH94" i="2" s="1"/>
  <c r="R94" i="7"/>
  <c r="CI94" i="2" s="1"/>
  <c r="S94" i="7"/>
  <c r="CJ94" i="2" s="1"/>
  <c r="T94" i="7"/>
  <c r="CK94" i="2" s="1"/>
  <c r="U94" i="7"/>
  <c r="CL94" i="2" s="1"/>
  <c r="V94" i="7"/>
  <c r="CM94" i="2" s="1"/>
  <c r="M95" i="7"/>
  <c r="CD95" i="2" s="1"/>
  <c r="N95" i="7"/>
  <c r="CE95" i="2" s="1"/>
  <c r="O95" i="7"/>
  <c r="CF95" i="2" s="1"/>
  <c r="P95" i="7"/>
  <c r="CG95" i="2" s="1"/>
  <c r="Q95" i="7"/>
  <c r="CH95" i="2" s="1"/>
  <c r="R95" i="7"/>
  <c r="CI95" i="2" s="1"/>
  <c r="S95" i="7"/>
  <c r="CJ95" i="2" s="1"/>
  <c r="T95" i="7"/>
  <c r="CK95" i="2" s="1"/>
  <c r="U95" i="7"/>
  <c r="CL95" i="2" s="1"/>
  <c r="V95" i="7"/>
  <c r="CM95" i="2" s="1"/>
  <c r="M96" i="7"/>
  <c r="CD96" i="2" s="1"/>
  <c r="N96" i="7"/>
  <c r="CE96" i="2" s="1"/>
  <c r="O96" i="7"/>
  <c r="CF96" i="2" s="1"/>
  <c r="P96" i="7"/>
  <c r="CG96" i="2" s="1"/>
  <c r="Q96" i="7"/>
  <c r="CH96" i="2" s="1"/>
  <c r="R96" i="7"/>
  <c r="CI96" i="2" s="1"/>
  <c r="S96" i="7"/>
  <c r="CJ96" i="2" s="1"/>
  <c r="T96" i="7"/>
  <c r="CK96" i="2" s="1"/>
  <c r="U96" i="7"/>
  <c r="CL96" i="2" s="1"/>
  <c r="V96" i="7"/>
  <c r="CM96" i="2" s="1"/>
  <c r="M97" i="7"/>
  <c r="CD97" i="2" s="1"/>
  <c r="N97" i="7"/>
  <c r="CE97" i="2" s="1"/>
  <c r="O97" i="7"/>
  <c r="CF97" i="2" s="1"/>
  <c r="P97" i="7"/>
  <c r="CG97" i="2" s="1"/>
  <c r="Q97" i="7"/>
  <c r="CH97" i="2" s="1"/>
  <c r="R97" i="7"/>
  <c r="CI97" i="2" s="1"/>
  <c r="S97" i="7"/>
  <c r="CJ97" i="2" s="1"/>
  <c r="T97" i="7"/>
  <c r="CK97" i="2" s="1"/>
  <c r="U97" i="7"/>
  <c r="CL97" i="2" s="1"/>
  <c r="V97" i="7"/>
  <c r="CM97" i="2" s="1"/>
  <c r="M98" i="7"/>
  <c r="CD98" i="2" s="1"/>
  <c r="N98" i="7"/>
  <c r="CE98" i="2" s="1"/>
  <c r="O98" i="7"/>
  <c r="CF98" i="2" s="1"/>
  <c r="P98" i="7"/>
  <c r="CG98" i="2" s="1"/>
  <c r="Q98" i="7"/>
  <c r="CH98" i="2" s="1"/>
  <c r="R98" i="7"/>
  <c r="CI98" i="2" s="1"/>
  <c r="S98" i="7"/>
  <c r="CJ98" i="2" s="1"/>
  <c r="T98" i="7"/>
  <c r="CK98" i="2" s="1"/>
  <c r="U98" i="7"/>
  <c r="CL98" i="2" s="1"/>
  <c r="V98" i="7"/>
  <c r="CM98" i="2" s="1"/>
  <c r="N2" i="7"/>
  <c r="CE2" i="2" s="1"/>
  <c r="O2" i="7"/>
  <c r="CF2" i="2" s="1"/>
  <c r="P2" i="7"/>
  <c r="CG2" i="2" s="1"/>
  <c r="Q2" i="7"/>
  <c r="CH2" i="2" s="1"/>
  <c r="R2" i="7"/>
  <c r="CI2" i="2" s="1"/>
  <c r="S2" i="7"/>
  <c r="CJ2" i="2" s="1"/>
  <c r="CK2" i="2"/>
  <c r="CL2" i="2"/>
  <c r="V2" i="7"/>
  <c r="CM2" i="2" s="1"/>
  <c r="L1" i="2"/>
  <c r="K1" i="2"/>
  <c r="J1" i="2"/>
  <c r="I1" i="2"/>
  <c r="H1" i="2"/>
  <c r="G1" i="2"/>
  <c r="F1" i="2"/>
  <c r="E1" i="2"/>
  <c r="D1" i="2"/>
  <c r="C1" i="2"/>
  <c r="K1" i="16"/>
  <c r="J1" i="16"/>
  <c r="I1" i="16"/>
  <c r="H1" i="16"/>
  <c r="G1" i="16"/>
  <c r="F1" i="16"/>
  <c r="E1" i="16"/>
  <c r="D1" i="16"/>
  <c r="C1" i="16"/>
  <c r="B1" i="16"/>
  <c r="K1" i="15"/>
  <c r="J1" i="15"/>
  <c r="I1" i="15"/>
  <c r="H1" i="15"/>
  <c r="G1" i="15"/>
  <c r="F1" i="15"/>
  <c r="E1" i="15"/>
  <c r="D1" i="15"/>
  <c r="C1" i="15"/>
  <c r="B1" i="15"/>
  <c r="L1" i="7"/>
  <c r="K1" i="7"/>
  <c r="J1" i="7"/>
  <c r="I1" i="7"/>
  <c r="H1" i="7"/>
  <c r="G1" i="7"/>
  <c r="F1" i="7"/>
  <c r="E1" i="7"/>
  <c r="D1" i="7"/>
  <c r="C1" i="7"/>
  <c r="CA40" i="2" l="1"/>
  <c r="K40" i="2"/>
  <c r="AE40" i="2" s="1"/>
  <c r="I41" i="10" s="1"/>
  <c r="BT2" i="2"/>
  <c r="D2" i="2"/>
  <c r="BY98" i="2"/>
  <c r="I98" i="2"/>
  <c r="BU98" i="2"/>
  <c r="E98" i="2"/>
  <c r="CA97" i="2"/>
  <c r="K97" i="2"/>
  <c r="BW97" i="2"/>
  <c r="G97" i="2"/>
  <c r="BS97" i="2"/>
  <c r="C97" i="2"/>
  <c r="BY96" i="2"/>
  <c r="I96" i="2"/>
  <c r="BU96" i="2"/>
  <c r="E96" i="2"/>
  <c r="CA95" i="2"/>
  <c r="K95" i="2"/>
  <c r="BW95" i="2"/>
  <c r="G95" i="2"/>
  <c r="BS95" i="2"/>
  <c r="C95" i="2"/>
  <c r="BY94" i="2"/>
  <c r="I94" i="2"/>
  <c r="BU94" i="2"/>
  <c r="E94" i="2"/>
  <c r="CA93" i="2"/>
  <c r="K93" i="2"/>
  <c r="BW93" i="2"/>
  <c r="G93" i="2"/>
  <c r="BS93" i="2"/>
  <c r="C93" i="2"/>
  <c r="BY92" i="2"/>
  <c r="I92" i="2"/>
  <c r="BU92" i="2"/>
  <c r="E92" i="2"/>
  <c r="CA91" i="2"/>
  <c r="K91" i="2"/>
  <c r="BW91" i="2"/>
  <c r="G91" i="2"/>
  <c r="BS91" i="2"/>
  <c r="C91" i="2"/>
  <c r="BY90" i="2"/>
  <c r="I90" i="2"/>
  <c r="BU90" i="2"/>
  <c r="E90" i="2"/>
  <c r="CA89" i="2"/>
  <c r="K89" i="2"/>
  <c r="BW89" i="2"/>
  <c r="G89" i="2"/>
  <c r="BS89" i="2"/>
  <c r="C89" i="2"/>
  <c r="BY88" i="2"/>
  <c r="I88" i="2"/>
  <c r="BU88" i="2"/>
  <c r="E88" i="2"/>
  <c r="CA87" i="2"/>
  <c r="K87" i="2"/>
  <c r="BW87" i="2"/>
  <c r="G87" i="2"/>
  <c r="BS87" i="2"/>
  <c r="C87" i="2"/>
  <c r="BY86" i="2"/>
  <c r="I86" i="2"/>
  <c r="BU86" i="2"/>
  <c r="E86" i="2"/>
  <c r="CA85" i="2"/>
  <c r="K85" i="2"/>
  <c r="BW85" i="2"/>
  <c r="G85" i="2"/>
  <c r="BS85" i="2"/>
  <c r="C85" i="2"/>
  <c r="BY84" i="2"/>
  <c r="I84" i="2"/>
  <c r="BU84" i="2"/>
  <c r="E84" i="2"/>
  <c r="CA83" i="2"/>
  <c r="K83" i="2"/>
  <c r="BW83" i="2"/>
  <c r="G83" i="2"/>
  <c r="BS83" i="2"/>
  <c r="C83" i="2"/>
  <c r="BY82" i="2"/>
  <c r="I82" i="2"/>
  <c r="BU82" i="2"/>
  <c r="E82" i="2"/>
  <c r="CA81" i="2"/>
  <c r="K81" i="2"/>
  <c r="BW81" i="2"/>
  <c r="G81" i="2"/>
  <c r="BS81" i="2"/>
  <c r="C81" i="2"/>
  <c r="BY80" i="2"/>
  <c r="I80" i="2"/>
  <c r="BU80" i="2"/>
  <c r="E80" i="2"/>
  <c r="CA79" i="2"/>
  <c r="K79" i="2"/>
  <c r="BW79" i="2"/>
  <c r="G79" i="2"/>
  <c r="BS79" i="2"/>
  <c r="C79" i="2"/>
  <c r="BY78" i="2"/>
  <c r="I78" i="2"/>
  <c r="BU78" i="2"/>
  <c r="E78" i="2"/>
  <c r="CA77" i="2"/>
  <c r="K77" i="2"/>
  <c r="BW77" i="2"/>
  <c r="G77" i="2"/>
  <c r="BS77" i="2"/>
  <c r="C77" i="2"/>
  <c r="BY76" i="2"/>
  <c r="I76" i="2"/>
  <c r="BU76" i="2"/>
  <c r="E76" i="2"/>
  <c r="CA75" i="2"/>
  <c r="K75" i="2"/>
  <c r="BW75" i="2"/>
  <c r="G75" i="2"/>
  <c r="BS75" i="2"/>
  <c r="C75" i="2"/>
  <c r="BY74" i="2"/>
  <c r="I74" i="2"/>
  <c r="BU74" i="2"/>
  <c r="E74" i="2"/>
  <c r="CA73" i="2"/>
  <c r="K73" i="2"/>
  <c r="BW73" i="2"/>
  <c r="G73" i="2"/>
  <c r="BS73" i="2"/>
  <c r="C73" i="2"/>
  <c r="BY72" i="2"/>
  <c r="I72" i="2"/>
  <c r="BU72" i="2"/>
  <c r="E72" i="2"/>
  <c r="CA71" i="2"/>
  <c r="K71" i="2"/>
  <c r="BW71" i="2"/>
  <c r="G71" i="2"/>
  <c r="BS71" i="2"/>
  <c r="C71" i="2"/>
  <c r="BY70" i="2"/>
  <c r="I70" i="2"/>
  <c r="BU70" i="2"/>
  <c r="E70" i="2"/>
  <c r="CA69" i="2"/>
  <c r="K69" i="2"/>
  <c r="BW69" i="2"/>
  <c r="G69" i="2"/>
  <c r="BS69" i="2"/>
  <c r="C69" i="2"/>
  <c r="BY68" i="2"/>
  <c r="I68" i="2"/>
  <c r="BU68" i="2"/>
  <c r="E68" i="2"/>
  <c r="CA67" i="2"/>
  <c r="K67" i="2"/>
  <c r="BW67" i="2"/>
  <c r="G67" i="2"/>
  <c r="BS67" i="2"/>
  <c r="C67" i="2"/>
  <c r="BY66" i="2"/>
  <c r="I66" i="2"/>
  <c r="BU66" i="2"/>
  <c r="E66" i="2"/>
  <c r="CA65" i="2"/>
  <c r="K65" i="2"/>
  <c r="BW65" i="2"/>
  <c r="G65" i="2"/>
  <c r="BS65" i="2"/>
  <c r="C65" i="2"/>
  <c r="BY64" i="2"/>
  <c r="I64" i="2"/>
  <c r="BU64" i="2"/>
  <c r="E64" i="2"/>
  <c r="CA63" i="2"/>
  <c r="K63" i="2"/>
  <c r="BW63" i="2"/>
  <c r="G63" i="2"/>
  <c r="BS63" i="2"/>
  <c r="C63" i="2"/>
  <c r="BY62" i="2"/>
  <c r="I62" i="2"/>
  <c r="BU62" i="2"/>
  <c r="E62" i="2"/>
  <c r="CA61" i="2"/>
  <c r="K61" i="2"/>
  <c r="BW61" i="2"/>
  <c r="G61" i="2"/>
  <c r="BS61" i="2"/>
  <c r="C61" i="2"/>
  <c r="BY60" i="2"/>
  <c r="I60" i="2"/>
  <c r="BU60" i="2"/>
  <c r="E60" i="2"/>
  <c r="I2" i="2"/>
  <c r="BY2" i="2"/>
  <c r="I65" i="2"/>
  <c r="C64" i="2"/>
  <c r="L59" i="2"/>
  <c r="CM59" i="2"/>
  <c r="J59" i="2"/>
  <c r="CK59" i="2"/>
  <c r="H59" i="2"/>
  <c r="CI59" i="2"/>
  <c r="F59" i="2"/>
  <c r="CG59" i="2"/>
  <c r="D59" i="2"/>
  <c r="CE59" i="2"/>
  <c r="L58" i="2"/>
  <c r="CM58" i="2"/>
  <c r="J58" i="2"/>
  <c r="CK58" i="2"/>
  <c r="H58" i="2"/>
  <c r="CI58" i="2"/>
  <c r="F58" i="2"/>
  <c r="CG58" i="2"/>
  <c r="D58" i="2"/>
  <c r="CE58" i="2"/>
  <c r="L57" i="2"/>
  <c r="CM57" i="2"/>
  <c r="J57" i="2"/>
  <c r="CK57" i="2"/>
  <c r="H57" i="2"/>
  <c r="CI57" i="2"/>
  <c r="F57" i="2"/>
  <c r="CG57" i="2"/>
  <c r="D57" i="2"/>
  <c r="CE57" i="2"/>
  <c r="L56" i="2"/>
  <c r="CM56" i="2"/>
  <c r="J56" i="2"/>
  <c r="CK56" i="2"/>
  <c r="H56" i="2"/>
  <c r="CI56" i="2"/>
  <c r="F56" i="2"/>
  <c r="CG56" i="2"/>
  <c r="D56" i="2"/>
  <c r="CE56" i="2"/>
  <c r="L55" i="2"/>
  <c r="CM55" i="2"/>
  <c r="J55" i="2"/>
  <c r="CK55" i="2"/>
  <c r="H55" i="2"/>
  <c r="CI55" i="2"/>
  <c r="F55" i="2"/>
  <c r="CG55" i="2"/>
  <c r="D55" i="2"/>
  <c r="CE55" i="2"/>
  <c r="L54" i="2"/>
  <c r="CM54" i="2"/>
  <c r="J54" i="2"/>
  <c r="CK54" i="2"/>
  <c r="H54" i="2"/>
  <c r="CI54" i="2"/>
  <c r="F54" i="2"/>
  <c r="CG54" i="2"/>
  <c r="D54" i="2"/>
  <c r="CE54" i="2"/>
  <c r="L53" i="2"/>
  <c r="CM53" i="2"/>
  <c r="J53" i="2"/>
  <c r="CK53" i="2"/>
  <c r="H53" i="2"/>
  <c r="CI53" i="2"/>
  <c r="F53" i="2"/>
  <c r="CG53" i="2"/>
  <c r="D53" i="2"/>
  <c r="CE53" i="2"/>
  <c r="L52" i="2"/>
  <c r="CM52" i="2"/>
  <c r="J52" i="2"/>
  <c r="CK52" i="2"/>
  <c r="H52" i="2"/>
  <c r="CI52" i="2"/>
  <c r="F52" i="2"/>
  <c r="CG52" i="2"/>
  <c r="D52" i="2"/>
  <c r="CE52" i="2"/>
  <c r="L51" i="2"/>
  <c r="CM51" i="2"/>
  <c r="J51" i="2"/>
  <c r="CK51" i="2"/>
  <c r="H51" i="2"/>
  <c r="CI51" i="2"/>
  <c r="F51" i="2"/>
  <c r="CG51" i="2"/>
  <c r="D51" i="2"/>
  <c r="CE51" i="2"/>
  <c r="L50" i="2"/>
  <c r="CM50" i="2"/>
  <c r="J50" i="2"/>
  <c r="CK50" i="2"/>
  <c r="H50" i="2"/>
  <c r="CI50" i="2"/>
  <c r="F50" i="2"/>
  <c r="CG50" i="2"/>
  <c r="D50" i="2"/>
  <c r="CE50" i="2"/>
  <c r="L49" i="2"/>
  <c r="CM49" i="2"/>
  <c r="J49" i="2"/>
  <c r="CK49" i="2"/>
  <c r="H49" i="2"/>
  <c r="CI49" i="2"/>
  <c r="F49" i="2"/>
  <c r="CG49" i="2"/>
  <c r="D49" i="2"/>
  <c r="CE49" i="2"/>
  <c r="L48" i="2"/>
  <c r="CM48" i="2"/>
  <c r="J48" i="2"/>
  <c r="CK48" i="2"/>
  <c r="H48" i="2"/>
  <c r="CI48" i="2"/>
  <c r="F48" i="2"/>
  <c r="CG48" i="2"/>
  <c r="D48" i="2"/>
  <c r="CE48" i="2"/>
  <c r="L47" i="2"/>
  <c r="CM47" i="2"/>
  <c r="J47" i="2"/>
  <c r="CK47" i="2"/>
  <c r="H47" i="2"/>
  <c r="CI47" i="2"/>
  <c r="F47" i="2"/>
  <c r="CG47" i="2"/>
  <c r="D47" i="2"/>
  <c r="CE47" i="2"/>
  <c r="L46" i="2"/>
  <c r="CM46" i="2"/>
  <c r="J46" i="2"/>
  <c r="CK46" i="2"/>
  <c r="H46" i="2"/>
  <c r="CI46" i="2"/>
  <c r="F46" i="2"/>
  <c r="CG46" i="2"/>
  <c r="D46" i="2"/>
  <c r="CE46" i="2"/>
  <c r="L45" i="2"/>
  <c r="CM45" i="2"/>
  <c r="J45" i="2"/>
  <c r="CK45" i="2"/>
  <c r="H45" i="2"/>
  <c r="CI45" i="2"/>
  <c r="F45" i="2"/>
  <c r="CG45" i="2"/>
  <c r="D45" i="2"/>
  <c r="CE45" i="2"/>
  <c r="L44" i="2"/>
  <c r="CM44" i="2"/>
  <c r="J44" i="2"/>
  <c r="CK44" i="2"/>
  <c r="H44" i="2"/>
  <c r="CI44" i="2"/>
  <c r="F44" i="2"/>
  <c r="CG44" i="2"/>
  <c r="D44" i="2"/>
  <c r="CE44" i="2"/>
  <c r="L43" i="2"/>
  <c r="CM43" i="2"/>
  <c r="J43" i="2"/>
  <c r="CK43" i="2"/>
  <c r="H43" i="2"/>
  <c r="CI43" i="2"/>
  <c r="F43" i="2"/>
  <c r="CG43" i="2"/>
  <c r="D43" i="2"/>
  <c r="CE43" i="2"/>
  <c r="L42" i="2"/>
  <c r="CM42" i="2"/>
  <c r="J42" i="2"/>
  <c r="CK42" i="2"/>
  <c r="H42" i="2"/>
  <c r="CI42" i="2"/>
  <c r="F42" i="2"/>
  <c r="CG42" i="2"/>
  <c r="D42" i="2"/>
  <c r="CE42" i="2"/>
  <c r="L41" i="2"/>
  <c r="CM41" i="2"/>
  <c r="J41" i="2"/>
  <c r="CK41" i="2"/>
  <c r="H41" i="2"/>
  <c r="CI41" i="2"/>
  <c r="F41" i="2"/>
  <c r="CG41" i="2"/>
  <c r="D41" i="2"/>
  <c r="CE41" i="2"/>
  <c r="L40" i="2"/>
  <c r="CM40" i="2"/>
  <c r="J40" i="2"/>
  <c r="CK40" i="2"/>
  <c r="H40" i="2"/>
  <c r="CI40" i="2"/>
  <c r="F40" i="2"/>
  <c r="CG40" i="2"/>
  <c r="D40" i="2"/>
  <c r="CE40" i="2"/>
  <c r="L39" i="2"/>
  <c r="CM39" i="2"/>
  <c r="J39" i="2"/>
  <c r="CK39" i="2"/>
  <c r="H39" i="2"/>
  <c r="CI39" i="2"/>
  <c r="F39" i="2"/>
  <c r="CG39" i="2"/>
  <c r="D39" i="2"/>
  <c r="CE39" i="2"/>
  <c r="L38" i="2"/>
  <c r="CM38" i="2"/>
  <c r="J38" i="2"/>
  <c r="CK38" i="2"/>
  <c r="H38" i="2"/>
  <c r="CI38" i="2"/>
  <c r="F38" i="2"/>
  <c r="CG38" i="2"/>
  <c r="D38" i="2"/>
  <c r="CE38" i="2"/>
  <c r="L37" i="2"/>
  <c r="CM37" i="2"/>
  <c r="J37" i="2"/>
  <c r="CK37" i="2"/>
  <c r="H37" i="2"/>
  <c r="CI37" i="2"/>
  <c r="F37" i="2"/>
  <c r="CG37" i="2"/>
  <c r="D37" i="2"/>
  <c r="CE37" i="2"/>
  <c r="L36" i="2"/>
  <c r="CM36" i="2"/>
  <c r="J36" i="2"/>
  <c r="CK36" i="2"/>
  <c r="H36" i="2"/>
  <c r="CI36" i="2"/>
  <c r="F36" i="2"/>
  <c r="CG36" i="2"/>
  <c r="D36" i="2"/>
  <c r="CE36" i="2"/>
  <c r="L35" i="2"/>
  <c r="CM35" i="2"/>
  <c r="J35" i="2"/>
  <c r="CK35" i="2"/>
  <c r="H35" i="2"/>
  <c r="CI35" i="2"/>
  <c r="F35" i="2"/>
  <c r="CG35" i="2"/>
  <c r="D35" i="2"/>
  <c r="CE35" i="2"/>
  <c r="L34" i="2"/>
  <c r="CM34" i="2"/>
  <c r="J34" i="2"/>
  <c r="CK34" i="2"/>
  <c r="H34" i="2"/>
  <c r="CI34" i="2"/>
  <c r="F34" i="2"/>
  <c r="CG34" i="2"/>
  <c r="D34" i="2"/>
  <c r="CE34" i="2"/>
  <c r="L33" i="2"/>
  <c r="CM33" i="2"/>
  <c r="J33" i="2"/>
  <c r="CK33" i="2"/>
  <c r="H33" i="2"/>
  <c r="CI33" i="2"/>
  <c r="F33" i="2"/>
  <c r="CG33" i="2"/>
  <c r="D33" i="2"/>
  <c r="CE33" i="2"/>
  <c r="L32" i="2"/>
  <c r="CM32" i="2"/>
  <c r="J32" i="2"/>
  <c r="CK32" i="2"/>
  <c r="H32" i="2"/>
  <c r="CI32" i="2"/>
  <c r="F32" i="2"/>
  <c r="CG32" i="2"/>
  <c r="D32" i="2"/>
  <c r="CE32" i="2"/>
  <c r="L31" i="2"/>
  <c r="CM31" i="2"/>
  <c r="J31" i="2"/>
  <c r="CK31" i="2"/>
  <c r="H31" i="2"/>
  <c r="CI31" i="2"/>
  <c r="F31" i="2"/>
  <c r="CG31" i="2"/>
  <c r="D31" i="2"/>
  <c r="CE31" i="2"/>
  <c r="L30" i="2"/>
  <c r="CM30" i="2"/>
  <c r="J30" i="2"/>
  <c r="CK30" i="2"/>
  <c r="H30" i="2"/>
  <c r="CI30" i="2"/>
  <c r="F30" i="2"/>
  <c r="CG30" i="2"/>
  <c r="D30" i="2"/>
  <c r="CE30" i="2"/>
  <c r="L29" i="2"/>
  <c r="CM29" i="2"/>
  <c r="J29" i="2"/>
  <c r="CK29" i="2"/>
  <c r="H29" i="2"/>
  <c r="CI29" i="2"/>
  <c r="F29" i="2"/>
  <c r="CG29" i="2"/>
  <c r="D29" i="2"/>
  <c r="CE29" i="2"/>
  <c r="L28" i="2"/>
  <c r="CM28" i="2"/>
  <c r="J28" i="2"/>
  <c r="CK28" i="2"/>
  <c r="H28" i="2"/>
  <c r="CI28" i="2"/>
  <c r="F28" i="2"/>
  <c r="CG28" i="2"/>
  <c r="D28" i="2"/>
  <c r="CE28" i="2"/>
  <c r="L27" i="2"/>
  <c r="CM27" i="2"/>
  <c r="J27" i="2"/>
  <c r="CK27" i="2"/>
  <c r="H27" i="2"/>
  <c r="CI27" i="2"/>
  <c r="F27" i="2"/>
  <c r="CG27" i="2"/>
  <c r="D27" i="2"/>
  <c r="CE27" i="2"/>
  <c r="L26" i="2"/>
  <c r="CM26" i="2"/>
  <c r="J26" i="2"/>
  <c r="CK26" i="2"/>
  <c r="H26" i="2"/>
  <c r="CI26" i="2"/>
  <c r="F26" i="2"/>
  <c r="CG26" i="2"/>
  <c r="D26" i="2"/>
  <c r="CE26" i="2"/>
  <c r="L25" i="2"/>
  <c r="CM25" i="2"/>
  <c r="J25" i="2"/>
  <c r="CK25" i="2"/>
  <c r="H25" i="2"/>
  <c r="CI25" i="2"/>
  <c r="F25" i="2"/>
  <c r="CG25" i="2"/>
  <c r="D25" i="2"/>
  <c r="CE25" i="2"/>
  <c r="L24" i="2"/>
  <c r="CM24" i="2"/>
  <c r="J24" i="2"/>
  <c r="CK24" i="2"/>
  <c r="H24" i="2"/>
  <c r="CI24" i="2"/>
  <c r="F24" i="2"/>
  <c r="CG24" i="2"/>
  <c r="D24" i="2"/>
  <c r="CE24" i="2"/>
  <c r="L23" i="2"/>
  <c r="CM23" i="2"/>
  <c r="J23" i="2"/>
  <c r="CK23" i="2"/>
  <c r="H23" i="2"/>
  <c r="CI23" i="2"/>
  <c r="F23" i="2"/>
  <c r="CG23" i="2"/>
  <c r="D23" i="2"/>
  <c r="CE23" i="2"/>
  <c r="L22" i="2"/>
  <c r="CM22" i="2"/>
  <c r="J22" i="2"/>
  <c r="CK22" i="2"/>
  <c r="H22" i="2"/>
  <c r="CI22" i="2"/>
  <c r="F22" i="2"/>
  <c r="CG22" i="2"/>
  <c r="D22" i="2"/>
  <c r="CE22" i="2"/>
  <c r="L21" i="2"/>
  <c r="CM21" i="2"/>
  <c r="J21" i="2"/>
  <c r="CK21" i="2"/>
  <c r="H21" i="2"/>
  <c r="CI21" i="2"/>
  <c r="F21" i="2"/>
  <c r="CG21" i="2"/>
  <c r="D21" i="2"/>
  <c r="CE21" i="2"/>
  <c r="L20" i="2"/>
  <c r="CM20" i="2"/>
  <c r="J20" i="2"/>
  <c r="CK20" i="2"/>
  <c r="H20" i="2"/>
  <c r="CI20" i="2"/>
  <c r="F20" i="2"/>
  <c r="CG20" i="2"/>
  <c r="D20" i="2"/>
  <c r="CE20" i="2"/>
  <c r="L19" i="2"/>
  <c r="CM19" i="2"/>
  <c r="J19" i="2"/>
  <c r="CK19" i="2"/>
  <c r="H19" i="2"/>
  <c r="CI19" i="2"/>
  <c r="F19" i="2"/>
  <c r="CG19" i="2"/>
  <c r="D19" i="2"/>
  <c r="CE19" i="2"/>
  <c r="L18" i="2"/>
  <c r="CM18" i="2"/>
  <c r="J18" i="2"/>
  <c r="CK18" i="2"/>
  <c r="H18" i="2"/>
  <c r="CI18" i="2"/>
  <c r="F18" i="2"/>
  <c r="CG18" i="2"/>
  <c r="D18" i="2"/>
  <c r="CE18" i="2"/>
  <c r="L17" i="2"/>
  <c r="CM17" i="2"/>
  <c r="J17" i="2"/>
  <c r="CK17" i="2"/>
  <c r="H17" i="2"/>
  <c r="CI17" i="2"/>
  <c r="F17" i="2"/>
  <c r="CG17" i="2"/>
  <c r="D17" i="2"/>
  <c r="CE17" i="2"/>
  <c r="L16" i="2"/>
  <c r="CM16" i="2"/>
  <c r="J16" i="2"/>
  <c r="CK16" i="2"/>
  <c r="H16" i="2"/>
  <c r="CI16" i="2"/>
  <c r="F16" i="2"/>
  <c r="CG16" i="2"/>
  <c r="D16" i="2"/>
  <c r="CE16" i="2"/>
  <c r="L15" i="2"/>
  <c r="CM15" i="2"/>
  <c r="J15" i="2"/>
  <c r="CK15" i="2"/>
  <c r="H15" i="2"/>
  <c r="CI15" i="2"/>
  <c r="F15" i="2"/>
  <c r="CG15" i="2"/>
  <c r="D15" i="2"/>
  <c r="CE15" i="2"/>
  <c r="L14" i="2"/>
  <c r="CM14" i="2"/>
  <c r="J14" i="2"/>
  <c r="CK14" i="2"/>
  <c r="H14" i="2"/>
  <c r="CI14" i="2"/>
  <c r="F14" i="2"/>
  <c r="CG14" i="2"/>
  <c r="D14" i="2"/>
  <c r="CE14" i="2"/>
  <c r="L13" i="2"/>
  <c r="CM13" i="2"/>
  <c r="J13" i="2"/>
  <c r="CK13" i="2"/>
  <c r="H13" i="2"/>
  <c r="CI13" i="2"/>
  <c r="F13" i="2"/>
  <c r="CG13" i="2"/>
  <c r="D13" i="2"/>
  <c r="CE13" i="2"/>
  <c r="L12" i="2"/>
  <c r="CM12" i="2"/>
  <c r="J12" i="2"/>
  <c r="CK12" i="2"/>
  <c r="H12" i="2"/>
  <c r="CI12" i="2"/>
  <c r="F12" i="2"/>
  <c r="CG12" i="2"/>
  <c r="D12" i="2"/>
  <c r="CE12" i="2"/>
  <c r="L11" i="2"/>
  <c r="CM11" i="2"/>
  <c r="J11" i="2"/>
  <c r="CK11" i="2"/>
  <c r="H11" i="2"/>
  <c r="CI11" i="2"/>
  <c r="F11" i="2"/>
  <c r="CG11" i="2"/>
  <c r="D11" i="2"/>
  <c r="CE11" i="2"/>
  <c r="L10" i="2"/>
  <c r="CM10" i="2"/>
  <c r="J10" i="2"/>
  <c r="CK10" i="2"/>
  <c r="H10" i="2"/>
  <c r="CI10" i="2"/>
  <c r="F10" i="2"/>
  <c r="CG10" i="2"/>
  <c r="D10" i="2"/>
  <c r="CE10" i="2"/>
  <c r="L9" i="2"/>
  <c r="CM9" i="2"/>
  <c r="J9" i="2"/>
  <c r="CK9" i="2"/>
  <c r="H9" i="2"/>
  <c r="CI9" i="2"/>
  <c r="F9" i="2"/>
  <c r="CG9" i="2"/>
  <c r="D9" i="2"/>
  <c r="CE9" i="2"/>
  <c r="L8" i="2"/>
  <c r="CM8" i="2"/>
  <c r="J8" i="2"/>
  <c r="CK8" i="2"/>
  <c r="H8" i="2"/>
  <c r="CI8" i="2"/>
  <c r="F8" i="2"/>
  <c r="CG8" i="2"/>
  <c r="D8" i="2"/>
  <c r="CE8" i="2"/>
  <c r="L7" i="2"/>
  <c r="CM7" i="2"/>
  <c r="J7" i="2"/>
  <c r="CK7" i="2"/>
  <c r="H7" i="2"/>
  <c r="CI7" i="2"/>
  <c r="F7" i="2"/>
  <c r="CG7" i="2"/>
  <c r="D7" i="2"/>
  <c r="CE7" i="2"/>
  <c r="L6" i="2"/>
  <c r="CM6" i="2"/>
  <c r="J6" i="2"/>
  <c r="CK6" i="2"/>
  <c r="H6" i="2"/>
  <c r="CI6" i="2"/>
  <c r="F6" i="2"/>
  <c r="CG6" i="2"/>
  <c r="D6" i="2"/>
  <c r="CE6" i="2"/>
  <c r="L5" i="2"/>
  <c r="CM5" i="2"/>
  <c r="J5" i="2"/>
  <c r="CK5" i="2"/>
  <c r="H5" i="2"/>
  <c r="CI5" i="2"/>
  <c r="F5" i="2"/>
  <c r="CG5" i="2"/>
  <c r="D5" i="2"/>
  <c r="CE5" i="2"/>
  <c r="L4" i="2"/>
  <c r="CM4" i="2"/>
  <c r="J4" i="2"/>
  <c r="CK4" i="2"/>
  <c r="H4" i="2"/>
  <c r="CI4" i="2"/>
  <c r="F4" i="2"/>
  <c r="CG4" i="2"/>
  <c r="D4" i="2"/>
  <c r="CE4" i="2"/>
  <c r="BW2" i="2"/>
  <c r="G2" i="2"/>
  <c r="BU2" i="2"/>
  <c r="E2" i="2"/>
  <c r="CB98" i="2"/>
  <c r="L98" i="2"/>
  <c r="BZ98" i="2"/>
  <c r="J98" i="2"/>
  <c r="BX98" i="2"/>
  <c r="H98" i="2"/>
  <c r="BV98" i="2"/>
  <c r="F98" i="2"/>
  <c r="BT98" i="2"/>
  <c r="D98" i="2"/>
  <c r="CB97" i="2"/>
  <c r="L97" i="2"/>
  <c r="BZ97" i="2"/>
  <c r="J97" i="2"/>
  <c r="BX97" i="2"/>
  <c r="H97" i="2"/>
  <c r="BV97" i="2"/>
  <c r="F97" i="2"/>
  <c r="BT97" i="2"/>
  <c r="D97" i="2"/>
  <c r="CB96" i="2"/>
  <c r="L96" i="2"/>
  <c r="BZ96" i="2"/>
  <c r="J96" i="2"/>
  <c r="BX96" i="2"/>
  <c r="H96" i="2"/>
  <c r="BV96" i="2"/>
  <c r="F96" i="2"/>
  <c r="BT96" i="2"/>
  <c r="D96" i="2"/>
  <c r="CB95" i="2"/>
  <c r="L95" i="2"/>
  <c r="BZ95" i="2"/>
  <c r="J95" i="2"/>
  <c r="BX95" i="2"/>
  <c r="H95" i="2"/>
  <c r="BV95" i="2"/>
  <c r="F95" i="2"/>
  <c r="BT95" i="2"/>
  <c r="D95" i="2"/>
  <c r="CB94" i="2"/>
  <c r="L94" i="2"/>
  <c r="BZ94" i="2"/>
  <c r="J94" i="2"/>
  <c r="BX94" i="2"/>
  <c r="H94" i="2"/>
  <c r="BV94" i="2"/>
  <c r="F94" i="2"/>
  <c r="BT94" i="2"/>
  <c r="D94" i="2"/>
  <c r="CB93" i="2"/>
  <c r="L93" i="2"/>
  <c r="BZ93" i="2"/>
  <c r="J93" i="2"/>
  <c r="BX93" i="2"/>
  <c r="H93" i="2"/>
  <c r="BV93" i="2"/>
  <c r="F93" i="2"/>
  <c r="BT93" i="2"/>
  <c r="D93" i="2"/>
  <c r="CB92" i="2"/>
  <c r="L92" i="2"/>
  <c r="BZ92" i="2"/>
  <c r="J92" i="2"/>
  <c r="BX92" i="2"/>
  <c r="H92" i="2"/>
  <c r="BV92" i="2"/>
  <c r="F92" i="2"/>
  <c r="BT92" i="2"/>
  <c r="D92" i="2"/>
  <c r="CB91" i="2"/>
  <c r="L91" i="2"/>
  <c r="BZ91" i="2"/>
  <c r="J91" i="2"/>
  <c r="BX91" i="2"/>
  <c r="H91" i="2"/>
  <c r="BV91" i="2"/>
  <c r="F91" i="2"/>
  <c r="BT91" i="2"/>
  <c r="D91" i="2"/>
  <c r="CB90" i="2"/>
  <c r="L90" i="2"/>
  <c r="BZ90" i="2"/>
  <c r="J90" i="2"/>
  <c r="BX90" i="2"/>
  <c r="H90" i="2"/>
  <c r="BV90" i="2"/>
  <c r="F90" i="2"/>
  <c r="BT90" i="2"/>
  <c r="D90" i="2"/>
  <c r="CB89" i="2"/>
  <c r="L89" i="2"/>
  <c r="BZ89" i="2"/>
  <c r="J89" i="2"/>
  <c r="BX89" i="2"/>
  <c r="H89" i="2"/>
  <c r="BV89" i="2"/>
  <c r="F89" i="2"/>
  <c r="BT89" i="2"/>
  <c r="D89" i="2"/>
  <c r="CB88" i="2"/>
  <c r="L88" i="2"/>
  <c r="BZ88" i="2"/>
  <c r="J88" i="2"/>
  <c r="BX88" i="2"/>
  <c r="H88" i="2"/>
  <c r="BV88" i="2"/>
  <c r="F88" i="2"/>
  <c r="BT88" i="2"/>
  <c r="D88" i="2"/>
  <c r="CB87" i="2"/>
  <c r="L87" i="2"/>
  <c r="BZ87" i="2"/>
  <c r="J87" i="2"/>
  <c r="BX87" i="2"/>
  <c r="H87" i="2"/>
  <c r="BV87" i="2"/>
  <c r="F87" i="2"/>
  <c r="BT87" i="2"/>
  <c r="D87" i="2"/>
  <c r="CB86" i="2"/>
  <c r="L86" i="2"/>
  <c r="BZ86" i="2"/>
  <c r="J86" i="2"/>
  <c r="BX86" i="2"/>
  <c r="H86" i="2"/>
  <c r="BV86" i="2"/>
  <c r="F86" i="2"/>
  <c r="BT86" i="2"/>
  <c r="D86" i="2"/>
  <c r="CB85" i="2"/>
  <c r="L85" i="2"/>
  <c r="BZ85" i="2"/>
  <c r="J85" i="2"/>
  <c r="BX85" i="2"/>
  <c r="H85" i="2"/>
  <c r="BV85" i="2"/>
  <c r="F85" i="2"/>
  <c r="BT85" i="2"/>
  <c r="D85" i="2"/>
  <c r="CB84" i="2"/>
  <c r="L84" i="2"/>
  <c r="BZ84" i="2"/>
  <c r="J84" i="2"/>
  <c r="BX84" i="2"/>
  <c r="H84" i="2"/>
  <c r="BV84" i="2"/>
  <c r="F84" i="2"/>
  <c r="BT84" i="2"/>
  <c r="D84" i="2"/>
  <c r="CB83" i="2"/>
  <c r="L83" i="2"/>
  <c r="BZ83" i="2"/>
  <c r="J83" i="2"/>
  <c r="BX83" i="2"/>
  <c r="H83" i="2"/>
  <c r="BV83" i="2"/>
  <c r="F83" i="2"/>
  <c r="BT83" i="2"/>
  <c r="D83" i="2"/>
  <c r="CB82" i="2"/>
  <c r="L82" i="2"/>
  <c r="BZ82" i="2"/>
  <c r="J82" i="2"/>
  <c r="BX82" i="2"/>
  <c r="H82" i="2"/>
  <c r="BV82" i="2"/>
  <c r="F82" i="2"/>
  <c r="BT82" i="2"/>
  <c r="D82" i="2"/>
  <c r="CB81" i="2"/>
  <c r="L81" i="2"/>
  <c r="BZ81" i="2"/>
  <c r="J81" i="2"/>
  <c r="BX81" i="2"/>
  <c r="H81" i="2"/>
  <c r="BV81" i="2"/>
  <c r="F81" i="2"/>
  <c r="BT81" i="2"/>
  <c r="D81" i="2"/>
  <c r="CB80" i="2"/>
  <c r="L80" i="2"/>
  <c r="BZ80" i="2"/>
  <c r="J80" i="2"/>
  <c r="BX80" i="2"/>
  <c r="H80" i="2"/>
  <c r="BV80" i="2"/>
  <c r="F80" i="2"/>
  <c r="BT80" i="2"/>
  <c r="D80" i="2"/>
  <c r="CB79" i="2"/>
  <c r="L79" i="2"/>
  <c r="BZ79" i="2"/>
  <c r="J79" i="2"/>
  <c r="BX79" i="2"/>
  <c r="H79" i="2"/>
  <c r="BV79" i="2"/>
  <c r="F79" i="2"/>
  <c r="BT79" i="2"/>
  <c r="D79" i="2"/>
  <c r="CB78" i="2"/>
  <c r="L78" i="2"/>
  <c r="BZ78" i="2"/>
  <c r="J78" i="2"/>
  <c r="BX78" i="2"/>
  <c r="H78" i="2"/>
  <c r="BV78" i="2"/>
  <c r="F78" i="2"/>
  <c r="BT78" i="2"/>
  <c r="D78" i="2"/>
  <c r="CB77" i="2"/>
  <c r="L77" i="2"/>
  <c r="BZ77" i="2"/>
  <c r="J77" i="2"/>
  <c r="BX77" i="2"/>
  <c r="H77" i="2"/>
  <c r="BV77" i="2"/>
  <c r="F77" i="2"/>
  <c r="BT77" i="2"/>
  <c r="D77" i="2"/>
  <c r="CB76" i="2"/>
  <c r="L76" i="2"/>
  <c r="BZ76" i="2"/>
  <c r="J76" i="2"/>
  <c r="BX76" i="2"/>
  <c r="H76" i="2"/>
  <c r="BV76" i="2"/>
  <c r="F76" i="2"/>
  <c r="BT76" i="2"/>
  <c r="D76" i="2"/>
  <c r="CB75" i="2"/>
  <c r="L75" i="2"/>
  <c r="BZ75" i="2"/>
  <c r="J75" i="2"/>
  <c r="BX75" i="2"/>
  <c r="H75" i="2"/>
  <c r="BV75" i="2"/>
  <c r="F75" i="2"/>
  <c r="BT75" i="2"/>
  <c r="D75" i="2"/>
  <c r="CB74" i="2"/>
  <c r="L74" i="2"/>
  <c r="BZ74" i="2"/>
  <c r="J74" i="2"/>
  <c r="BX74" i="2"/>
  <c r="H74" i="2"/>
  <c r="BV74" i="2"/>
  <c r="F74" i="2"/>
  <c r="BT74" i="2"/>
  <c r="D74" i="2"/>
  <c r="CB73" i="2"/>
  <c r="L73" i="2"/>
  <c r="BZ73" i="2"/>
  <c r="J73" i="2"/>
  <c r="BX73" i="2"/>
  <c r="H73" i="2"/>
  <c r="BV73" i="2"/>
  <c r="F73" i="2"/>
  <c r="BT73" i="2"/>
  <c r="D73" i="2"/>
  <c r="CB72" i="2"/>
  <c r="L72" i="2"/>
  <c r="BZ72" i="2"/>
  <c r="J72" i="2"/>
  <c r="BX72" i="2"/>
  <c r="H72" i="2"/>
  <c r="BV72" i="2"/>
  <c r="F72" i="2"/>
  <c r="BT72" i="2"/>
  <c r="D72" i="2"/>
  <c r="CB71" i="2"/>
  <c r="L71" i="2"/>
  <c r="BZ71" i="2"/>
  <c r="J71" i="2"/>
  <c r="BX71" i="2"/>
  <c r="H71" i="2"/>
  <c r="BV71" i="2"/>
  <c r="F71" i="2"/>
  <c r="BT71" i="2"/>
  <c r="D71" i="2"/>
  <c r="CB70" i="2"/>
  <c r="L70" i="2"/>
  <c r="BZ70" i="2"/>
  <c r="J70" i="2"/>
  <c r="BX70" i="2"/>
  <c r="H70" i="2"/>
  <c r="BV70" i="2"/>
  <c r="F70" i="2"/>
  <c r="BT70" i="2"/>
  <c r="D70" i="2"/>
  <c r="CB69" i="2"/>
  <c r="L69" i="2"/>
  <c r="BZ69" i="2"/>
  <c r="J69" i="2"/>
  <c r="BX69" i="2"/>
  <c r="H69" i="2"/>
  <c r="BV69" i="2"/>
  <c r="F69" i="2"/>
  <c r="BT69" i="2"/>
  <c r="D69" i="2"/>
  <c r="CB68" i="2"/>
  <c r="L68" i="2"/>
  <c r="BZ68" i="2"/>
  <c r="J68" i="2"/>
  <c r="BX68" i="2"/>
  <c r="H68" i="2"/>
  <c r="BV68" i="2"/>
  <c r="F68" i="2"/>
  <c r="BT68" i="2"/>
  <c r="D68" i="2"/>
  <c r="CB67" i="2"/>
  <c r="L67" i="2"/>
  <c r="BZ67" i="2"/>
  <c r="J67" i="2"/>
  <c r="BX67" i="2"/>
  <c r="H67" i="2"/>
  <c r="BV67" i="2"/>
  <c r="F67" i="2"/>
  <c r="BT67" i="2"/>
  <c r="D67" i="2"/>
  <c r="CB66" i="2"/>
  <c r="L66" i="2"/>
  <c r="BZ66" i="2"/>
  <c r="J66" i="2"/>
  <c r="BX66" i="2"/>
  <c r="H66" i="2"/>
  <c r="BV66" i="2"/>
  <c r="F66" i="2"/>
  <c r="BT66" i="2"/>
  <c r="D66" i="2"/>
  <c r="CB65" i="2"/>
  <c r="L65" i="2"/>
  <c r="BZ65" i="2"/>
  <c r="J65" i="2"/>
  <c r="BX65" i="2"/>
  <c r="H65" i="2"/>
  <c r="BV65" i="2"/>
  <c r="F65" i="2"/>
  <c r="BT65" i="2"/>
  <c r="D65" i="2"/>
  <c r="CB64" i="2"/>
  <c r="L64" i="2"/>
  <c r="BZ64" i="2"/>
  <c r="J64" i="2"/>
  <c r="BX64" i="2"/>
  <c r="H64" i="2"/>
  <c r="BV64" i="2"/>
  <c r="F64" i="2"/>
  <c r="BT64" i="2"/>
  <c r="D64" i="2"/>
  <c r="CB63" i="2"/>
  <c r="L63" i="2"/>
  <c r="BZ63" i="2"/>
  <c r="J63" i="2"/>
  <c r="BX63" i="2"/>
  <c r="H63" i="2"/>
  <c r="BV63" i="2"/>
  <c r="F63" i="2"/>
  <c r="BT63" i="2"/>
  <c r="D63" i="2"/>
  <c r="CB62" i="2"/>
  <c r="L62" i="2"/>
  <c r="BZ62" i="2"/>
  <c r="J62" i="2"/>
  <c r="BX62" i="2"/>
  <c r="H62" i="2"/>
  <c r="BV62" i="2"/>
  <c r="F62" i="2"/>
  <c r="BT62" i="2"/>
  <c r="D62" i="2"/>
  <c r="CB61" i="2"/>
  <c r="L61" i="2"/>
  <c r="BZ61" i="2"/>
  <c r="J61" i="2"/>
  <c r="BX61" i="2"/>
  <c r="H61" i="2"/>
  <c r="BV61" i="2"/>
  <c r="F61" i="2"/>
  <c r="BT61" i="2"/>
  <c r="D61" i="2"/>
  <c r="CB60" i="2"/>
  <c r="L60" i="2"/>
  <c r="BZ60" i="2"/>
  <c r="J60" i="2"/>
  <c r="BX60" i="2"/>
  <c r="H60" i="2"/>
  <c r="BV60" i="2"/>
  <c r="F60" i="2"/>
  <c r="BT60" i="2"/>
  <c r="D60" i="2"/>
  <c r="CB2" i="2"/>
  <c r="L2" i="2"/>
  <c r="BW82" i="2"/>
  <c r="G82" i="2"/>
  <c r="BS82" i="2"/>
  <c r="C82" i="2"/>
  <c r="BY81" i="2"/>
  <c r="I81" i="2"/>
  <c r="BU81" i="2"/>
  <c r="E81" i="2"/>
  <c r="CA80" i="2"/>
  <c r="K80" i="2"/>
  <c r="BW80" i="2"/>
  <c r="G80" i="2"/>
  <c r="BS80" i="2"/>
  <c r="C80" i="2"/>
  <c r="BO80" i="2" s="1"/>
  <c r="BY79" i="2"/>
  <c r="I79" i="2"/>
  <c r="BU79" i="2"/>
  <c r="E79" i="2"/>
  <c r="CA78" i="2"/>
  <c r="K78" i="2"/>
  <c r="BW78" i="2"/>
  <c r="G78" i="2"/>
  <c r="BS78" i="2"/>
  <c r="C78" i="2"/>
  <c r="BO78" i="2" s="1"/>
  <c r="BY77" i="2"/>
  <c r="I77" i="2"/>
  <c r="BU77" i="2"/>
  <c r="E77" i="2"/>
  <c r="CA76" i="2"/>
  <c r="K76" i="2"/>
  <c r="BW76" i="2"/>
  <c r="G76" i="2"/>
  <c r="BS76" i="2"/>
  <c r="C76" i="2"/>
  <c r="BO76" i="2" s="1"/>
  <c r="BY75" i="2"/>
  <c r="I75" i="2"/>
  <c r="BU75" i="2"/>
  <c r="E75" i="2"/>
  <c r="CA74" i="2"/>
  <c r="K74" i="2"/>
  <c r="BW74" i="2"/>
  <c r="G74" i="2"/>
  <c r="BS74" i="2"/>
  <c r="C74" i="2"/>
  <c r="BO74" i="2" s="1"/>
  <c r="BY73" i="2"/>
  <c r="I73" i="2"/>
  <c r="BU73" i="2"/>
  <c r="E73" i="2"/>
  <c r="CA72" i="2"/>
  <c r="K72" i="2"/>
  <c r="BW72" i="2"/>
  <c r="G72" i="2"/>
  <c r="BS72" i="2"/>
  <c r="C72" i="2"/>
  <c r="BO72" i="2" s="1"/>
  <c r="BY71" i="2"/>
  <c r="I71" i="2"/>
  <c r="BU71" i="2"/>
  <c r="E71" i="2"/>
  <c r="CA70" i="2"/>
  <c r="K70" i="2"/>
  <c r="BW70" i="2"/>
  <c r="G70" i="2"/>
  <c r="BS70" i="2"/>
  <c r="C70" i="2"/>
  <c r="BO70" i="2" s="1"/>
  <c r="BY69" i="2"/>
  <c r="I69" i="2"/>
  <c r="BU69" i="2"/>
  <c r="E69" i="2"/>
  <c r="BO69" i="2" s="1"/>
  <c r="CA68" i="2"/>
  <c r="K68" i="2"/>
  <c r="BW68" i="2"/>
  <c r="G68" i="2"/>
  <c r="BS68" i="2"/>
  <c r="C68" i="2"/>
  <c r="BO68" i="2" s="1"/>
  <c r="BY67" i="2"/>
  <c r="I67" i="2"/>
  <c r="BU67" i="2"/>
  <c r="E67" i="2"/>
  <c r="BO67" i="2" s="1"/>
  <c r="CA66" i="2"/>
  <c r="K66" i="2"/>
  <c r="BW66" i="2"/>
  <c r="G66" i="2"/>
  <c r="BS66" i="2"/>
  <c r="C66" i="2"/>
  <c r="BO66" i="2" s="1"/>
  <c r="BU65" i="2"/>
  <c r="E65" i="2"/>
  <c r="BW64" i="2"/>
  <c r="G64" i="2"/>
  <c r="BY63" i="2"/>
  <c r="I63" i="2"/>
  <c r="BU63" i="2"/>
  <c r="E63" i="2"/>
  <c r="CA62" i="2"/>
  <c r="K62" i="2"/>
  <c r="BW62" i="2"/>
  <c r="G62" i="2"/>
  <c r="BS62" i="2"/>
  <c r="C62" i="2"/>
  <c r="BO62" i="2" s="1"/>
  <c r="BY61" i="2"/>
  <c r="I61" i="2"/>
  <c r="BU61" i="2"/>
  <c r="E61" i="2"/>
  <c r="CA60" i="2"/>
  <c r="K60" i="2"/>
  <c r="BW60" i="2"/>
  <c r="G60" i="2"/>
  <c r="BS60" i="2"/>
  <c r="C60" i="2"/>
  <c r="BO60" i="2" s="1"/>
  <c r="K2" i="2"/>
  <c r="K59" i="2"/>
  <c r="CL59" i="2"/>
  <c r="I59" i="2"/>
  <c r="CJ59" i="2"/>
  <c r="G59" i="2"/>
  <c r="CH59" i="2"/>
  <c r="E59" i="2"/>
  <c r="CF59" i="2"/>
  <c r="C59" i="2"/>
  <c r="CD59" i="2"/>
  <c r="K58" i="2"/>
  <c r="CL58" i="2"/>
  <c r="I58" i="2"/>
  <c r="CJ58" i="2"/>
  <c r="G58" i="2"/>
  <c r="CH58" i="2"/>
  <c r="E58" i="2"/>
  <c r="CF58" i="2"/>
  <c r="C58" i="2"/>
  <c r="CD58" i="2"/>
  <c r="K57" i="2"/>
  <c r="CL57" i="2"/>
  <c r="I57" i="2"/>
  <c r="CJ57" i="2"/>
  <c r="G57" i="2"/>
  <c r="CH57" i="2"/>
  <c r="E57" i="2"/>
  <c r="CF57" i="2"/>
  <c r="C57" i="2"/>
  <c r="CD57" i="2"/>
  <c r="K56" i="2"/>
  <c r="CL56" i="2"/>
  <c r="I56" i="2"/>
  <c r="CJ56" i="2"/>
  <c r="G56" i="2"/>
  <c r="CH56" i="2"/>
  <c r="E56" i="2"/>
  <c r="CF56" i="2"/>
  <c r="C56" i="2"/>
  <c r="CD56" i="2"/>
  <c r="K55" i="2"/>
  <c r="CL55" i="2"/>
  <c r="I55" i="2"/>
  <c r="CJ55" i="2"/>
  <c r="G55" i="2"/>
  <c r="CH55" i="2"/>
  <c r="E55" i="2"/>
  <c r="CF55" i="2"/>
  <c r="C55" i="2"/>
  <c r="CD55" i="2"/>
  <c r="K54" i="2"/>
  <c r="CL54" i="2"/>
  <c r="I54" i="2"/>
  <c r="CJ54" i="2"/>
  <c r="G54" i="2"/>
  <c r="CH54" i="2"/>
  <c r="E54" i="2"/>
  <c r="CF54" i="2"/>
  <c r="C54" i="2"/>
  <c r="CD54" i="2"/>
  <c r="K53" i="2"/>
  <c r="CL53" i="2"/>
  <c r="I53" i="2"/>
  <c r="CJ53" i="2"/>
  <c r="G53" i="2"/>
  <c r="CH53" i="2"/>
  <c r="E53" i="2"/>
  <c r="CF53" i="2"/>
  <c r="C53" i="2"/>
  <c r="CD53" i="2"/>
  <c r="K52" i="2"/>
  <c r="CL52" i="2"/>
  <c r="I52" i="2"/>
  <c r="CJ52" i="2"/>
  <c r="G52" i="2"/>
  <c r="CH52" i="2"/>
  <c r="E52" i="2"/>
  <c r="CF52" i="2"/>
  <c r="C52" i="2"/>
  <c r="CD52" i="2"/>
  <c r="K51" i="2"/>
  <c r="CL51" i="2"/>
  <c r="I51" i="2"/>
  <c r="CJ51" i="2"/>
  <c r="G51" i="2"/>
  <c r="CH51" i="2"/>
  <c r="E51" i="2"/>
  <c r="CF51" i="2"/>
  <c r="C51" i="2"/>
  <c r="CD51" i="2"/>
  <c r="K50" i="2"/>
  <c r="CL50" i="2"/>
  <c r="I50" i="2"/>
  <c r="CJ50" i="2"/>
  <c r="G50" i="2"/>
  <c r="CH50" i="2"/>
  <c r="E50" i="2"/>
  <c r="CF50" i="2"/>
  <c r="C50" i="2"/>
  <c r="CD50" i="2"/>
  <c r="K49" i="2"/>
  <c r="CL49" i="2"/>
  <c r="I49" i="2"/>
  <c r="CJ49" i="2"/>
  <c r="G49" i="2"/>
  <c r="CH49" i="2"/>
  <c r="E49" i="2"/>
  <c r="CF49" i="2"/>
  <c r="C49" i="2"/>
  <c r="CD49" i="2"/>
  <c r="K48" i="2"/>
  <c r="CL48" i="2"/>
  <c r="I48" i="2"/>
  <c r="CJ48" i="2"/>
  <c r="G48" i="2"/>
  <c r="CH48" i="2"/>
  <c r="E48" i="2"/>
  <c r="CF48" i="2"/>
  <c r="C48" i="2"/>
  <c r="CD48" i="2"/>
  <c r="K47" i="2"/>
  <c r="CL47" i="2"/>
  <c r="I47" i="2"/>
  <c r="CJ47" i="2"/>
  <c r="G47" i="2"/>
  <c r="CH47" i="2"/>
  <c r="E47" i="2"/>
  <c r="CF47" i="2"/>
  <c r="C47" i="2"/>
  <c r="CD47" i="2"/>
  <c r="K46" i="2"/>
  <c r="CL46" i="2"/>
  <c r="I46" i="2"/>
  <c r="CJ46" i="2"/>
  <c r="G46" i="2"/>
  <c r="CH46" i="2"/>
  <c r="E46" i="2"/>
  <c r="CF46" i="2"/>
  <c r="C46" i="2"/>
  <c r="CD46" i="2"/>
  <c r="K45" i="2"/>
  <c r="CL45" i="2"/>
  <c r="I45" i="2"/>
  <c r="CJ45" i="2"/>
  <c r="G45" i="2"/>
  <c r="CH45" i="2"/>
  <c r="E45" i="2"/>
  <c r="CF45" i="2"/>
  <c r="C45" i="2"/>
  <c r="CD45" i="2"/>
  <c r="K44" i="2"/>
  <c r="CL44" i="2"/>
  <c r="I44" i="2"/>
  <c r="CJ44" i="2"/>
  <c r="G44" i="2"/>
  <c r="CH44" i="2"/>
  <c r="E44" i="2"/>
  <c r="CF44" i="2"/>
  <c r="C44" i="2"/>
  <c r="CD44" i="2"/>
  <c r="K43" i="2"/>
  <c r="CL43" i="2"/>
  <c r="I43" i="2"/>
  <c r="CJ43" i="2"/>
  <c r="G43" i="2"/>
  <c r="CH43" i="2"/>
  <c r="E43" i="2"/>
  <c r="CF43" i="2"/>
  <c r="C43" i="2"/>
  <c r="CD43" i="2"/>
  <c r="K42" i="2"/>
  <c r="CL42" i="2"/>
  <c r="I42" i="2"/>
  <c r="CJ42" i="2"/>
  <c r="G42" i="2"/>
  <c r="CH42" i="2"/>
  <c r="E42" i="2"/>
  <c r="CF42" i="2"/>
  <c r="C42" i="2"/>
  <c r="CD42" i="2"/>
  <c r="K41" i="2"/>
  <c r="CL41" i="2"/>
  <c r="I41" i="2"/>
  <c r="CJ41" i="2"/>
  <c r="G41" i="2"/>
  <c r="CH41" i="2"/>
  <c r="E41" i="2"/>
  <c r="CF41" i="2"/>
  <c r="C41" i="2"/>
  <c r="CD41" i="2"/>
  <c r="CL40" i="2"/>
  <c r="I40" i="2"/>
  <c r="CJ40" i="2"/>
  <c r="G40" i="2"/>
  <c r="CH40" i="2"/>
  <c r="E40" i="2"/>
  <c r="CF40" i="2"/>
  <c r="C40" i="2"/>
  <c r="CD40" i="2"/>
  <c r="K39" i="2"/>
  <c r="CL39" i="2"/>
  <c r="I39" i="2"/>
  <c r="CJ39" i="2"/>
  <c r="G39" i="2"/>
  <c r="CH39" i="2"/>
  <c r="E39" i="2"/>
  <c r="CF39" i="2"/>
  <c r="C39" i="2"/>
  <c r="CD39" i="2"/>
  <c r="K38" i="2"/>
  <c r="CL38" i="2"/>
  <c r="I38" i="2"/>
  <c r="CJ38" i="2"/>
  <c r="G38" i="2"/>
  <c r="CH38" i="2"/>
  <c r="E38" i="2"/>
  <c r="CF38" i="2"/>
  <c r="C38" i="2"/>
  <c r="CD38" i="2"/>
  <c r="K37" i="2"/>
  <c r="CL37" i="2"/>
  <c r="I37" i="2"/>
  <c r="CJ37" i="2"/>
  <c r="G37" i="2"/>
  <c r="CH37" i="2"/>
  <c r="E37" i="2"/>
  <c r="CF37" i="2"/>
  <c r="C37" i="2"/>
  <c r="CD37" i="2"/>
  <c r="K36" i="2"/>
  <c r="CL36" i="2"/>
  <c r="I36" i="2"/>
  <c r="CJ36" i="2"/>
  <c r="G36" i="2"/>
  <c r="CH36" i="2"/>
  <c r="E36" i="2"/>
  <c r="CF36" i="2"/>
  <c r="C36" i="2"/>
  <c r="CD36" i="2"/>
  <c r="K35" i="2"/>
  <c r="CL35" i="2"/>
  <c r="I35" i="2"/>
  <c r="CJ35" i="2"/>
  <c r="G35" i="2"/>
  <c r="CH35" i="2"/>
  <c r="E35" i="2"/>
  <c r="CF35" i="2"/>
  <c r="C35" i="2"/>
  <c r="CD35" i="2"/>
  <c r="K34" i="2"/>
  <c r="CL34" i="2"/>
  <c r="I34" i="2"/>
  <c r="CJ34" i="2"/>
  <c r="G34" i="2"/>
  <c r="CH34" i="2"/>
  <c r="E34" i="2"/>
  <c r="CF34" i="2"/>
  <c r="C34" i="2"/>
  <c r="CD34" i="2"/>
  <c r="K33" i="2"/>
  <c r="CL33" i="2"/>
  <c r="I33" i="2"/>
  <c r="CJ33" i="2"/>
  <c r="G33" i="2"/>
  <c r="CH33" i="2"/>
  <c r="E33" i="2"/>
  <c r="CF33" i="2"/>
  <c r="C33" i="2"/>
  <c r="CD33" i="2"/>
  <c r="K32" i="2"/>
  <c r="CL32" i="2"/>
  <c r="I32" i="2"/>
  <c r="CJ32" i="2"/>
  <c r="G32" i="2"/>
  <c r="CH32" i="2"/>
  <c r="E32" i="2"/>
  <c r="CF32" i="2"/>
  <c r="C32" i="2"/>
  <c r="CD32" i="2"/>
  <c r="K31" i="2"/>
  <c r="CL31" i="2"/>
  <c r="I31" i="2"/>
  <c r="CJ31" i="2"/>
  <c r="G31" i="2"/>
  <c r="CH31" i="2"/>
  <c r="E31" i="2"/>
  <c r="CF31" i="2"/>
  <c r="C31" i="2"/>
  <c r="CD31" i="2"/>
  <c r="K30" i="2"/>
  <c r="CL30" i="2"/>
  <c r="I30" i="2"/>
  <c r="CJ30" i="2"/>
  <c r="G30" i="2"/>
  <c r="CH30" i="2"/>
  <c r="E30" i="2"/>
  <c r="CF30" i="2"/>
  <c r="C30" i="2"/>
  <c r="CD30" i="2"/>
  <c r="K29" i="2"/>
  <c r="CL29" i="2"/>
  <c r="I29" i="2"/>
  <c r="CJ29" i="2"/>
  <c r="G29" i="2"/>
  <c r="CH29" i="2"/>
  <c r="E29" i="2"/>
  <c r="CF29" i="2"/>
  <c r="C29" i="2"/>
  <c r="CD29" i="2"/>
  <c r="K28" i="2"/>
  <c r="CL28" i="2"/>
  <c r="I28" i="2"/>
  <c r="CJ28" i="2"/>
  <c r="G28" i="2"/>
  <c r="CH28" i="2"/>
  <c r="E28" i="2"/>
  <c r="CF28" i="2"/>
  <c r="C28" i="2"/>
  <c r="CD28" i="2"/>
  <c r="K27" i="2"/>
  <c r="CL27" i="2"/>
  <c r="I27" i="2"/>
  <c r="CJ27" i="2"/>
  <c r="G27" i="2"/>
  <c r="CH27" i="2"/>
  <c r="E27" i="2"/>
  <c r="CF27" i="2"/>
  <c r="C27" i="2"/>
  <c r="CD27" i="2"/>
  <c r="K26" i="2"/>
  <c r="CL26" i="2"/>
  <c r="I26" i="2"/>
  <c r="CJ26" i="2"/>
  <c r="G26" i="2"/>
  <c r="CH26" i="2"/>
  <c r="E26" i="2"/>
  <c r="CF26" i="2"/>
  <c r="C26" i="2"/>
  <c r="CD26" i="2"/>
  <c r="K25" i="2"/>
  <c r="CL25" i="2"/>
  <c r="I25" i="2"/>
  <c r="CJ25" i="2"/>
  <c r="G25" i="2"/>
  <c r="CH25" i="2"/>
  <c r="E25" i="2"/>
  <c r="CF25" i="2"/>
  <c r="C25" i="2"/>
  <c r="CD25" i="2"/>
  <c r="K24" i="2"/>
  <c r="CL24" i="2"/>
  <c r="I24" i="2"/>
  <c r="CJ24" i="2"/>
  <c r="G24" i="2"/>
  <c r="CH24" i="2"/>
  <c r="E24" i="2"/>
  <c r="CF24" i="2"/>
  <c r="C24" i="2"/>
  <c r="CD24" i="2"/>
  <c r="K23" i="2"/>
  <c r="CL23" i="2"/>
  <c r="I23" i="2"/>
  <c r="CJ23" i="2"/>
  <c r="G23" i="2"/>
  <c r="CH23" i="2"/>
  <c r="E23" i="2"/>
  <c r="CF23" i="2"/>
  <c r="C23" i="2"/>
  <c r="CD23" i="2"/>
  <c r="K22" i="2"/>
  <c r="CL22" i="2"/>
  <c r="I22" i="2"/>
  <c r="CJ22" i="2"/>
  <c r="G22" i="2"/>
  <c r="CH22" i="2"/>
  <c r="E22" i="2"/>
  <c r="CF22" i="2"/>
  <c r="C22" i="2"/>
  <c r="CD22" i="2"/>
  <c r="K21" i="2"/>
  <c r="CL21" i="2"/>
  <c r="I21" i="2"/>
  <c r="CJ21" i="2"/>
  <c r="G21" i="2"/>
  <c r="CH21" i="2"/>
  <c r="E21" i="2"/>
  <c r="CF21" i="2"/>
  <c r="C21" i="2"/>
  <c r="CD21" i="2"/>
  <c r="K20" i="2"/>
  <c r="CL20" i="2"/>
  <c r="I20" i="2"/>
  <c r="CJ20" i="2"/>
  <c r="G20" i="2"/>
  <c r="CH20" i="2"/>
  <c r="E20" i="2"/>
  <c r="CF20" i="2"/>
  <c r="C20" i="2"/>
  <c r="CD20" i="2"/>
  <c r="K19" i="2"/>
  <c r="CL19" i="2"/>
  <c r="I19" i="2"/>
  <c r="CJ19" i="2"/>
  <c r="G19" i="2"/>
  <c r="CH19" i="2"/>
  <c r="E19" i="2"/>
  <c r="CF19" i="2"/>
  <c r="C19" i="2"/>
  <c r="CD19" i="2"/>
  <c r="K18" i="2"/>
  <c r="CL18" i="2"/>
  <c r="I18" i="2"/>
  <c r="CJ18" i="2"/>
  <c r="G18" i="2"/>
  <c r="CH18" i="2"/>
  <c r="E18" i="2"/>
  <c r="CF18" i="2"/>
  <c r="C18" i="2"/>
  <c r="CD18" i="2"/>
  <c r="K17" i="2"/>
  <c r="CL17" i="2"/>
  <c r="I17" i="2"/>
  <c r="CJ17" i="2"/>
  <c r="G17" i="2"/>
  <c r="CH17" i="2"/>
  <c r="E17" i="2"/>
  <c r="CF17" i="2"/>
  <c r="C17" i="2"/>
  <c r="CD17" i="2"/>
  <c r="K16" i="2"/>
  <c r="CL16" i="2"/>
  <c r="I16" i="2"/>
  <c r="CJ16" i="2"/>
  <c r="G16" i="2"/>
  <c r="CH16" i="2"/>
  <c r="E16" i="2"/>
  <c r="CF16" i="2"/>
  <c r="C16" i="2"/>
  <c r="CD16" i="2"/>
  <c r="K15" i="2"/>
  <c r="CL15" i="2"/>
  <c r="I15" i="2"/>
  <c r="CJ15" i="2"/>
  <c r="G15" i="2"/>
  <c r="CH15" i="2"/>
  <c r="E15" i="2"/>
  <c r="CF15" i="2"/>
  <c r="C15" i="2"/>
  <c r="CD15" i="2"/>
  <c r="K14" i="2"/>
  <c r="CL14" i="2"/>
  <c r="I14" i="2"/>
  <c r="CJ14" i="2"/>
  <c r="G14" i="2"/>
  <c r="CH14" i="2"/>
  <c r="E14" i="2"/>
  <c r="CF14" i="2"/>
  <c r="C14" i="2"/>
  <c r="CD14" i="2"/>
  <c r="K13" i="2"/>
  <c r="CL13" i="2"/>
  <c r="I13" i="2"/>
  <c r="CJ13" i="2"/>
  <c r="G13" i="2"/>
  <c r="CH13" i="2"/>
  <c r="E13" i="2"/>
  <c r="CF13" i="2"/>
  <c r="C13" i="2"/>
  <c r="CD13" i="2"/>
  <c r="K12" i="2"/>
  <c r="CL12" i="2"/>
  <c r="I12" i="2"/>
  <c r="CJ12" i="2"/>
  <c r="G12" i="2"/>
  <c r="CH12" i="2"/>
  <c r="E12" i="2"/>
  <c r="CF12" i="2"/>
  <c r="C12" i="2"/>
  <c r="CD12" i="2"/>
  <c r="K11" i="2"/>
  <c r="CL11" i="2"/>
  <c r="I11" i="2"/>
  <c r="CJ11" i="2"/>
  <c r="G11" i="2"/>
  <c r="CH11" i="2"/>
  <c r="E11" i="2"/>
  <c r="CF11" i="2"/>
  <c r="C11" i="2"/>
  <c r="CD11" i="2"/>
  <c r="K10" i="2"/>
  <c r="CL10" i="2"/>
  <c r="I10" i="2"/>
  <c r="CJ10" i="2"/>
  <c r="G10" i="2"/>
  <c r="CH10" i="2"/>
  <c r="E10" i="2"/>
  <c r="CF10" i="2"/>
  <c r="C10" i="2"/>
  <c r="CD10" i="2"/>
  <c r="K9" i="2"/>
  <c r="CL9" i="2"/>
  <c r="I9" i="2"/>
  <c r="CJ9" i="2"/>
  <c r="G9" i="2"/>
  <c r="CH9" i="2"/>
  <c r="E9" i="2"/>
  <c r="CF9" i="2"/>
  <c r="C9" i="2"/>
  <c r="CD9" i="2"/>
  <c r="K8" i="2"/>
  <c r="CL8" i="2"/>
  <c r="I8" i="2"/>
  <c r="CJ8" i="2"/>
  <c r="G8" i="2"/>
  <c r="CH8" i="2"/>
  <c r="E8" i="2"/>
  <c r="CF8" i="2"/>
  <c r="C8" i="2"/>
  <c r="CD8" i="2"/>
  <c r="K7" i="2"/>
  <c r="CL7" i="2"/>
  <c r="I7" i="2"/>
  <c r="CJ7" i="2"/>
  <c r="G7" i="2"/>
  <c r="CH7" i="2"/>
  <c r="E7" i="2"/>
  <c r="CF7" i="2"/>
  <c r="C7" i="2"/>
  <c r="CD7" i="2"/>
  <c r="K6" i="2"/>
  <c r="CL6" i="2"/>
  <c r="I6" i="2"/>
  <c r="CJ6" i="2"/>
  <c r="G6" i="2"/>
  <c r="CH6" i="2"/>
  <c r="E6" i="2"/>
  <c r="CF6" i="2"/>
  <c r="C6" i="2"/>
  <c r="CD6" i="2"/>
  <c r="K5" i="2"/>
  <c r="CL5" i="2"/>
  <c r="I5" i="2"/>
  <c r="CJ5" i="2"/>
  <c r="G5" i="2"/>
  <c r="CH5" i="2"/>
  <c r="E5" i="2"/>
  <c r="CF5" i="2"/>
  <c r="C5" i="2"/>
  <c r="CD5" i="2"/>
  <c r="K4" i="2"/>
  <c r="CL4" i="2"/>
  <c r="I4" i="2"/>
  <c r="CJ4" i="2"/>
  <c r="G4" i="2"/>
  <c r="CH4" i="2"/>
  <c r="E4" i="2"/>
  <c r="CF4" i="2"/>
  <c r="C4" i="2"/>
  <c r="CD4" i="2"/>
  <c r="H2" i="2"/>
  <c r="BX2" i="2"/>
  <c r="F2" i="2"/>
  <c r="K98" i="2"/>
  <c r="G98" i="2"/>
  <c r="C98" i="2"/>
  <c r="I97" i="2"/>
  <c r="E97" i="2"/>
  <c r="K96" i="2"/>
  <c r="G96" i="2"/>
  <c r="C96" i="2"/>
  <c r="I95" i="2"/>
  <c r="E95" i="2"/>
  <c r="K94" i="2"/>
  <c r="G94" i="2"/>
  <c r="C94" i="2"/>
  <c r="I93" i="2"/>
  <c r="E93" i="2"/>
  <c r="K92" i="2"/>
  <c r="G92" i="2"/>
  <c r="C92" i="2"/>
  <c r="I91" i="2"/>
  <c r="E91" i="2"/>
  <c r="K90" i="2"/>
  <c r="G90" i="2"/>
  <c r="C90" i="2"/>
  <c r="I89" i="2"/>
  <c r="E89" i="2"/>
  <c r="K88" i="2"/>
  <c r="G88" i="2"/>
  <c r="C88" i="2"/>
  <c r="I87" i="2"/>
  <c r="E87" i="2"/>
  <c r="K86" i="2"/>
  <c r="G86" i="2"/>
  <c r="C86" i="2"/>
  <c r="I85" i="2"/>
  <c r="E85" i="2"/>
  <c r="K84" i="2"/>
  <c r="G84" i="2"/>
  <c r="C84" i="2"/>
  <c r="I83" i="2"/>
  <c r="E83" i="2"/>
  <c r="K82" i="2"/>
  <c r="K64" i="2"/>
  <c r="BO64" i="2" s="1"/>
  <c r="AG100" i="2"/>
  <c r="AG116" i="2"/>
  <c r="BO111" i="2"/>
  <c r="BO103" i="2"/>
  <c r="BO99" i="2"/>
  <c r="BO112" i="2"/>
  <c r="BO116" i="2"/>
  <c r="BO114" i="2"/>
  <c r="BO110" i="2"/>
  <c r="BO108" i="2"/>
  <c r="BO106" i="2"/>
  <c r="BO104" i="2"/>
  <c r="BO102" i="2"/>
  <c r="BO100" i="2"/>
  <c r="BO115" i="2"/>
  <c r="BO113" i="2"/>
  <c r="AG112" i="2"/>
  <c r="BO109" i="2"/>
  <c r="BO107" i="2"/>
  <c r="BO105" i="2"/>
  <c r="AG104" i="2"/>
  <c r="BO101" i="2"/>
  <c r="BO117" i="2"/>
  <c r="AG108" i="2"/>
  <c r="L3" i="2"/>
  <c r="K3" i="2"/>
  <c r="I3" i="2"/>
  <c r="H3" i="2"/>
  <c r="G3" i="2"/>
  <c r="F3" i="2"/>
  <c r="E3" i="2"/>
  <c r="D3" i="2"/>
  <c r="C3" i="2"/>
  <c r="J3" i="2"/>
  <c r="J2" i="2"/>
  <c r="AC114" i="2"/>
  <c r="AG117" i="2"/>
  <c r="AG115" i="2"/>
  <c r="AG114" i="2"/>
  <c r="AG113" i="2"/>
  <c r="AG111" i="2"/>
  <c r="AG110" i="2"/>
  <c r="AG109" i="2"/>
  <c r="AG107" i="2"/>
  <c r="AG106" i="2"/>
  <c r="AG105" i="2"/>
  <c r="AG103" i="2"/>
  <c r="AG102" i="2"/>
  <c r="AG101" i="2"/>
  <c r="AG99" i="2"/>
  <c r="V117" i="2"/>
  <c r="AF117" i="2"/>
  <c r="R117" i="2"/>
  <c r="AB117" i="2"/>
  <c r="N117" i="2"/>
  <c r="X117" i="2"/>
  <c r="T116" i="2"/>
  <c r="AD116" i="2"/>
  <c r="P116" i="2"/>
  <c r="Z116" i="2"/>
  <c r="V115" i="2"/>
  <c r="AF115" i="2"/>
  <c r="R115" i="2"/>
  <c r="AB115" i="2"/>
  <c r="N115" i="2"/>
  <c r="X115" i="2"/>
  <c r="T114" i="2"/>
  <c r="AD114" i="2"/>
  <c r="P114" i="2"/>
  <c r="Z114" i="2"/>
  <c r="V113" i="2"/>
  <c r="AF113" i="2"/>
  <c r="R113" i="2"/>
  <c r="AB113" i="2"/>
  <c r="N113" i="2"/>
  <c r="X113" i="2"/>
  <c r="T112" i="2"/>
  <c r="AD112" i="2"/>
  <c r="P112" i="2"/>
  <c r="Z112" i="2"/>
  <c r="V111" i="2"/>
  <c r="AF111" i="2"/>
  <c r="R111" i="2"/>
  <c r="AB111" i="2"/>
  <c r="N111" i="2"/>
  <c r="X111" i="2"/>
  <c r="T110" i="2"/>
  <c r="AD110" i="2"/>
  <c r="P110" i="2"/>
  <c r="Z110" i="2"/>
  <c r="V109" i="2"/>
  <c r="AF109" i="2"/>
  <c r="R109" i="2"/>
  <c r="AB109" i="2"/>
  <c r="N109" i="2"/>
  <c r="X109" i="2"/>
  <c r="T108" i="2"/>
  <c r="AD108" i="2"/>
  <c r="P108" i="2"/>
  <c r="Z108" i="2"/>
  <c r="V107" i="2"/>
  <c r="AF107" i="2"/>
  <c r="R107" i="2"/>
  <c r="AB107" i="2"/>
  <c r="N107" i="2"/>
  <c r="X107" i="2"/>
  <c r="T106" i="2"/>
  <c r="AD106" i="2"/>
  <c r="P106" i="2"/>
  <c r="Z106" i="2"/>
  <c r="V105" i="2"/>
  <c r="AF105" i="2"/>
  <c r="R105" i="2"/>
  <c r="AB105" i="2"/>
  <c r="N105" i="2"/>
  <c r="X105" i="2"/>
  <c r="T104" i="2"/>
  <c r="AD104" i="2"/>
  <c r="P104" i="2"/>
  <c r="Z104" i="2"/>
  <c r="V103" i="2"/>
  <c r="AF103" i="2"/>
  <c r="R103" i="2"/>
  <c r="AB103" i="2"/>
  <c r="N103" i="2"/>
  <c r="X103" i="2"/>
  <c r="T102" i="2"/>
  <c r="AD102" i="2"/>
  <c r="P102" i="2"/>
  <c r="Z102" i="2"/>
  <c r="V101" i="2"/>
  <c r="AF101" i="2"/>
  <c r="R101" i="2"/>
  <c r="AB101" i="2"/>
  <c r="N101" i="2"/>
  <c r="X101" i="2"/>
  <c r="T100" i="2"/>
  <c r="AD100" i="2"/>
  <c r="P100" i="2"/>
  <c r="Z100" i="2"/>
  <c r="V99" i="2"/>
  <c r="AF99" i="2"/>
  <c r="R99" i="2"/>
  <c r="AB99" i="2"/>
  <c r="N99" i="2"/>
  <c r="X99" i="2"/>
  <c r="O115" i="2"/>
  <c r="AC117" i="2"/>
  <c r="S117" i="2"/>
  <c r="Y117" i="2"/>
  <c r="O117" i="2"/>
  <c r="AE116" i="2"/>
  <c r="U116" i="2"/>
  <c r="AA116" i="2"/>
  <c r="Q116" i="2"/>
  <c r="W116" i="2"/>
  <c r="M116" i="2"/>
  <c r="AC115" i="2"/>
  <c r="S115" i="2"/>
  <c r="AE114" i="2"/>
  <c r="U114" i="2"/>
  <c r="AA114" i="2"/>
  <c r="Q114" i="2"/>
  <c r="W114" i="2"/>
  <c r="M114" i="2"/>
  <c r="AC113" i="2"/>
  <c r="S113" i="2"/>
  <c r="Y113" i="2"/>
  <c r="O113" i="2"/>
  <c r="AE112" i="2"/>
  <c r="U112" i="2"/>
  <c r="AA112" i="2"/>
  <c r="Q112" i="2"/>
  <c r="W112" i="2"/>
  <c r="M112" i="2"/>
  <c r="AC111" i="2"/>
  <c r="S111" i="2"/>
  <c r="Y111" i="2"/>
  <c r="O111" i="2"/>
  <c r="AE110" i="2"/>
  <c r="U110" i="2"/>
  <c r="AA110" i="2"/>
  <c r="Q110" i="2"/>
  <c r="W110" i="2"/>
  <c r="M110" i="2"/>
  <c r="AC109" i="2"/>
  <c r="S109" i="2"/>
  <c r="Y109" i="2"/>
  <c r="O109" i="2"/>
  <c r="AE108" i="2"/>
  <c r="U108" i="2"/>
  <c r="AA108" i="2"/>
  <c r="Q108" i="2"/>
  <c r="W108" i="2"/>
  <c r="M108" i="2"/>
  <c r="AC107" i="2"/>
  <c r="S107" i="2"/>
  <c r="Y107" i="2"/>
  <c r="O107" i="2"/>
  <c r="AE106" i="2"/>
  <c r="U106" i="2"/>
  <c r="AA106" i="2"/>
  <c r="Q106" i="2"/>
  <c r="W106" i="2"/>
  <c r="M106" i="2"/>
  <c r="AC105" i="2"/>
  <c r="S105" i="2"/>
  <c r="Y105" i="2"/>
  <c r="O105" i="2"/>
  <c r="AE104" i="2"/>
  <c r="U104" i="2"/>
  <c r="AA104" i="2"/>
  <c r="Q104" i="2"/>
  <c r="W104" i="2"/>
  <c r="M104" i="2"/>
  <c r="AC103" i="2"/>
  <c r="S103" i="2"/>
  <c r="Y103" i="2"/>
  <c r="O103" i="2"/>
  <c r="AE102" i="2"/>
  <c r="U102" i="2"/>
  <c r="Q117" i="2"/>
  <c r="AA117" i="2"/>
  <c r="M117" i="2"/>
  <c r="W117" i="2"/>
  <c r="S116" i="2"/>
  <c r="AC116" i="2"/>
  <c r="U115" i="2"/>
  <c r="AE115" i="2"/>
  <c r="Q115" i="2"/>
  <c r="AA115" i="2"/>
  <c r="M115" i="2"/>
  <c r="W115" i="2"/>
  <c r="O114" i="2"/>
  <c r="Y114" i="2"/>
  <c r="U113" i="2"/>
  <c r="AE113" i="2"/>
  <c r="Q113" i="2"/>
  <c r="AA113" i="2"/>
  <c r="M113" i="2"/>
  <c r="W113" i="2"/>
  <c r="S112" i="2"/>
  <c r="AC112" i="2"/>
  <c r="O112" i="2"/>
  <c r="Y112" i="2"/>
  <c r="U111" i="2"/>
  <c r="AE111" i="2"/>
  <c r="M111" i="2"/>
  <c r="W111" i="2"/>
  <c r="S110" i="2"/>
  <c r="AC110" i="2"/>
  <c r="O110" i="2"/>
  <c r="Y110" i="2"/>
  <c r="U109" i="2"/>
  <c r="AE109" i="2"/>
  <c r="Q109" i="2"/>
  <c r="AA109" i="2"/>
  <c r="M109" i="2"/>
  <c r="W109" i="2"/>
  <c r="S108" i="2"/>
  <c r="AC108" i="2"/>
  <c r="U107" i="2"/>
  <c r="AE107" i="2"/>
  <c r="Q107" i="2"/>
  <c r="AA107" i="2"/>
  <c r="M107" i="2"/>
  <c r="W107" i="2"/>
  <c r="S106" i="2"/>
  <c r="AC106" i="2"/>
  <c r="O106" i="2"/>
  <c r="Y106" i="2"/>
  <c r="U105" i="2"/>
  <c r="AE105" i="2"/>
  <c r="Q105" i="2"/>
  <c r="AA105" i="2"/>
  <c r="M105" i="2"/>
  <c r="W105" i="2"/>
  <c r="S104" i="2"/>
  <c r="AC104" i="2"/>
  <c r="O104" i="2"/>
  <c r="Y104" i="2"/>
  <c r="U103" i="2"/>
  <c r="AE103" i="2"/>
  <c r="Q103" i="2"/>
  <c r="AA103" i="2"/>
  <c r="M103" i="2"/>
  <c r="W103" i="2"/>
  <c r="S102" i="2"/>
  <c r="AC102" i="2"/>
  <c r="O102" i="2"/>
  <c r="Y102" i="2"/>
  <c r="U101" i="2"/>
  <c r="AE101" i="2"/>
  <c r="Q101" i="2"/>
  <c r="AA101" i="2"/>
  <c r="M101" i="2"/>
  <c r="W101" i="2"/>
  <c r="S100" i="2"/>
  <c r="AC100" i="2"/>
  <c r="O100" i="2"/>
  <c r="Y100" i="2"/>
  <c r="U99" i="2"/>
  <c r="AE99" i="2"/>
  <c r="Q99" i="2"/>
  <c r="AA99" i="2"/>
  <c r="AA111" i="2"/>
  <c r="T117" i="2"/>
  <c r="AD117" i="2"/>
  <c r="P117" i="2"/>
  <c r="Z117" i="2"/>
  <c r="V116" i="2"/>
  <c r="AF116" i="2"/>
  <c r="R116" i="2"/>
  <c r="AB116" i="2"/>
  <c r="N116" i="2"/>
  <c r="X116" i="2"/>
  <c r="T115" i="2"/>
  <c r="AD115" i="2"/>
  <c r="P115" i="2"/>
  <c r="Z115" i="2"/>
  <c r="V114" i="2"/>
  <c r="AF114" i="2"/>
  <c r="R114" i="2"/>
  <c r="AB114" i="2"/>
  <c r="N114" i="2"/>
  <c r="X114" i="2"/>
  <c r="T113" i="2"/>
  <c r="AD113" i="2"/>
  <c r="P113" i="2"/>
  <c r="Z113" i="2"/>
  <c r="V112" i="2"/>
  <c r="AF112" i="2"/>
  <c r="R112" i="2"/>
  <c r="AB112" i="2"/>
  <c r="N112" i="2"/>
  <c r="X112" i="2"/>
  <c r="T111" i="2"/>
  <c r="AD111" i="2"/>
  <c r="P111" i="2"/>
  <c r="Z111" i="2"/>
  <c r="V110" i="2"/>
  <c r="AF110" i="2"/>
  <c r="R110" i="2"/>
  <c r="AB110" i="2"/>
  <c r="N110" i="2"/>
  <c r="X110" i="2"/>
  <c r="T109" i="2"/>
  <c r="AD109" i="2"/>
  <c r="P109" i="2"/>
  <c r="Z109" i="2"/>
  <c r="V108" i="2"/>
  <c r="AF108" i="2"/>
  <c r="R108" i="2"/>
  <c r="AB108" i="2"/>
  <c r="N108" i="2"/>
  <c r="X108" i="2"/>
  <c r="T107" i="2"/>
  <c r="AD107" i="2"/>
  <c r="P107" i="2"/>
  <c r="Z107" i="2"/>
  <c r="V106" i="2"/>
  <c r="AF106" i="2"/>
  <c r="R106" i="2"/>
  <c r="AB106" i="2"/>
  <c r="N106" i="2"/>
  <c r="X106" i="2"/>
  <c r="T105" i="2"/>
  <c r="AD105" i="2"/>
  <c r="P105" i="2"/>
  <c r="Z105" i="2"/>
  <c r="V104" i="2"/>
  <c r="AF104" i="2"/>
  <c r="R104" i="2"/>
  <c r="AB104" i="2"/>
  <c r="N104" i="2"/>
  <c r="X104" i="2"/>
  <c r="T103" i="2"/>
  <c r="AD103" i="2"/>
  <c r="P103" i="2"/>
  <c r="Z103" i="2"/>
  <c r="V102" i="2"/>
  <c r="AF102" i="2"/>
  <c r="R102" i="2"/>
  <c r="AB102" i="2"/>
  <c r="T101" i="2"/>
  <c r="AD101" i="2"/>
  <c r="P101" i="2"/>
  <c r="Z101" i="2"/>
  <c r="V100" i="2"/>
  <c r="AF100" i="2"/>
  <c r="R100" i="2"/>
  <c r="AB100" i="2"/>
  <c r="N100" i="2"/>
  <c r="X100" i="2"/>
  <c r="T99" i="2"/>
  <c r="AD99" i="2"/>
  <c r="P99" i="2"/>
  <c r="Z99" i="2"/>
  <c r="Q102" i="2"/>
  <c r="AE117" i="2"/>
  <c r="Y108" i="2"/>
  <c r="W102" i="2"/>
  <c r="M102" i="2"/>
  <c r="AC101" i="2"/>
  <c r="S101" i="2"/>
  <c r="Y101" i="2"/>
  <c r="O101" i="2"/>
  <c r="AE100" i="2"/>
  <c r="U100" i="2"/>
  <c r="AA100" i="2"/>
  <c r="Q100" i="2"/>
  <c r="W100" i="2"/>
  <c r="M100" i="2"/>
  <c r="AC99" i="2"/>
  <c r="S99" i="2"/>
  <c r="Y99" i="2"/>
  <c r="O99" i="2"/>
  <c r="Y116" i="2"/>
  <c r="X102" i="2"/>
  <c r="M99" i="2"/>
  <c r="W99" i="2"/>
  <c r="K1" i="14"/>
  <c r="J1" i="14"/>
  <c r="H1" i="14"/>
  <c r="G1" i="14"/>
  <c r="F1" i="14"/>
  <c r="E1" i="14"/>
  <c r="D1" i="14"/>
  <c r="C1" i="14"/>
  <c r="B1" i="14"/>
  <c r="K1" i="12"/>
  <c r="J1" i="12"/>
  <c r="I1" i="12"/>
  <c r="G1" i="12"/>
  <c r="F1" i="12"/>
  <c r="E1" i="12"/>
  <c r="D1" i="12"/>
  <c r="C1" i="12"/>
  <c r="B1" i="12"/>
  <c r="BO47" i="2" l="1"/>
  <c r="BO51" i="2"/>
  <c r="BO81" i="2"/>
  <c r="BO27" i="2"/>
  <c r="BO29" i="2"/>
  <c r="BO30" i="2"/>
  <c r="BO31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8" i="2"/>
  <c r="BO49" i="2"/>
  <c r="BO52" i="2"/>
  <c r="BO53" i="2"/>
  <c r="BO54" i="2"/>
  <c r="BO55" i="2"/>
  <c r="BO57" i="2"/>
  <c r="BO58" i="2"/>
  <c r="BO59" i="2"/>
  <c r="BO92" i="2"/>
  <c r="BO5" i="2"/>
  <c r="BO8" i="2"/>
  <c r="BO9" i="2"/>
  <c r="BO10" i="2"/>
  <c r="BO12" i="2"/>
  <c r="BO18" i="2"/>
  <c r="BO19" i="2"/>
  <c r="BO23" i="2"/>
  <c r="BO24" i="2"/>
  <c r="BO84" i="2"/>
  <c r="BO85" i="2"/>
  <c r="BO88" i="2"/>
  <c r="BO95" i="2"/>
  <c r="BO96" i="2"/>
  <c r="BO63" i="2"/>
  <c r="BO75" i="2"/>
  <c r="BO89" i="2"/>
  <c r="BO91" i="2"/>
  <c r="BO34" i="2"/>
  <c r="BF47" i="2"/>
  <c r="BG47" i="2" s="1"/>
  <c r="BL71" i="2"/>
  <c r="BM71" i="2" s="1"/>
  <c r="BJ2" i="2"/>
  <c r="BK2" i="2" s="1" a="1"/>
  <c r="BK2" i="2" s="1"/>
  <c r="BO82" i="2"/>
  <c r="BO86" i="2"/>
  <c r="BO90" i="2"/>
  <c r="BO94" i="2"/>
  <c r="BO98" i="2"/>
  <c r="BO61" i="2"/>
  <c r="BO65" i="2"/>
  <c r="BO71" i="2"/>
  <c r="BO73" i="2"/>
  <c r="BO77" i="2"/>
  <c r="BO79" i="2"/>
  <c r="BO83" i="2"/>
  <c r="BO87" i="2"/>
  <c r="BO93" i="2"/>
  <c r="BO97" i="2"/>
  <c r="BO6" i="2"/>
  <c r="BO7" i="2"/>
  <c r="BO14" i="2"/>
  <c r="BO15" i="2"/>
  <c r="BO17" i="2"/>
  <c r="BO21" i="2"/>
  <c r="BO22" i="2"/>
  <c r="BO26" i="2"/>
  <c r="BO28" i="2"/>
  <c r="BO32" i="2"/>
  <c r="BO50" i="2"/>
  <c r="BO25" i="2"/>
  <c r="BO56" i="2"/>
  <c r="BO13" i="2"/>
  <c r="BO16" i="2"/>
  <c r="BO33" i="2"/>
  <c r="BO20" i="2"/>
  <c r="BO11" i="2"/>
  <c r="BO4" i="2"/>
  <c r="BH114" i="2"/>
  <c r="BI114" i="2" s="1"/>
  <c r="AV23" i="2"/>
  <c r="AW23" i="2" s="1"/>
  <c r="BL66" i="2"/>
  <c r="BM66" i="2" s="1"/>
  <c r="BL96" i="2"/>
  <c r="BM96" i="2" s="1"/>
  <c r="BL86" i="2"/>
  <c r="BM86" i="2" s="1"/>
  <c r="BL32" i="2"/>
  <c r="BM32" i="2" s="1"/>
  <c r="BL44" i="2"/>
  <c r="BM44" i="2" s="1"/>
  <c r="BL21" i="2"/>
  <c r="BM21" i="2" s="1"/>
  <c r="BL61" i="2"/>
  <c r="BM61" i="2" s="1"/>
  <c r="BL9" i="2"/>
  <c r="BM9" i="2" s="1"/>
  <c r="BF14" i="2"/>
  <c r="BG14" i="2" s="1"/>
  <c r="BH111" i="2"/>
  <c r="BI111" i="2" s="1"/>
  <c r="BF71" i="2"/>
  <c r="BG71" i="2" s="1"/>
  <c r="BF77" i="2"/>
  <c r="BG77" i="2" s="1"/>
  <c r="AV12" i="2"/>
  <c r="AW12" i="2" s="1"/>
  <c r="AV102" i="2"/>
  <c r="AW102" i="2" s="1"/>
  <c r="AV53" i="2"/>
  <c r="AW53" i="2" s="1"/>
  <c r="BH6" i="2"/>
  <c r="BI6" i="2" s="1"/>
  <c r="BH82" i="2"/>
  <c r="BI82" i="2" s="1"/>
  <c r="BL70" i="2"/>
  <c r="BM70" i="2" s="1"/>
  <c r="BH103" i="2"/>
  <c r="BI103" i="2" s="1"/>
  <c r="BH11" i="2"/>
  <c r="BI11" i="2" s="1"/>
  <c r="BL53" i="2"/>
  <c r="BM53" i="2" s="1"/>
  <c r="AV66" i="2"/>
  <c r="AW66" i="2" s="1"/>
  <c r="BF110" i="2"/>
  <c r="BG110" i="2" s="1"/>
  <c r="AV60" i="2"/>
  <c r="AW60" i="2" s="1"/>
  <c r="BH38" i="2"/>
  <c r="BI38" i="2" s="1"/>
  <c r="BL101" i="2"/>
  <c r="BM101" i="2" s="1"/>
  <c r="AV43" i="2"/>
  <c r="AW43" i="2" s="1"/>
  <c r="BL13" i="2"/>
  <c r="BM13" i="2" s="1"/>
  <c r="BH63" i="2"/>
  <c r="BI63" i="2" s="1"/>
  <c r="BH79" i="2"/>
  <c r="BI79" i="2" s="1"/>
  <c r="BL22" i="2"/>
  <c r="BM22" i="2" s="1"/>
  <c r="BF89" i="2"/>
  <c r="BG89" i="2" s="1"/>
  <c r="BH85" i="2"/>
  <c r="BI85" i="2" s="1"/>
  <c r="AV10" i="2"/>
  <c r="AW10" i="2" s="1"/>
  <c r="AV55" i="2"/>
  <c r="AW55" i="2" s="1"/>
  <c r="AV54" i="2"/>
  <c r="AW54" i="2" s="1"/>
  <c r="AV47" i="2"/>
  <c r="AW47" i="2" s="1"/>
  <c r="BJ3" i="2"/>
  <c r="BK3" i="2" s="1" a="1"/>
  <c r="BK3" i="2" s="1"/>
  <c r="BJ5" i="2"/>
  <c r="BK5" i="2" s="1" a="1"/>
  <c r="BK5" i="2" s="1"/>
  <c r="BJ21" i="2"/>
  <c r="BK21" i="2" s="1" a="1"/>
  <c r="BK21" i="2" s="1"/>
  <c r="BJ50" i="2"/>
  <c r="BK50" i="2" s="1" a="1"/>
  <c r="BK50" i="2" s="1"/>
  <c r="BJ111" i="2"/>
  <c r="BK111" i="2" s="1" a="1"/>
  <c r="BK111" i="2" s="1"/>
  <c r="BJ28" i="2"/>
  <c r="BK28" i="2" s="1" a="1"/>
  <c r="BK28" i="2" s="1"/>
  <c r="BJ59" i="2"/>
  <c r="BK59" i="2" s="1" a="1"/>
  <c r="BK59" i="2" s="1"/>
  <c r="BJ91" i="2"/>
  <c r="BK91" i="2" s="1" a="1"/>
  <c r="BK91" i="2" s="1"/>
  <c r="BJ8" i="2"/>
  <c r="BK8" i="2" s="1" a="1"/>
  <c r="BK8" i="2" s="1"/>
  <c r="BJ80" i="2"/>
  <c r="BK80" i="2" s="1" a="1"/>
  <c r="BK80" i="2" s="1"/>
  <c r="BJ72" i="2"/>
  <c r="BK72" i="2" s="1" a="1"/>
  <c r="BK72" i="2" s="1"/>
  <c r="BJ55" i="2"/>
  <c r="BK55" i="2" s="1" a="1"/>
  <c r="BK55" i="2" s="1"/>
  <c r="BJ116" i="2"/>
  <c r="BK116" i="2" s="1" a="1"/>
  <c r="BK116" i="2" s="1"/>
  <c r="BJ100" i="2"/>
  <c r="BK100" i="2" s="1" a="1"/>
  <c r="BK100" i="2" s="1"/>
  <c r="BJ45" i="2"/>
  <c r="BK45" i="2" s="1" a="1"/>
  <c r="BK45" i="2" s="1"/>
  <c r="BJ23" i="2"/>
  <c r="BK23" i="2" s="1" a="1"/>
  <c r="BK23" i="2" s="1"/>
  <c r="BJ11" i="2"/>
  <c r="BK11" i="2" s="1" a="1"/>
  <c r="BK11" i="2" s="1"/>
  <c r="BJ56" i="2"/>
  <c r="BK56" i="2" s="1" a="1"/>
  <c r="BK56" i="2" s="1"/>
  <c r="BJ33" i="2"/>
  <c r="BK33" i="2" s="1" a="1"/>
  <c r="BK33" i="2" s="1"/>
  <c r="BJ113" i="2"/>
  <c r="BK113" i="2" s="1" a="1"/>
  <c r="BK113" i="2" s="1"/>
  <c r="BJ85" i="2"/>
  <c r="BK85" i="2" s="1" a="1"/>
  <c r="BK85" i="2" s="1"/>
  <c r="BJ73" i="2"/>
  <c r="BK73" i="2" s="1" a="1"/>
  <c r="BK73" i="2" s="1"/>
  <c r="BJ22" i="2"/>
  <c r="BK22" i="2" s="1" a="1"/>
  <c r="BK22" i="2" s="1"/>
  <c r="BJ10" i="2"/>
  <c r="BK10" i="2" s="1" a="1"/>
  <c r="BK10" i="2" s="1"/>
  <c r="BJ25" i="2"/>
  <c r="BK25" i="2" s="1" a="1"/>
  <c r="BK25" i="2" s="1"/>
  <c r="BJ112" i="2"/>
  <c r="BK112" i="2" s="1" a="1"/>
  <c r="BK112" i="2" s="1"/>
  <c r="BJ47" i="2"/>
  <c r="BK47" i="2" s="1" a="1"/>
  <c r="BK47" i="2" s="1"/>
  <c r="BJ19" i="2"/>
  <c r="BK19" i="2" s="1" a="1"/>
  <c r="BK19" i="2" s="1"/>
  <c r="BJ57" i="2"/>
  <c r="BK57" i="2" s="1" a="1"/>
  <c r="BK57" i="2" s="1"/>
  <c r="BJ42" i="2"/>
  <c r="BK42" i="2" s="1" a="1"/>
  <c r="BK42" i="2" s="1"/>
  <c r="BJ4" i="2"/>
  <c r="BK4" i="2" s="1" a="1"/>
  <c r="BK4" i="2" s="1"/>
  <c r="BJ36" i="2"/>
  <c r="BK36" i="2" s="1" a="1"/>
  <c r="BK36" i="2" s="1"/>
  <c r="BJ67" i="2"/>
  <c r="BK67" i="2" s="1" a="1"/>
  <c r="BK67" i="2" s="1"/>
  <c r="BJ99" i="2"/>
  <c r="BK99" i="2" s="1" a="1"/>
  <c r="BK99" i="2" s="1"/>
  <c r="BJ40" i="2"/>
  <c r="BK40" i="2" s="1" a="1"/>
  <c r="BK40" i="2" s="1"/>
  <c r="BJ103" i="2"/>
  <c r="BK103" i="2" s="1" a="1"/>
  <c r="BK103" i="2" s="1"/>
  <c r="BJ84" i="2"/>
  <c r="BK84" i="2" s="1" a="1"/>
  <c r="BK84" i="2" s="1"/>
  <c r="BJ64" i="2"/>
  <c r="BK64" i="2" s="1" a="1"/>
  <c r="BK64" i="2" s="1"/>
  <c r="BJ58" i="2"/>
  <c r="BK58" i="2" s="1" a="1"/>
  <c r="BK58" i="2" s="1"/>
  <c r="BJ43" i="2"/>
  <c r="BK43" i="2" s="1" a="1"/>
  <c r="BK43" i="2" s="1"/>
  <c r="BJ35" i="2"/>
  <c r="BK35" i="2" s="1" a="1"/>
  <c r="BK35" i="2" s="1"/>
  <c r="BJ17" i="2"/>
  <c r="BK17" i="2" s="1" a="1"/>
  <c r="BK17" i="2" s="1"/>
  <c r="BJ9" i="2"/>
  <c r="BK9" i="2" s="1" a="1"/>
  <c r="BK9" i="2" s="1"/>
  <c r="BJ37" i="2"/>
  <c r="BK37" i="2" s="1" a="1"/>
  <c r="BK37" i="2" s="1"/>
  <c r="BJ96" i="2"/>
  <c r="BK96" i="2" s="1" a="1"/>
  <c r="BK96" i="2" s="1"/>
  <c r="BJ31" i="2"/>
  <c r="BK31" i="2" s="1" a="1"/>
  <c r="BK31" i="2" s="1"/>
  <c r="BJ46" i="2"/>
  <c r="BK46" i="2" s="1" a="1"/>
  <c r="BK46" i="2" s="1"/>
  <c r="BJ38" i="2"/>
  <c r="BK38" i="2" s="1" a="1"/>
  <c r="BK38" i="2" s="1"/>
  <c r="BJ20" i="2"/>
  <c r="BK20" i="2" s="1" a="1"/>
  <c r="BK20" i="2" s="1"/>
  <c r="BJ51" i="2"/>
  <c r="BK51" i="2" s="1" a="1"/>
  <c r="BK51" i="2" s="1"/>
  <c r="BJ83" i="2"/>
  <c r="BK83" i="2" s="1" a="1"/>
  <c r="BK83" i="2" s="1"/>
  <c r="BJ115" i="2"/>
  <c r="BK115" i="2" s="1" a="1"/>
  <c r="BK115" i="2" s="1"/>
  <c r="BJ71" i="2"/>
  <c r="BK71" i="2" s="1" a="1"/>
  <c r="BK71" i="2" s="1"/>
  <c r="BJ63" i="2"/>
  <c r="BK63" i="2" s="1" a="1"/>
  <c r="BK63" i="2" s="1"/>
  <c r="BJ24" i="2"/>
  <c r="BK24" i="2" s="1" a="1"/>
  <c r="BK24" i="2" s="1"/>
  <c r="BJ87" i="2"/>
  <c r="BK87" i="2" s="1" a="1"/>
  <c r="BK87" i="2" s="1"/>
  <c r="BJ92" i="2"/>
  <c r="BK92" i="2" s="1" a="1"/>
  <c r="BK92" i="2" s="1"/>
  <c r="BJ13" i="2"/>
  <c r="BK13" i="2" s="1" a="1"/>
  <c r="BK13" i="2" s="1"/>
  <c r="BJ39" i="2"/>
  <c r="BK39" i="2" s="1" a="1"/>
  <c r="BK39" i="2" s="1"/>
  <c r="BJ29" i="2"/>
  <c r="BK29" i="2" s="1" a="1"/>
  <c r="BK29" i="2" s="1"/>
  <c r="BJ7" i="2"/>
  <c r="BK7" i="2" s="1" a="1"/>
  <c r="BK7" i="2" s="1"/>
  <c r="BJ109" i="2"/>
  <c r="BK109" i="2" s="1" a="1"/>
  <c r="BK109" i="2" s="1"/>
  <c r="BJ101" i="2"/>
  <c r="BK101" i="2" s="1" a="1"/>
  <c r="BK101" i="2" s="1"/>
  <c r="BJ89" i="2"/>
  <c r="BK89" i="2" s="1" a="1"/>
  <c r="BK89" i="2" s="1"/>
  <c r="BJ65" i="2"/>
  <c r="BK65" i="2" s="1" a="1"/>
  <c r="BK65" i="2" s="1"/>
  <c r="BJ26" i="2"/>
  <c r="BK26" i="2" s="1" a="1"/>
  <c r="BK26" i="2" s="1"/>
  <c r="BJ110" i="2"/>
  <c r="BK110" i="2" s="1" a="1"/>
  <c r="BK110" i="2" s="1"/>
  <c r="BJ102" i="2"/>
  <c r="BK102" i="2" s="1" a="1"/>
  <c r="BK102" i="2" s="1"/>
  <c r="BJ90" i="2"/>
  <c r="BK90" i="2" s="1" a="1"/>
  <c r="BK90" i="2" s="1"/>
  <c r="BJ82" i="2"/>
  <c r="BK82" i="2" s="1" a="1"/>
  <c r="BK82" i="2" s="1"/>
  <c r="BJ70" i="2"/>
  <c r="BK70" i="2" s="1" a="1"/>
  <c r="BK70" i="2" s="1"/>
  <c r="BJ41" i="2"/>
  <c r="BK41" i="2" s="1" a="1"/>
  <c r="BK41" i="2" s="1"/>
  <c r="BJ107" i="2"/>
  <c r="BK107" i="2" s="1" a="1"/>
  <c r="BK107" i="2" s="1"/>
  <c r="BO3" i="2"/>
  <c r="BL3" i="2"/>
  <c r="BM3" i="2" s="1"/>
  <c r="BL8" i="2"/>
  <c r="BM8" i="2" s="1"/>
  <c r="BL50" i="2"/>
  <c r="BM50" i="2" s="1"/>
  <c r="BL60" i="2"/>
  <c r="BM60" i="2" s="1"/>
  <c r="BL18" i="2"/>
  <c r="BM18" i="2" s="1"/>
  <c r="BL40" i="2"/>
  <c r="BM40" i="2" s="1"/>
  <c r="BL92" i="2"/>
  <c r="BM92" i="2" s="1"/>
  <c r="BL30" i="2"/>
  <c r="BM30" i="2" s="1"/>
  <c r="BL72" i="2"/>
  <c r="BM72" i="2" s="1"/>
  <c r="BL20" i="2"/>
  <c r="BM20" i="2" s="1"/>
  <c r="BL104" i="2"/>
  <c r="BM104" i="2" s="1"/>
  <c r="BL51" i="2"/>
  <c r="BM51" i="2" s="1"/>
  <c r="BL49" i="2"/>
  <c r="BM49" i="2" s="1"/>
  <c r="BL41" i="2"/>
  <c r="BM41" i="2" s="1"/>
  <c r="BL36" i="2"/>
  <c r="BM36" i="2" s="1"/>
  <c r="BL45" i="2"/>
  <c r="BM45" i="2" s="1"/>
  <c r="BL37" i="2"/>
  <c r="BM37" i="2" s="1"/>
  <c r="BL5" i="2"/>
  <c r="BM5" i="2" s="1"/>
  <c r="BL117" i="2"/>
  <c r="BM117" i="2" s="1"/>
  <c r="BL105" i="2"/>
  <c r="BM105" i="2" s="1"/>
  <c r="BL83" i="2"/>
  <c r="BM83" i="2" s="1"/>
  <c r="BL75" i="2"/>
  <c r="BM75" i="2" s="1"/>
  <c r="BL65" i="2"/>
  <c r="BM65" i="2" s="1"/>
  <c r="BL56" i="2"/>
  <c r="BM56" i="2" s="1"/>
  <c r="BL25" i="2"/>
  <c r="BM25" i="2" s="1"/>
  <c r="BL17" i="2"/>
  <c r="BM17" i="2" s="1"/>
  <c r="BL24" i="2"/>
  <c r="BM24" i="2" s="1"/>
  <c r="BL14" i="2"/>
  <c r="BM14" i="2" s="1"/>
  <c r="BL93" i="2"/>
  <c r="BM93" i="2" s="1"/>
  <c r="BL31" i="2"/>
  <c r="BM31" i="2" s="1"/>
  <c r="BL115" i="2"/>
  <c r="BM115" i="2" s="1"/>
  <c r="BL19" i="2"/>
  <c r="BM19" i="2" s="1"/>
  <c r="BL99" i="2"/>
  <c r="BM99" i="2" s="1"/>
  <c r="BL85" i="2"/>
  <c r="BM85" i="2" s="1"/>
  <c r="BL77" i="2"/>
  <c r="BM77" i="2" s="1"/>
  <c r="BL43" i="2"/>
  <c r="BM43" i="2" s="1"/>
  <c r="BL35" i="2"/>
  <c r="BM35" i="2" s="1"/>
  <c r="BL111" i="2"/>
  <c r="BM111" i="2" s="1"/>
  <c r="BL54" i="2"/>
  <c r="BM54" i="2" s="1"/>
  <c r="BL23" i="2"/>
  <c r="BM23" i="2" s="1"/>
  <c r="BL7" i="2"/>
  <c r="BM7" i="2" s="1"/>
  <c r="BL103" i="2"/>
  <c r="BM103" i="2" s="1"/>
  <c r="BL97" i="2"/>
  <c r="BM97" i="2" s="1"/>
  <c r="BL91" i="2"/>
  <c r="BM91" i="2" s="1"/>
  <c r="BL89" i="2"/>
  <c r="BM89" i="2" s="1"/>
  <c r="BL81" i="2"/>
  <c r="BM81" i="2" s="1"/>
  <c r="BL73" i="2"/>
  <c r="BM73" i="2" s="1"/>
  <c r="BL63" i="2"/>
  <c r="BM63" i="2" s="1"/>
  <c r="BL58" i="2"/>
  <c r="BM58" i="2" s="1"/>
  <c r="BL27" i="2"/>
  <c r="BM27" i="2" s="1"/>
  <c r="BL11" i="2"/>
  <c r="BM11" i="2" s="1"/>
  <c r="BL46" i="2"/>
  <c r="BM46" i="2" s="1"/>
  <c r="BL108" i="2"/>
  <c r="BM108" i="2" s="1"/>
  <c r="BL88" i="2"/>
  <c r="BM88" i="2" s="1"/>
  <c r="BL57" i="2"/>
  <c r="BM57" i="2" s="1"/>
  <c r="BL42" i="2"/>
  <c r="BM42" i="2" s="1"/>
  <c r="BL26" i="2"/>
  <c r="BM26" i="2" s="1"/>
  <c r="BL10" i="2"/>
  <c r="BM10" i="2" s="1"/>
  <c r="BL112" i="2"/>
  <c r="BM112" i="2" s="1"/>
  <c r="BL100" i="2"/>
  <c r="BM100" i="2" s="1"/>
  <c r="BL82" i="2"/>
  <c r="BM82" i="2" s="1"/>
  <c r="BL68" i="2"/>
  <c r="BM68" i="2" s="1"/>
  <c r="BL64" i="2"/>
  <c r="BM64" i="2" s="1"/>
  <c r="BH71" i="2"/>
  <c r="BI71" i="2" s="1"/>
  <c r="BL80" i="2"/>
  <c r="BM80" i="2" s="1"/>
  <c r="BL90" i="2"/>
  <c r="BM90" i="2" s="1"/>
  <c r="BL98" i="2"/>
  <c r="BM98" i="2" s="1"/>
  <c r="BL106" i="2"/>
  <c r="BM106" i="2" s="1"/>
  <c r="BL114" i="2"/>
  <c r="BM114" i="2" s="1"/>
  <c r="BH5" i="2"/>
  <c r="BI5" i="2" s="1"/>
  <c r="BL12" i="2"/>
  <c r="BM12" i="2" s="1"/>
  <c r="BH23" i="2"/>
  <c r="BI23" i="2" s="1"/>
  <c r="BH37" i="2"/>
  <c r="BI37" i="2" s="1"/>
  <c r="BH45" i="2"/>
  <c r="BI45" i="2" s="1"/>
  <c r="BH56" i="2"/>
  <c r="BI56" i="2" s="1"/>
  <c r="BF69" i="2"/>
  <c r="BG69" i="2" s="1"/>
  <c r="BF75" i="2"/>
  <c r="BG75" i="2" s="1"/>
  <c r="BJ78" i="2"/>
  <c r="BK78" i="2" s="1" a="1"/>
  <c r="BK78" i="2" s="1"/>
  <c r="BF83" i="2"/>
  <c r="BG83" i="2" s="1"/>
  <c r="BJ86" i="2"/>
  <c r="BK86" i="2" s="1" a="1"/>
  <c r="BK86" i="2" s="1"/>
  <c r="BF95" i="2"/>
  <c r="BG95" i="2" s="1"/>
  <c r="BF103" i="2"/>
  <c r="BG103" i="2" s="1"/>
  <c r="BF111" i="2"/>
  <c r="BG111" i="2" s="1"/>
  <c r="BF115" i="2"/>
  <c r="BG115" i="2" s="1"/>
  <c r="AV74" i="2"/>
  <c r="AW74" i="2" s="1"/>
  <c r="AV90" i="2"/>
  <c r="AW90" i="2" s="1"/>
  <c r="BH109" i="2"/>
  <c r="BI109" i="2" s="1"/>
  <c r="BJ14" i="2"/>
  <c r="BK14" i="2" s="1" a="1"/>
  <c r="BK14" i="2" s="1"/>
  <c r="BF21" i="2"/>
  <c r="BG21" i="2" s="1"/>
  <c r="BJ61" i="2"/>
  <c r="BK61" i="2" s="1" a="1"/>
  <c r="BK61" i="2" s="1"/>
  <c r="BJ77" i="2"/>
  <c r="BK77" i="2" s="1" a="1"/>
  <c r="BK77" i="2" s="1"/>
  <c r="BF84" i="2"/>
  <c r="BG84" i="2" s="1"/>
  <c r="BF112" i="2"/>
  <c r="BG112" i="2" s="1"/>
  <c r="AV14" i="2"/>
  <c r="AW14" i="2" s="1"/>
  <c r="AV26" i="2"/>
  <c r="AW26" i="2" s="1"/>
  <c r="BL55" i="2"/>
  <c r="BM55" i="2" s="1"/>
  <c r="BF16" i="2"/>
  <c r="BG16" i="2" s="1"/>
  <c r="BJ108" i="2"/>
  <c r="BK108" i="2" s="1" a="1"/>
  <c r="BK108" i="2" s="1"/>
  <c r="AV116" i="2"/>
  <c r="AW116" i="2" s="1"/>
  <c r="AV112" i="2"/>
  <c r="AW112" i="2" s="1"/>
  <c r="AV48" i="2"/>
  <c r="AW48" i="2" s="1"/>
  <c r="AV9" i="2"/>
  <c r="AW9" i="2" s="1"/>
  <c r="BH24" i="2"/>
  <c r="BI24" i="2" s="1"/>
  <c r="BL39" i="2"/>
  <c r="BM39" i="2" s="1"/>
  <c r="BH55" i="2"/>
  <c r="BI55" i="2" s="1"/>
  <c r="BH62" i="2"/>
  <c r="BI62" i="2" s="1"/>
  <c r="BL67" i="2"/>
  <c r="BM67" i="2" s="1"/>
  <c r="BH74" i="2"/>
  <c r="BI74" i="2" s="1"/>
  <c r="AV85" i="2"/>
  <c r="AW85" i="2" s="1"/>
  <c r="BH92" i="2"/>
  <c r="BI92" i="2" s="1"/>
  <c r="BH104" i="2"/>
  <c r="BI104" i="2" s="1"/>
  <c r="BJ15" i="2"/>
  <c r="BK15" i="2" s="1" a="1"/>
  <c r="BK15" i="2" s="1"/>
  <c r="BF28" i="2"/>
  <c r="BG28" i="2" s="1"/>
  <c r="BJ95" i="2"/>
  <c r="BK95" i="2" s="1" a="1"/>
  <c r="BK95" i="2" s="1"/>
  <c r="BJ75" i="2"/>
  <c r="BK75" i="2" s="1" a="1"/>
  <c r="BK75" i="2" s="1"/>
  <c r="AV19" i="2"/>
  <c r="AW19" i="2" s="1"/>
  <c r="AV30" i="2"/>
  <c r="AW30" i="2" s="1"/>
  <c r="BF34" i="2"/>
  <c r="BG34" i="2" s="1"/>
  <c r="BL52" i="2"/>
  <c r="BM52" i="2" s="1"/>
  <c r="BJ94" i="2"/>
  <c r="BK94" i="2" s="1" a="1"/>
  <c r="BK94" i="2" s="1"/>
  <c r="BJ98" i="2"/>
  <c r="BK98" i="2" s="1" a="1"/>
  <c r="BK98" i="2" s="1"/>
  <c r="BJ106" i="2"/>
  <c r="BK106" i="2" s="1" a="1"/>
  <c r="BK106" i="2" s="1"/>
  <c r="BJ114" i="2"/>
  <c r="BK114" i="2" s="1" a="1"/>
  <c r="BK114" i="2" s="1"/>
  <c r="BJ6" i="2"/>
  <c r="BK6" i="2" s="1" a="1"/>
  <c r="BK6" i="2" s="1"/>
  <c r="BJ18" i="2"/>
  <c r="BK18" i="2" s="1" a="1"/>
  <c r="BK18" i="2" s="1"/>
  <c r="BJ69" i="2"/>
  <c r="BK69" i="2" s="1" a="1"/>
  <c r="BK69" i="2" s="1"/>
  <c r="BJ81" i="2"/>
  <c r="BK81" i="2" s="1" a="1"/>
  <c r="BK81" i="2" s="1"/>
  <c r="BJ97" i="2"/>
  <c r="BK97" i="2" s="1" a="1"/>
  <c r="BK97" i="2" s="1"/>
  <c r="BJ52" i="2"/>
  <c r="BK52" i="2" s="1" a="1"/>
  <c r="BK52" i="2" s="1"/>
  <c r="BJ76" i="2"/>
  <c r="BK76" i="2" s="1" a="1"/>
  <c r="BK76" i="2" s="1"/>
  <c r="BH13" i="2"/>
  <c r="BI13" i="2" s="1"/>
  <c r="BH65" i="2"/>
  <c r="BI65" i="2" s="1"/>
  <c r="BH81" i="2"/>
  <c r="BI81" i="2" s="1"/>
  <c r="BH97" i="2"/>
  <c r="BI97" i="2" s="1"/>
  <c r="BH113" i="2"/>
  <c r="BI113" i="2" s="1"/>
  <c r="BH15" i="2"/>
  <c r="BI15" i="2" s="1"/>
  <c r="BH35" i="2"/>
  <c r="BI35" i="2" s="1"/>
  <c r="BH25" i="2"/>
  <c r="BI25" i="2" s="1"/>
  <c r="BH43" i="2"/>
  <c r="BI43" i="2" s="1"/>
  <c r="BH58" i="2"/>
  <c r="BI58" i="2" s="1"/>
  <c r="BH89" i="2"/>
  <c r="BI89" i="2" s="1"/>
  <c r="BH105" i="2"/>
  <c r="BI105" i="2" s="1"/>
  <c r="BH73" i="2"/>
  <c r="BI73" i="2" s="1"/>
  <c r="BH57" i="2"/>
  <c r="BI57" i="2" s="1"/>
  <c r="BH34" i="2"/>
  <c r="BI34" i="2" s="1"/>
  <c r="BH26" i="2"/>
  <c r="BI26" i="2" s="1"/>
  <c r="BH18" i="2"/>
  <c r="BI18" i="2" s="1"/>
  <c r="BH53" i="2"/>
  <c r="BI53" i="2" s="1"/>
  <c r="BH22" i="2"/>
  <c r="BI22" i="2" s="1"/>
  <c r="BH110" i="2"/>
  <c r="BI110" i="2" s="1"/>
  <c r="BH100" i="2"/>
  <c r="BI100" i="2" s="1"/>
  <c r="BH94" i="2"/>
  <c r="BI94" i="2" s="1"/>
  <c r="BH86" i="2"/>
  <c r="BI86" i="2" s="1"/>
  <c r="BH78" i="2"/>
  <c r="BI78" i="2" s="1"/>
  <c r="BH68" i="2"/>
  <c r="BI68" i="2" s="1"/>
  <c r="BH60" i="2"/>
  <c r="BI60" i="2" s="1"/>
  <c r="BH50" i="2"/>
  <c r="BI50" i="2" s="1"/>
  <c r="BH42" i="2"/>
  <c r="BI42" i="2" s="1"/>
  <c r="BH10" i="2"/>
  <c r="BI10" i="2" s="1"/>
  <c r="BH106" i="2"/>
  <c r="BI106" i="2" s="1"/>
  <c r="BH29" i="2"/>
  <c r="BI29" i="2" s="1"/>
  <c r="BH77" i="2"/>
  <c r="BI77" i="2" s="1"/>
  <c r="BH69" i="2"/>
  <c r="BI69" i="2" s="1"/>
  <c r="BH48" i="2"/>
  <c r="BI48" i="2" s="1"/>
  <c r="BH40" i="2"/>
  <c r="BI40" i="2" s="1"/>
  <c r="BH8" i="2"/>
  <c r="BI8" i="2" s="1"/>
  <c r="BH47" i="2"/>
  <c r="BI47" i="2" s="1"/>
  <c r="BH59" i="2"/>
  <c r="BI59" i="2" s="1"/>
  <c r="BH44" i="2"/>
  <c r="BI44" i="2" s="1"/>
  <c r="BH36" i="2"/>
  <c r="BI36" i="2" s="1"/>
  <c r="BH28" i="2"/>
  <c r="BI28" i="2" s="1"/>
  <c r="BH116" i="2"/>
  <c r="BI116" i="2" s="1"/>
  <c r="BH102" i="2"/>
  <c r="BI102" i="2" s="1"/>
  <c r="BH96" i="2"/>
  <c r="BI96" i="2" s="1"/>
  <c r="BH88" i="2"/>
  <c r="BI88" i="2" s="1"/>
  <c r="BH80" i="2"/>
  <c r="BI80" i="2" s="1"/>
  <c r="BH72" i="2"/>
  <c r="BI72" i="2" s="1"/>
  <c r="BH70" i="2"/>
  <c r="BI70" i="2" s="1"/>
  <c r="BH51" i="2"/>
  <c r="BI51" i="2" s="1"/>
  <c r="BH12" i="2"/>
  <c r="BI12" i="2" s="1"/>
  <c r="BH4" i="2"/>
  <c r="BI4" i="2" s="1"/>
  <c r="BH54" i="2"/>
  <c r="BI54" i="2" s="1"/>
  <c r="BH39" i="2"/>
  <c r="BI39" i="2" s="1"/>
  <c r="BH32" i="2"/>
  <c r="BI32" i="2" s="1"/>
  <c r="BH16" i="2"/>
  <c r="BI16" i="2" s="1"/>
  <c r="BH112" i="2"/>
  <c r="BI112" i="2" s="1"/>
  <c r="BH84" i="2"/>
  <c r="BI84" i="2" s="1"/>
  <c r="BH76" i="2"/>
  <c r="BI76" i="2" s="1"/>
  <c r="BH66" i="2"/>
  <c r="BI66" i="2" s="1"/>
  <c r="BH20" i="2"/>
  <c r="BI20" i="2" s="1"/>
  <c r="BH108" i="2"/>
  <c r="BI108" i="2" s="1"/>
  <c r="BH31" i="2"/>
  <c r="BI31" i="2" s="1"/>
  <c r="BH9" i="2"/>
  <c r="BI9" i="2" s="1"/>
  <c r="BH117" i="2"/>
  <c r="BI117" i="2" s="1"/>
  <c r="BH61" i="2"/>
  <c r="BI61" i="2" s="1"/>
  <c r="BH49" i="2"/>
  <c r="BI49" i="2" s="1"/>
  <c r="BH33" i="2"/>
  <c r="BI33" i="2" s="1"/>
  <c r="BH17" i="2"/>
  <c r="BI17" i="2" s="1"/>
  <c r="BH107" i="2"/>
  <c r="BI107" i="2" s="1"/>
  <c r="BH95" i="2"/>
  <c r="BI95" i="2" s="1"/>
  <c r="BH87" i="2"/>
  <c r="BI87" i="2" s="1"/>
  <c r="BH75" i="2"/>
  <c r="BI75" i="2" s="1"/>
  <c r="AV3" i="2"/>
  <c r="AW3" i="2" s="1"/>
  <c r="AV11" i="2"/>
  <c r="AW11" i="2" s="1"/>
  <c r="AV50" i="2"/>
  <c r="AW50" i="2" s="1"/>
  <c r="AV31" i="2"/>
  <c r="AW31" i="2" s="1"/>
  <c r="AV15" i="2"/>
  <c r="AW15" i="2" s="1"/>
  <c r="AV103" i="2"/>
  <c r="AW103" i="2" s="1"/>
  <c r="AV97" i="2"/>
  <c r="AW97" i="2" s="1"/>
  <c r="AV89" i="2"/>
  <c r="AW89" i="2" s="1"/>
  <c r="AV81" i="2"/>
  <c r="AW81" i="2" s="1"/>
  <c r="AV73" i="2"/>
  <c r="AW73" i="2" s="1"/>
  <c r="AV71" i="2"/>
  <c r="AW71" i="2" s="1"/>
  <c r="AV63" i="2"/>
  <c r="AW63" i="2" s="1"/>
  <c r="AV35" i="2"/>
  <c r="AW35" i="2" s="1"/>
  <c r="AV8" i="2"/>
  <c r="AW8" i="2" s="1"/>
  <c r="AV40" i="2"/>
  <c r="AW40" i="2" s="1"/>
  <c r="AV72" i="2"/>
  <c r="AW72" i="2" s="1"/>
  <c r="AV104" i="2"/>
  <c r="AW104" i="2" s="1"/>
  <c r="AV76" i="2"/>
  <c r="AW76" i="2" s="1"/>
  <c r="AV108" i="2"/>
  <c r="AW108" i="2" s="1"/>
  <c r="AV20" i="2"/>
  <c r="AW20" i="2" s="1"/>
  <c r="AV115" i="2"/>
  <c r="AW115" i="2" s="1"/>
  <c r="AV42" i="2"/>
  <c r="AW42" i="2" s="1"/>
  <c r="AV6" i="2"/>
  <c r="AW6" i="2" s="1"/>
  <c r="AV114" i="2"/>
  <c r="AW114" i="2" s="1"/>
  <c r="AV106" i="2"/>
  <c r="AW106" i="2" s="1"/>
  <c r="AV94" i="2"/>
  <c r="AW94" i="2" s="1"/>
  <c r="AV86" i="2"/>
  <c r="AW86" i="2" s="1"/>
  <c r="AV56" i="2"/>
  <c r="AW56" i="2" s="1"/>
  <c r="AV25" i="2"/>
  <c r="AW25" i="2" s="1"/>
  <c r="AV17" i="2"/>
  <c r="AW17" i="2" s="1"/>
  <c r="AV111" i="2"/>
  <c r="AW111" i="2" s="1"/>
  <c r="AV34" i="2"/>
  <c r="AW34" i="2" s="1"/>
  <c r="AV52" i="2"/>
  <c r="AW52" i="2" s="1"/>
  <c r="AV13" i="2"/>
  <c r="AW13" i="2" s="1"/>
  <c r="AV109" i="2"/>
  <c r="AW109" i="2" s="1"/>
  <c r="AV105" i="2"/>
  <c r="AW105" i="2" s="1"/>
  <c r="AV93" i="2"/>
  <c r="AW93" i="2" s="1"/>
  <c r="AV91" i="2"/>
  <c r="AW91" i="2" s="1"/>
  <c r="AV83" i="2"/>
  <c r="AW83" i="2" s="1"/>
  <c r="AV75" i="2"/>
  <c r="AW75" i="2" s="1"/>
  <c r="AV36" i="2"/>
  <c r="AW36" i="2" s="1"/>
  <c r="AV29" i="2"/>
  <c r="AW29" i="2" s="1"/>
  <c r="AV21" i="2"/>
  <c r="AW21" i="2" s="1"/>
  <c r="AV49" i="2"/>
  <c r="AW49" i="2" s="1"/>
  <c r="AV41" i="2"/>
  <c r="AW41" i="2" s="1"/>
  <c r="AV107" i="2"/>
  <c r="AW107" i="2" s="1"/>
  <c r="AV101" i="2"/>
  <c r="AW101" i="2" s="1"/>
  <c r="AV95" i="2"/>
  <c r="AW95" i="2" s="1"/>
  <c r="AV87" i="2"/>
  <c r="AW87" i="2" s="1"/>
  <c r="AV79" i="2"/>
  <c r="AW79" i="2" s="1"/>
  <c r="AV69" i="2"/>
  <c r="AW69" i="2" s="1"/>
  <c r="AV61" i="2"/>
  <c r="AW61" i="2" s="1"/>
  <c r="AV45" i="2"/>
  <c r="AW45" i="2" s="1"/>
  <c r="AV37" i="2"/>
  <c r="AW37" i="2" s="1"/>
  <c r="AV5" i="2"/>
  <c r="AW5" i="2" s="1"/>
  <c r="AV32" i="2"/>
  <c r="AW32" i="2" s="1"/>
  <c r="AV64" i="2"/>
  <c r="AW64" i="2" s="1"/>
  <c r="AV96" i="2"/>
  <c r="AW96" i="2" s="1"/>
  <c r="AV68" i="2"/>
  <c r="AW68" i="2" s="1"/>
  <c r="AV100" i="2"/>
  <c r="AW100" i="2" s="1"/>
  <c r="AV44" i="2"/>
  <c r="AW44" i="2" s="1"/>
  <c r="AV59" i="2"/>
  <c r="AW59" i="2" s="1"/>
  <c r="AV117" i="2"/>
  <c r="AW117" i="2" s="1"/>
  <c r="AV4" i="2"/>
  <c r="AW4" i="2" s="1"/>
  <c r="AV18" i="2"/>
  <c r="AW18" i="2" s="1"/>
  <c r="AV98" i="2"/>
  <c r="AW98" i="2" s="1"/>
  <c r="AV78" i="2"/>
  <c r="AW78" i="2" s="1"/>
  <c r="AV70" i="2"/>
  <c r="AW70" i="2" s="1"/>
  <c r="BJ117" i="2"/>
  <c r="BK117" i="2" s="1" a="1"/>
  <c r="BK117" i="2" s="1"/>
  <c r="BL74" i="2"/>
  <c r="BM74" i="2" s="1"/>
  <c r="BH83" i="2"/>
  <c r="BI83" i="2" s="1"/>
  <c r="BH91" i="2"/>
  <c r="BI91" i="2" s="1"/>
  <c r="BH99" i="2"/>
  <c r="BI99" i="2" s="1"/>
  <c r="BH115" i="2"/>
  <c r="BI115" i="2" s="1"/>
  <c r="BL6" i="2"/>
  <c r="BM6" i="2" s="1"/>
  <c r="BL16" i="2"/>
  <c r="BM16" i="2" s="1"/>
  <c r="BH27" i="2"/>
  <c r="BI27" i="2" s="1"/>
  <c r="BL38" i="2"/>
  <c r="BM38" i="2" s="1"/>
  <c r="BL48" i="2"/>
  <c r="BM48" i="2" s="1"/>
  <c r="BL59" i="2"/>
  <c r="BM59" i="2" s="1"/>
  <c r="BJ62" i="2"/>
  <c r="BK62" i="2" s="1" a="1"/>
  <c r="BK62" i="2" s="1"/>
  <c r="BJ66" i="2"/>
  <c r="BK66" i="2" s="1" a="1"/>
  <c r="BK66" i="2" s="1"/>
  <c r="BF73" i="2"/>
  <c r="BG73" i="2" s="1"/>
  <c r="BF87" i="2"/>
  <c r="BG87" i="2" s="1"/>
  <c r="BF93" i="2"/>
  <c r="BG93" i="2" s="1"/>
  <c r="BF101" i="2"/>
  <c r="BG101" i="2" s="1"/>
  <c r="BF109" i="2"/>
  <c r="BG109" i="2" s="1"/>
  <c r="BF113" i="2"/>
  <c r="BG113" i="2" s="1"/>
  <c r="BL76" i="2"/>
  <c r="BM76" i="2" s="1"/>
  <c r="BH93" i="2"/>
  <c r="BI93" i="2" s="1"/>
  <c r="AV110" i="2"/>
  <c r="AW110" i="2" s="1"/>
  <c r="BF15" i="2"/>
  <c r="BG15" i="2" s="1"/>
  <c r="BF27" i="2"/>
  <c r="BG27" i="2" s="1"/>
  <c r="BF62" i="2"/>
  <c r="BG62" i="2" s="1"/>
  <c r="BF78" i="2"/>
  <c r="BG78" i="2" s="1"/>
  <c r="BF90" i="2"/>
  <c r="BG90" i="2" s="1"/>
  <c r="BH19" i="2"/>
  <c r="BI19" i="2" s="1"/>
  <c r="BL34" i="2"/>
  <c r="BM34" i="2" s="1"/>
  <c r="BL109" i="2"/>
  <c r="BM109" i="2" s="1"/>
  <c r="BF18" i="2"/>
  <c r="BG18" i="2" s="1"/>
  <c r="BJ27" i="2"/>
  <c r="BK27" i="2" s="1" a="1"/>
  <c r="BK27" i="2" s="1"/>
  <c r="BF42" i="2"/>
  <c r="BG42" i="2" s="1"/>
  <c r="BF50" i="2"/>
  <c r="BG50" i="2" s="1"/>
  <c r="AV67" i="2"/>
  <c r="AW67" i="2" s="1"/>
  <c r="AV28" i="2"/>
  <c r="AW28" i="2" s="1"/>
  <c r="AV92" i="2"/>
  <c r="AW92" i="2" s="1"/>
  <c r="AV88" i="2"/>
  <c r="AW88" i="2" s="1"/>
  <c r="AV24" i="2"/>
  <c r="AW24" i="2" s="1"/>
  <c r="BH14" i="2"/>
  <c r="BI14" i="2" s="1"/>
  <c r="BL29" i="2"/>
  <c r="BM29" i="2" s="1"/>
  <c r="BH46" i="2"/>
  <c r="BI46" i="2" s="1"/>
  <c r="BJ48" i="2"/>
  <c r="BK48" i="2" s="1" a="1"/>
  <c r="BK48" i="2" s="1"/>
  <c r="BH64" i="2"/>
  <c r="BI64" i="2" s="1"/>
  <c r="BL69" i="2"/>
  <c r="BM69" i="2" s="1"/>
  <c r="AV77" i="2"/>
  <c r="AW77" i="2" s="1"/>
  <c r="BL87" i="2"/>
  <c r="BM87" i="2" s="1"/>
  <c r="BL95" i="2"/>
  <c r="BM95" i="2" s="1"/>
  <c r="BL107" i="2"/>
  <c r="BM107" i="2" s="1"/>
  <c r="BF55" i="2"/>
  <c r="BG55" i="2" s="1"/>
  <c r="BJ32" i="2"/>
  <c r="BK32" i="2" s="1" a="1"/>
  <c r="BK32" i="2" s="1"/>
  <c r="BJ44" i="2"/>
  <c r="BK44" i="2" s="1" a="1"/>
  <c r="BK44" i="2" s="1"/>
  <c r="AV27" i="2"/>
  <c r="AW27" i="2" s="1"/>
  <c r="AV58" i="2"/>
  <c r="AW58" i="2" s="1"/>
  <c r="AV46" i="2"/>
  <c r="AW46" i="2" s="1"/>
  <c r="BJ49" i="2"/>
  <c r="BK49" i="2" s="1" a="1"/>
  <c r="BK49" i="2" s="1"/>
  <c r="BH30" i="2"/>
  <c r="BI30" i="2" s="1"/>
  <c r="BJ68" i="2"/>
  <c r="BK68" i="2" s="1" a="1"/>
  <c r="BK68" i="2" s="1"/>
  <c r="BJ74" i="2"/>
  <c r="BK74" i="2" s="1" a="1"/>
  <c r="BK74" i="2" s="1"/>
  <c r="BJ79" i="2"/>
  <c r="BK79" i="2" s="1" a="1"/>
  <c r="BK79" i="2" s="1"/>
  <c r="BJ54" i="2"/>
  <c r="BK54" i="2" s="1" a="1"/>
  <c r="BK54" i="2" s="1"/>
  <c r="BH3" i="2"/>
  <c r="BI3" i="2" s="1"/>
  <c r="BF2" i="2"/>
  <c r="BF7" i="2"/>
  <c r="BG7" i="2" s="1"/>
  <c r="BF29" i="2"/>
  <c r="BG29" i="2" s="1"/>
  <c r="BF39" i="2"/>
  <c r="BG39" i="2" s="1"/>
  <c r="BF60" i="2"/>
  <c r="BG60" i="2" s="1"/>
  <c r="BF70" i="2"/>
  <c r="BG70" i="2" s="1"/>
  <c r="BF92" i="2"/>
  <c r="BG92" i="2" s="1"/>
  <c r="BF102" i="2"/>
  <c r="BG102" i="2" s="1"/>
  <c r="BF9" i="2"/>
  <c r="BG9" i="2" s="1"/>
  <c r="BF19" i="2"/>
  <c r="BG19" i="2" s="1"/>
  <c r="BF41" i="2"/>
  <c r="BG41" i="2" s="1"/>
  <c r="BF61" i="2"/>
  <c r="BG61" i="2" s="1"/>
  <c r="BF72" i="2"/>
  <c r="BG72" i="2" s="1"/>
  <c r="BF82" i="2"/>
  <c r="BG82" i="2" s="1"/>
  <c r="BF104" i="2"/>
  <c r="BG104" i="2" s="1"/>
  <c r="BF114" i="2"/>
  <c r="BG114" i="2" s="1"/>
  <c r="BF3" i="2"/>
  <c r="BG3" i="2" s="1"/>
  <c r="BF25" i="2"/>
  <c r="BG25" i="2" s="1"/>
  <c r="BF35" i="2"/>
  <c r="BG35" i="2" s="1"/>
  <c r="BF56" i="2"/>
  <c r="BG56" i="2" s="1"/>
  <c r="BF66" i="2"/>
  <c r="BG66" i="2" s="1"/>
  <c r="BF88" i="2"/>
  <c r="BG88" i="2" s="1"/>
  <c r="BF98" i="2"/>
  <c r="BG98" i="2" s="1"/>
  <c r="BF23" i="2"/>
  <c r="BG23" i="2" s="1"/>
  <c r="BF65" i="2"/>
  <c r="BG65" i="2" s="1"/>
  <c r="BF108" i="2"/>
  <c r="BG108" i="2" s="1"/>
  <c r="BF76" i="2"/>
  <c r="BG76" i="2" s="1"/>
  <c r="BF45" i="2"/>
  <c r="BG45" i="2" s="1"/>
  <c r="BF86" i="2"/>
  <c r="BG86" i="2" s="1"/>
  <c r="BF97" i="2"/>
  <c r="BG97" i="2" s="1"/>
  <c r="BF13" i="2"/>
  <c r="BG13" i="2" s="1"/>
  <c r="BF54" i="2"/>
  <c r="BG54" i="2" s="1"/>
  <c r="BF117" i="2"/>
  <c r="BG117" i="2" s="1"/>
  <c r="BF44" i="2"/>
  <c r="BG44" i="2" s="1"/>
  <c r="BF38" i="2"/>
  <c r="BG38" i="2" s="1"/>
  <c r="BF10" i="2"/>
  <c r="BG10" i="2" s="1"/>
  <c r="BF58" i="2"/>
  <c r="BG58" i="2" s="1"/>
  <c r="BF43" i="2"/>
  <c r="BG43" i="2" s="1"/>
  <c r="BF37" i="2"/>
  <c r="BG37" i="2" s="1"/>
  <c r="BF32" i="2"/>
  <c r="BG32" i="2" s="1"/>
  <c r="BF57" i="2"/>
  <c r="BG57" i="2" s="1"/>
  <c r="BF20" i="2"/>
  <c r="BG20" i="2" s="1"/>
  <c r="BF106" i="2"/>
  <c r="BG106" i="2" s="1"/>
  <c r="BF100" i="2"/>
  <c r="BG100" i="2" s="1"/>
  <c r="BF94" i="2"/>
  <c r="BG94" i="2" s="1"/>
  <c r="BF64" i="2"/>
  <c r="BG64" i="2" s="1"/>
  <c r="BF31" i="2"/>
  <c r="BG31" i="2" s="1"/>
  <c r="BF107" i="2"/>
  <c r="BG107" i="2" s="1"/>
  <c r="BF105" i="2"/>
  <c r="BG105" i="2" s="1"/>
  <c r="BF99" i="2"/>
  <c r="BG99" i="2" s="1"/>
  <c r="BF81" i="2"/>
  <c r="BG81" i="2" s="1"/>
  <c r="BF51" i="2"/>
  <c r="BG51" i="2" s="1"/>
  <c r="BF36" i="2"/>
  <c r="BG36" i="2" s="1"/>
  <c r="BF8" i="2"/>
  <c r="BG8" i="2" s="1"/>
  <c r="BF49" i="2"/>
  <c r="BG49" i="2" s="1"/>
  <c r="BF30" i="2"/>
  <c r="BG30" i="2" s="1"/>
  <c r="BF40" i="2"/>
  <c r="BG40" i="2" s="1"/>
  <c r="BF24" i="2"/>
  <c r="BG24" i="2" s="1"/>
  <c r="BF12" i="2"/>
  <c r="BG12" i="2" s="1"/>
  <c r="BF52" i="2"/>
  <c r="BG52" i="2" s="1"/>
  <c r="BF33" i="2"/>
  <c r="BG33" i="2" s="1"/>
  <c r="BF53" i="2"/>
  <c r="BG53" i="2" s="1"/>
  <c r="BF48" i="2"/>
  <c r="BG48" i="2" s="1"/>
  <c r="BF26" i="2"/>
  <c r="BG26" i="2" s="1"/>
  <c r="BF4" i="2"/>
  <c r="BG4" i="2" s="1"/>
  <c r="BF59" i="2"/>
  <c r="BG59" i="2" s="1"/>
  <c r="BF46" i="2"/>
  <c r="BG46" i="2" s="1"/>
  <c r="BF22" i="2"/>
  <c r="BG22" i="2" s="1"/>
  <c r="BF116" i="2"/>
  <c r="BG116" i="2" s="1"/>
  <c r="BF96" i="2"/>
  <c r="BG96" i="2" s="1"/>
  <c r="BF80" i="2"/>
  <c r="BG80" i="2" s="1"/>
  <c r="BF74" i="2"/>
  <c r="BG74" i="2" s="1"/>
  <c r="BF17" i="2"/>
  <c r="BG17" i="2" s="1"/>
  <c r="BF11" i="2"/>
  <c r="BG11" i="2" s="1"/>
  <c r="BF91" i="2"/>
  <c r="BG91" i="2" s="1"/>
  <c r="BF79" i="2"/>
  <c r="BG79" i="2" s="1"/>
  <c r="BL62" i="2"/>
  <c r="BM62" i="2" s="1"/>
  <c r="BH67" i="2"/>
  <c r="BI67" i="2" s="1"/>
  <c r="BL78" i="2"/>
  <c r="BM78" i="2" s="1"/>
  <c r="BL84" i="2"/>
  <c r="BM84" i="2" s="1"/>
  <c r="BL94" i="2"/>
  <c r="BM94" i="2" s="1"/>
  <c r="BL102" i="2"/>
  <c r="BM102" i="2" s="1"/>
  <c r="BL110" i="2"/>
  <c r="BM110" i="2" s="1"/>
  <c r="BL116" i="2"/>
  <c r="BM116" i="2" s="1"/>
  <c r="BH7" i="2"/>
  <c r="BI7" i="2" s="1"/>
  <c r="BH21" i="2"/>
  <c r="BI21" i="2" s="1"/>
  <c r="BL28" i="2"/>
  <c r="BM28" i="2" s="1"/>
  <c r="BH41" i="2"/>
  <c r="BI41" i="2" s="1"/>
  <c r="BH52" i="2"/>
  <c r="BI52" i="2" s="1"/>
  <c r="BF63" i="2"/>
  <c r="BG63" i="2" s="1"/>
  <c r="BF67" i="2"/>
  <c r="BG67" i="2" s="1"/>
  <c r="BF85" i="2"/>
  <c r="BG85" i="2" s="1"/>
  <c r="AV62" i="2"/>
  <c r="AW62" i="2" s="1"/>
  <c r="AV82" i="2"/>
  <c r="AW82" i="2" s="1"/>
  <c r="BH101" i="2"/>
  <c r="BI101" i="2" s="1"/>
  <c r="BF5" i="2"/>
  <c r="BG5" i="2" s="1"/>
  <c r="BJ30" i="2"/>
  <c r="BK30" i="2" s="1" a="1"/>
  <c r="BK30" i="2" s="1"/>
  <c r="BF68" i="2"/>
  <c r="BG68" i="2" s="1"/>
  <c r="BJ93" i="2"/>
  <c r="BK93" i="2" s="1" a="1"/>
  <c r="BK93" i="2" s="1"/>
  <c r="BJ105" i="2"/>
  <c r="BK105" i="2" s="1" a="1"/>
  <c r="BK105" i="2" s="1"/>
  <c r="BL4" i="2"/>
  <c r="BM4" i="2" s="1"/>
  <c r="AV22" i="2"/>
  <c r="AW22" i="2" s="1"/>
  <c r="AV38" i="2"/>
  <c r="AW38" i="2" s="1"/>
  <c r="AV113" i="2"/>
  <c r="AW113" i="2" s="1"/>
  <c r="BJ16" i="2"/>
  <c r="BK16" i="2" s="1" a="1"/>
  <c r="BK16" i="2" s="1"/>
  <c r="AV51" i="2"/>
  <c r="AW51" i="2" s="1"/>
  <c r="AV84" i="2"/>
  <c r="AW84" i="2" s="1"/>
  <c r="AV80" i="2"/>
  <c r="AW80" i="2" s="1"/>
  <c r="AV16" i="2"/>
  <c r="AW16" i="2" s="1"/>
  <c r="BL15" i="2"/>
  <c r="BM15" i="2" s="1"/>
  <c r="AV33" i="2"/>
  <c r="AW33" i="2" s="1"/>
  <c r="BL47" i="2"/>
  <c r="BM47" i="2" s="1"/>
  <c r="BJ88" i="2"/>
  <c r="BK88" i="2" s="1" a="1"/>
  <c r="BK88" i="2" s="1"/>
  <c r="AV65" i="2"/>
  <c r="AW65" i="2" s="1"/>
  <c r="BL79" i="2"/>
  <c r="BM79" i="2" s="1"/>
  <c r="BH90" i="2"/>
  <c r="BI90" i="2" s="1"/>
  <c r="BH98" i="2"/>
  <c r="BI98" i="2" s="1"/>
  <c r="BL113" i="2"/>
  <c r="BM113" i="2" s="1"/>
  <c r="BJ104" i="2"/>
  <c r="BK104" i="2" s="1" a="1"/>
  <c r="BK104" i="2" s="1"/>
  <c r="BJ60" i="2"/>
  <c r="BK60" i="2" s="1" a="1"/>
  <c r="BK60" i="2" s="1"/>
  <c r="BJ12" i="2"/>
  <c r="BK12" i="2" s="1" a="1"/>
  <c r="BK12" i="2" s="1"/>
  <c r="BL33" i="2"/>
  <c r="BM33" i="2" s="1"/>
  <c r="BJ34" i="2"/>
  <c r="BK34" i="2" s="1" a="1"/>
  <c r="BK34" i="2" s="1"/>
  <c r="BJ53" i="2"/>
  <c r="BK53" i="2" s="1" a="1"/>
  <c r="BK53" i="2" s="1"/>
  <c r="AV57" i="2"/>
  <c r="AW57" i="2" s="1"/>
  <c r="BF6" i="2"/>
  <c r="BG6" i="2" s="1"/>
  <c r="AV7" i="2"/>
  <c r="AW7" i="2" s="1"/>
  <c r="AV39" i="2"/>
  <c r="AW39" i="2" s="1"/>
  <c r="AV99" i="2"/>
  <c r="AW99" i="2" s="1"/>
  <c r="BH2" i="2"/>
  <c r="BI2" i="2" s="1" a="1"/>
  <c r="BI2" i="2" s="1"/>
  <c r="AH102" i="2"/>
  <c r="AH101" i="2"/>
  <c r="AH105" i="2"/>
  <c r="AH111" i="2"/>
  <c r="AH113" i="2"/>
  <c r="AH115" i="2"/>
  <c r="AH117" i="2"/>
  <c r="AH104" i="2"/>
  <c r="AH112" i="2"/>
  <c r="AH99" i="2"/>
  <c r="AH106" i="2"/>
  <c r="AH110" i="2"/>
  <c r="AH114" i="2"/>
  <c r="AH116" i="2"/>
  <c r="AH108" i="2"/>
  <c r="AH100" i="2"/>
  <c r="AH103" i="2"/>
  <c r="AH107" i="2"/>
  <c r="AH109" i="2"/>
  <c r="R87" i="2"/>
  <c r="AB87" i="2"/>
  <c r="R12" i="2"/>
  <c r="AB12" i="2"/>
  <c r="AB2" i="2"/>
  <c r="R2" i="2"/>
  <c r="R95" i="2"/>
  <c r="AB95" i="2"/>
  <c r="R91" i="2"/>
  <c r="AB91" i="2"/>
  <c r="R83" i="2"/>
  <c r="AB83" i="2"/>
  <c r="R79" i="2"/>
  <c r="AB79" i="2"/>
  <c r="R75" i="2"/>
  <c r="AB75" i="2"/>
  <c r="R71" i="2"/>
  <c r="AB71" i="2"/>
  <c r="R67" i="2"/>
  <c r="AB67" i="2"/>
  <c r="R63" i="2"/>
  <c r="AB63" i="2"/>
  <c r="R59" i="2"/>
  <c r="AB59" i="2"/>
  <c r="R55" i="2"/>
  <c r="AB55" i="2"/>
  <c r="R51" i="2"/>
  <c r="AB51" i="2"/>
  <c r="R48" i="2"/>
  <c r="AB48" i="2"/>
  <c r="R44" i="2"/>
  <c r="AB44" i="2"/>
  <c r="R40" i="2"/>
  <c r="AB40" i="2"/>
  <c r="R36" i="2"/>
  <c r="AB36" i="2"/>
  <c r="R32" i="2"/>
  <c r="AB32" i="2"/>
  <c r="R28" i="2"/>
  <c r="AB28" i="2"/>
  <c r="R24" i="2"/>
  <c r="AB24" i="2"/>
  <c r="R20" i="2"/>
  <c r="AB20" i="2"/>
  <c r="R16" i="2"/>
  <c r="AB16" i="2"/>
  <c r="R8" i="2"/>
  <c r="AB8" i="2"/>
  <c r="R4" i="2"/>
  <c r="AB4" i="2"/>
  <c r="R98" i="2"/>
  <c r="AB98" i="2"/>
  <c r="R94" i="2"/>
  <c r="AB94" i="2"/>
  <c r="R90" i="2"/>
  <c r="AB90" i="2"/>
  <c r="R86" i="2"/>
  <c r="AB86" i="2"/>
  <c r="R82" i="2"/>
  <c r="AB82" i="2"/>
  <c r="R78" i="2"/>
  <c r="AB78" i="2"/>
  <c r="R74" i="2"/>
  <c r="AB74" i="2"/>
  <c r="R70" i="2"/>
  <c r="AB70" i="2"/>
  <c r="R66" i="2"/>
  <c r="AB66" i="2"/>
  <c r="R62" i="2"/>
  <c r="AB62" i="2"/>
  <c r="R58" i="2"/>
  <c r="AB58" i="2"/>
  <c r="AB54" i="2"/>
  <c r="R54" i="2"/>
  <c r="AB47" i="2"/>
  <c r="R47" i="2"/>
  <c r="R43" i="2"/>
  <c r="AB43" i="2"/>
  <c r="AB39" i="2"/>
  <c r="R39" i="2"/>
  <c r="R35" i="2"/>
  <c r="AB35" i="2"/>
  <c r="R31" i="2"/>
  <c r="AB31" i="2"/>
  <c r="R27" i="2"/>
  <c r="AB27" i="2"/>
  <c r="R23" i="2"/>
  <c r="AB23" i="2"/>
  <c r="R19" i="2"/>
  <c r="AB19" i="2"/>
  <c r="R15" i="2"/>
  <c r="AB15" i="2"/>
  <c r="R11" i="2"/>
  <c r="AB11" i="2"/>
  <c r="R7" i="2"/>
  <c r="AB7" i="2"/>
  <c r="R3" i="2"/>
  <c r="AB3" i="2"/>
  <c r="R81" i="2"/>
  <c r="AB81" i="2"/>
  <c r="R14" i="2"/>
  <c r="AB14" i="2"/>
  <c r="R97" i="2"/>
  <c r="AB97" i="2"/>
  <c r="R93" i="2"/>
  <c r="AB93" i="2"/>
  <c r="R89" i="2"/>
  <c r="AB89" i="2"/>
  <c r="R85" i="2"/>
  <c r="AB85" i="2"/>
  <c r="R77" i="2"/>
  <c r="AB77" i="2"/>
  <c r="R73" i="2"/>
  <c r="AB73" i="2"/>
  <c r="R69" i="2"/>
  <c r="AB69" i="2"/>
  <c r="R65" i="2"/>
  <c r="AB65" i="2"/>
  <c r="R61" i="2"/>
  <c r="AB61" i="2"/>
  <c r="R57" i="2"/>
  <c r="AB57" i="2"/>
  <c r="R53" i="2"/>
  <c r="AB53" i="2"/>
  <c r="R50" i="2"/>
  <c r="AB50" i="2"/>
  <c r="R46" i="2"/>
  <c r="AB46" i="2"/>
  <c r="R42" i="2"/>
  <c r="AB42" i="2"/>
  <c r="R38" i="2"/>
  <c r="AB38" i="2"/>
  <c r="R34" i="2"/>
  <c r="AB34" i="2"/>
  <c r="R30" i="2"/>
  <c r="AB30" i="2"/>
  <c r="R26" i="2"/>
  <c r="AB26" i="2"/>
  <c r="R22" i="2"/>
  <c r="AB22" i="2"/>
  <c r="R18" i="2"/>
  <c r="AB18" i="2"/>
  <c r="R10" i="2"/>
  <c r="AB10" i="2"/>
  <c r="R6" i="2"/>
  <c r="AB6" i="2"/>
  <c r="R96" i="2"/>
  <c r="AB96" i="2"/>
  <c r="R92" i="2"/>
  <c r="AB92" i="2"/>
  <c r="R88" i="2"/>
  <c r="AB88" i="2"/>
  <c r="R84" i="2"/>
  <c r="AB84" i="2"/>
  <c r="R80" i="2"/>
  <c r="AB80" i="2"/>
  <c r="R76" i="2"/>
  <c r="AB76" i="2"/>
  <c r="R72" i="2"/>
  <c r="AB72" i="2"/>
  <c r="R68" i="2"/>
  <c r="AB68" i="2"/>
  <c r="R64" i="2"/>
  <c r="AB64" i="2"/>
  <c r="R60" i="2"/>
  <c r="AB60" i="2"/>
  <c r="R56" i="2"/>
  <c r="AB56" i="2"/>
  <c r="R52" i="2"/>
  <c r="AB52" i="2"/>
  <c r="R49" i="2"/>
  <c r="AB49" i="2"/>
  <c r="R45" i="2"/>
  <c r="AB45" i="2"/>
  <c r="R41" i="2"/>
  <c r="AB41" i="2"/>
  <c r="R37" i="2"/>
  <c r="AB37" i="2"/>
  <c r="R33" i="2"/>
  <c r="AB33" i="2"/>
  <c r="R29" i="2"/>
  <c r="AB29" i="2"/>
  <c r="R25" i="2"/>
  <c r="AB25" i="2"/>
  <c r="R21" i="2"/>
  <c r="AB21" i="2"/>
  <c r="R17" i="2"/>
  <c r="AB17" i="2"/>
  <c r="R13" i="2"/>
  <c r="AB13" i="2"/>
  <c r="R9" i="2"/>
  <c r="AB9" i="2"/>
  <c r="R5" i="2"/>
  <c r="AB5" i="2"/>
  <c r="M2" i="6"/>
  <c r="BS2" i="2" s="1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3" i="12"/>
  <c r="A4" i="12"/>
  <c r="A5" i="12"/>
  <c r="A6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2" i="12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2" i="1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3" i="10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5" i="7"/>
  <c r="B36" i="7"/>
  <c r="B38" i="7"/>
  <c r="B39" i="7"/>
  <c r="B40" i="7"/>
  <c r="B41" i="7"/>
  <c r="B42" i="7"/>
  <c r="B43" i="7"/>
  <c r="B44" i="7"/>
  <c r="B46" i="7"/>
  <c r="B47" i="7"/>
  <c r="B48" i="7"/>
  <c r="B49" i="7"/>
  <c r="B50" i="7"/>
  <c r="B51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2" i="7"/>
  <c r="A3" i="7"/>
  <c r="A4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2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2" i="6"/>
  <c r="A3" i="6"/>
  <c r="A4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2" i="6"/>
  <c r="B9" i="2"/>
  <c r="B10" i="2"/>
  <c r="B17" i="2"/>
  <c r="B18" i="2"/>
  <c r="B25" i="2"/>
  <c r="B26" i="2"/>
  <c r="B33" i="2"/>
  <c r="B34" i="2"/>
  <c r="B41" i="2"/>
  <c r="B42" i="2"/>
  <c r="B49" i="2"/>
  <c r="B50" i="2"/>
  <c r="B56" i="2"/>
  <c r="B57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A9" i="2"/>
  <c r="A21" i="2"/>
  <c r="A25" i="2"/>
  <c r="A37" i="2"/>
  <c r="A41" i="2"/>
  <c r="A52" i="2"/>
  <c r="A56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B59" i="2"/>
  <c r="A59" i="2"/>
  <c r="B58" i="2"/>
  <c r="A58" i="2"/>
  <c r="A57" i="2"/>
  <c r="B55" i="2"/>
  <c r="A55" i="2"/>
  <c r="B54" i="2"/>
  <c r="A54" i="2"/>
  <c r="B53" i="2"/>
  <c r="A53" i="2"/>
  <c r="B52" i="2"/>
  <c r="B51" i="2"/>
  <c r="A51" i="2"/>
  <c r="A50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A42" i="2"/>
  <c r="B40" i="2"/>
  <c r="A40" i="2"/>
  <c r="B39" i="2"/>
  <c r="A39" i="2"/>
  <c r="B38" i="2"/>
  <c r="A38" i="2"/>
  <c r="B37" i="2"/>
  <c r="B36" i="2"/>
  <c r="A36" i="2"/>
  <c r="B35" i="2"/>
  <c r="A35" i="2"/>
  <c r="A34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A26" i="2"/>
  <c r="B24" i="2"/>
  <c r="A24" i="2"/>
  <c r="B23" i="2"/>
  <c r="A23" i="2"/>
  <c r="B22" i="2"/>
  <c r="A22" i="2"/>
  <c r="B21" i="2"/>
  <c r="B20" i="2"/>
  <c r="A20" i="2"/>
  <c r="B19" i="2"/>
  <c r="A19" i="2"/>
  <c r="A18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A10" i="2"/>
  <c r="B8" i="2"/>
  <c r="A8" i="2"/>
  <c r="B7" i="2"/>
  <c r="A7" i="2"/>
  <c r="B6" i="2"/>
  <c r="A6" i="2"/>
  <c r="B5" i="2"/>
  <c r="B4" i="2"/>
  <c r="A4" i="2"/>
  <c r="B3" i="2"/>
  <c r="A3" i="2"/>
  <c r="B2" i="2"/>
  <c r="A2" i="2"/>
  <c r="AN3" i="2" l="1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2" i="2"/>
  <c r="AI3" i="2"/>
  <c r="AL3" i="2"/>
  <c r="AI4" i="2"/>
  <c r="AL4" i="2"/>
  <c r="AI5" i="2"/>
  <c r="AL5" i="2"/>
  <c r="AI6" i="2"/>
  <c r="AL6" i="2"/>
  <c r="AI7" i="2"/>
  <c r="AL7" i="2"/>
  <c r="AI8" i="2"/>
  <c r="AL8" i="2"/>
  <c r="AI9" i="2"/>
  <c r="AL9" i="2"/>
  <c r="AI10" i="2"/>
  <c r="AL10" i="2"/>
  <c r="AI11" i="2"/>
  <c r="AL11" i="2"/>
  <c r="AI12" i="2"/>
  <c r="AL12" i="2"/>
  <c r="AI13" i="2"/>
  <c r="AL13" i="2"/>
  <c r="AI14" i="2"/>
  <c r="AL14" i="2"/>
  <c r="AI15" i="2"/>
  <c r="AL15" i="2"/>
  <c r="AI16" i="2"/>
  <c r="AL16" i="2"/>
  <c r="AI17" i="2"/>
  <c r="AL17" i="2"/>
  <c r="AI18" i="2"/>
  <c r="AL18" i="2"/>
  <c r="AI19" i="2"/>
  <c r="AL19" i="2"/>
  <c r="AI20" i="2"/>
  <c r="AL20" i="2"/>
  <c r="AI21" i="2"/>
  <c r="AL21" i="2"/>
  <c r="AI22" i="2"/>
  <c r="AL22" i="2"/>
  <c r="AI23" i="2"/>
  <c r="AL23" i="2"/>
  <c r="AI24" i="2"/>
  <c r="AL24" i="2"/>
  <c r="AI25" i="2"/>
  <c r="AL25" i="2"/>
  <c r="AI26" i="2"/>
  <c r="AL26" i="2"/>
  <c r="AI27" i="2"/>
  <c r="AL27" i="2"/>
  <c r="AI28" i="2"/>
  <c r="AL28" i="2"/>
  <c r="AI29" i="2"/>
  <c r="AL29" i="2"/>
  <c r="AI30" i="2"/>
  <c r="AL30" i="2"/>
  <c r="AI31" i="2"/>
  <c r="AL31" i="2"/>
  <c r="AI32" i="2"/>
  <c r="AL32" i="2"/>
  <c r="AI33" i="2"/>
  <c r="AL33" i="2"/>
  <c r="AI34" i="2"/>
  <c r="AL34" i="2"/>
  <c r="AI35" i="2"/>
  <c r="AL35" i="2"/>
  <c r="AI36" i="2"/>
  <c r="AL36" i="2"/>
  <c r="AI37" i="2"/>
  <c r="AL37" i="2"/>
  <c r="AI38" i="2"/>
  <c r="AL38" i="2"/>
  <c r="AI39" i="2"/>
  <c r="AL39" i="2"/>
  <c r="AI40" i="2"/>
  <c r="AL40" i="2"/>
  <c r="AI41" i="2"/>
  <c r="AL41" i="2"/>
  <c r="AI42" i="2"/>
  <c r="AL42" i="2"/>
  <c r="AI43" i="2"/>
  <c r="AL43" i="2"/>
  <c r="AI44" i="2"/>
  <c r="AL44" i="2"/>
  <c r="AI45" i="2"/>
  <c r="AL45" i="2"/>
  <c r="AI46" i="2"/>
  <c r="AL46" i="2"/>
  <c r="AI47" i="2"/>
  <c r="AL47" i="2"/>
  <c r="AI48" i="2"/>
  <c r="AL48" i="2"/>
  <c r="AI49" i="2"/>
  <c r="AI50" i="2"/>
  <c r="AL50" i="2"/>
  <c r="AI51" i="2"/>
  <c r="AL51" i="2"/>
  <c r="AI52" i="2"/>
  <c r="AL52" i="2"/>
  <c r="AI53" i="2"/>
  <c r="AL53" i="2"/>
  <c r="AI54" i="2"/>
  <c r="AL54" i="2"/>
  <c r="AI55" i="2"/>
  <c r="AL55" i="2"/>
  <c r="AI56" i="2"/>
  <c r="AL56" i="2"/>
  <c r="AI57" i="2"/>
  <c r="AL57" i="2"/>
  <c r="AI58" i="2"/>
  <c r="AL58" i="2"/>
  <c r="AI59" i="2"/>
  <c r="AI60" i="2"/>
  <c r="AL60" i="2"/>
  <c r="AI61" i="2"/>
  <c r="AL61" i="2"/>
  <c r="AI62" i="2"/>
  <c r="AL62" i="2"/>
  <c r="AI63" i="2"/>
  <c r="AL63" i="2"/>
  <c r="AI64" i="2"/>
  <c r="AL64" i="2"/>
  <c r="AI65" i="2"/>
  <c r="AL65" i="2"/>
  <c r="AI66" i="2"/>
  <c r="AL66" i="2"/>
  <c r="AI67" i="2"/>
  <c r="AL67" i="2"/>
  <c r="AI68" i="2"/>
  <c r="AL68" i="2"/>
  <c r="AI69" i="2"/>
  <c r="AL69" i="2"/>
  <c r="AI70" i="2"/>
  <c r="AL70" i="2"/>
  <c r="AI71" i="2"/>
  <c r="AL71" i="2"/>
  <c r="AI72" i="2"/>
  <c r="AL72" i="2"/>
  <c r="AI73" i="2"/>
  <c r="AL73" i="2"/>
  <c r="AI74" i="2"/>
  <c r="AL74" i="2"/>
  <c r="AI75" i="2"/>
  <c r="AL75" i="2"/>
  <c r="AI76" i="2"/>
  <c r="AL76" i="2"/>
  <c r="AI77" i="2"/>
  <c r="AL77" i="2"/>
  <c r="AI78" i="2"/>
  <c r="AL78" i="2"/>
  <c r="AI79" i="2"/>
  <c r="AL79" i="2"/>
  <c r="AI80" i="2"/>
  <c r="AL80" i="2"/>
  <c r="AI81" i="2"/>
  <c r="AL81" i="2"/>
  <c r="AI82" i="2"/>
  <c r="AL82" i="2"/>
  <c r="AI83" i="2"/>
  <c r="AL83" i="2"/>
  <c r="AI84" i="2"/>
  <c r="AL84" i="2"/>
  <c r="AI85" i="2"/>
  <c r="AL85" i="2"/>
  <c r="AI86" i="2"/>
  <c r="AL86" i="2"/>
  <c r="AI87" i="2"/>
  <c r="AL87" i="2"/>
  <c r="AI88" i="2"/>
  <c r="AL88" i="2"/>
  <c r="AI89" i="2"/>
  <c r="AL89" i="2"/>
  <c r="AI90" i="2"/>
  <c r="AL90" i="2"/>
  <c r="AI91" i="2"/>
  <c r="AL91" i="2"/>
  <c r="AI92" i="2"/>
  <c r="AL92" i="2"/>
  <c r="AI93" i="2"/>
  <c r="AL93" i="2"/>
  <c r="AI94" i="2"/>
  <c r="AL94" i="2"/>
  <c r="AI95" i="2"/>
  <c r="AL95" i="2"/>
  <c r="AI96" i="2"/>
  <c r="AL96" i="2"/>
  <c r="AI97" i="2"/>
  <c r="AL97" i="2"/>
  <c r="AI98" i="2"/>
  <c r="AL98" i="2"/>
  <c r="AI99" i="2"/>
  <c r="AL99" i="2"/>
  <c r="AI100" i="2"/>
  <c r="AL100" i="2"/>
  <c r="AI101" i="2"/>
  <c r="AL101" i="2"/>
  <c r="AI102" i="2"/>
  <c r="AL102" i="2"/>
  <c r="AI103" i="2"/>
  <c r="AL103" i="2"/>
  <c r="AI104" i="2"/>
  <c r="AL104" i="2"/>
  <c r="AI105" i="2"/>
  <c r="AL105" i="2"/>
  <c r="AI106" i="2"/>
  <c r="AL106" i="2"/>
  <c r="AI107" i="2"/>
  <c r="AL107" i="2"/>
  <c r="AI108" i="2"/>
  <c r="AL108" i="2"/>
  <c r="AI109" i="2"/>
  <c r="AL109" i="2"/>
  <c r="AI110" i="2"/>
  <c r="AL110" i="2"/>
  <c r="AI111" i="2"/>
  <c r="AL111" i="2"/>
  <c r="AI112" i="2"/>
  <c r="AL112" i="2"/>
  <c r="AI113" i="2"/>
  <c r="AL113" i="2"/>
  <c r="AI114" i="2"/>
  <c r="AL114" i="2"/>
  <c r="AI115" i="2"/>
  <c r="AL115" i="2"/>
  <c r="AI116" i="2"/>
  <c r="AL116" i="2"/>
  <c r="AI117" i="2"/>
  <c r="AL117" i="2"/>
  <c r="AI2" i="2"/>
  <c r="Q2" i="10"/>
  <c r="C2" i="10" l="1"/>
  <c r="D2" i="10"/>
  <c r="E2" i="10"/>
  <c r="F2" i="10"/>
  <c r="G2" i="10"/>
  <c r="H2" i="10"/>
  <c r="I2" i="10"/>
  <c r="J2" i="10"/>
  <c r="K2" i="10"/>
  <c r="L2" i="10"/>
  <c r="B2" i="10"/>
  <c r="M2" i="10"/>
  <c r="AG59" i="2" l="1"/>
  <c r="M59" i="2"/>
  <c r="W59" i="2"/>
  <c r="T59" i="2"/>
  <c r="AD59" i="2"/>
  <c r="O59" i="2"/>
  <c r="Y59" i="2"/>
  <c r="V59" i="2"/>
  <c r="AF59" i="2"/>
  <c r="S59" i="2"/>
  <c r="AC59" i="2"/>
  <c r="N59" i="2"/>
  <c r="X59" i="2"/>
  <c r="Q59" i="2"/>
  <c r="AA59" i="2"/>
  <c r="C2" i="2"/>
  <c r="U59" i="2"/>
  <c r="AE59" i="2"/>
  <c r="Z59" i="2"/>
  <c r="P59" i="2"/>
  <c r="CD2" i="2"/>
  <c r="AT8" i="2" l="1"/>
  <c r="AU8" i="2" s="1"/>
  <c r="AT16" i="2"/>
  <c r="AU16" i="2" s="1"/>
  <c r="AT24" i="2"/>
  <c r="AU24" i="2" s="1"/>
  <c r="AT32" i="2"/>
  <c r="AU32" i="2" s="1"/>
  <c r="AT40" i="2"/>
  <c r="AU40" i="2" s="1"/>
  <c r="AT48" i="2"/>
  <c r="AU48" i="2" s="1"/>
  <c r="AT55" i="2"/>
  <c r="AU55" i="2" s="1"/>
  <c r="AT63" i="2"/>
  <c r="AU63" i="2" s="1"/>
  <c r="AT71" i="2"/>
  <c r="AU71" i="2" s="1"/>
  <c r="AT79" i="2"/>
  <c r="AU79" i="2" s="1"/>
  <c r="AT87" i="2"/>
  <c r="AU87" i="2" s="1"/>
  <c r="AT95" i="2"/>
  <c r="AU95" i="2" s="1"/>
  <c r="AT103" i="2"/>
  <c r="AU103" i="2" s="1"/>
  <c r="AT111" i="2"/>
  <c r="AU111" i="2" s="1"/>
  <c r="AT59" i="2"/>
  <c r="AU59" i="2" s="1"/>
  <c r="AT68" i="2"/>
  <c r="AU68" i="2" s="1"/>
  <c r="AT80" i="2"/>
  <c r="AU80" i="2" s="1"/>
  <c r="AT91" i="2"/>
  <c r="AU91" i="2" s="1"/>
  <c r="AT4" i="2"/>
  <c r="AU4" i="2" s="1"/>
  <c r="AT20" i="2"/>
  <c r="AU20" i="2" s="1"/>
  <c r="AT36" i="2"/>
  <c r="AU36" i="2" s="1"/>
  <c r="AT51" i="2"/>
  <c r="AU51" i="2" s="1"/>
  <c r="AT60" i="2"/>
  <c r="AU60" i="2" s="1"/>
  <c r="AT72" i="2"/>
  <c r="AU72" i="2" s="1"/>
  <c r="AT83" i="2"/>
  <c r="AU83" i="2" s="1"/>
  <c r="AT115" i="2"/>
  <c r="AU115" i="2" s="1"/>
  <c r="AT64" i="2"/>
  <c r="AU64" i="2" s="1"/>
  <c r="AT75" i="2"/>
  <c r="AU75" i="2" s="1"/>
  <c r="AT84" i="2"/>
  <c r="AU84" i="2" s="1"/>
  <c r="AT107" i="2"/>
  <c r="AU107" i="2" s="1"/>
  <c r="AT12" i="2"/>
  <c r="AU12" i="2" s="1"/>
  <c r="AT67" i="2"/>
  <c r="AU67" i="2" s="1"/>
  <c r="AT108" i="2"/>
  <c r="AU108" i="2" s="1"/>
  <c r="AT44" i="2"/>
  <c r="AU44" i="2" s="1"/>
  <c r="AT28" i="2"/>
  <c r="AU28" i="2" s="1"/>
  <c r="AT76" i="2"/>
  <c r="AU76" i="2" s="1"/>
  <c r="AT88" i="2"/>
  <c r="AU88" i="2" s="1"/>
  <c r="AT99" i="2"/>
  <c r="AU99" i="2" s="1"/>
  <c r="AT56" i="2"/>
  <c r="AU56" i="2" s="1"/>
  <c r="AT54" i="2"/>
  <c r="AU54" i="2" s="1"/>
  <c r="AT49" i="2"/>
  <c r="AU49" i="2" s="1"/>
  <c r="AT5" i="2"/>
  <c r="AU5" i="2" s="1"/>
  <c r="AT41" i="2"/>
  <c r="AU41" i="2" s="1"/>
  <c r="AT21" i="2"/>
  <c r="AU21" i="2" s="1"/>
  <c r="AT116" i="2"/>
  <c r="AU116" i="2" s="1"/>
  <c r="AT52" i="2"/>
  <c r="AU52" i="2" s="1"/>
  <c r="AT15" i="2"/>
  <c r="AU15" i="2" s="1"/>
  <c r="AT11" i="2"/>
  <c r="AU11" i="2" s="1"/>
  <c r="AT114" i="2"/>
  <c r="AU114" i="2" s="1"/>
  <c r="AT94" i="2"/>
  <c r="AU94" i="2" s="1"/>
  <c r="AT58" i="2"/>
  <c r="AU58" i="2" s="1"/>
  <c r="AT31" i="2"/>
  <c r="AU31" i="2" s="1"/>
  <c r="AT17" i="2"/>
  <c r="AU17" i="2" s="1"/>
  <c r="AT112" i="2"/>
  <c r="AU112" i="2" s="1"/>
  <c r="AT47" i="2"/>
  <c r="AU47" i="2" s="1"/>
  <c r="AT19" i="2"/>
  <c r="AU19" i="2" s="1"/>
  <c r="AT35" i="2"/>
  <c r="AU35" i="2" s="1"/>
  <c r="AT92" i="2"/>
  <c r="AU92" i="2" s="1"/>
  <c r="AT37" i="2"/>
  <c r="AU37" i="2" s="1"/>
  <c r="AT27" i="2"/>
  <c r="AU27" i="2" s="1"/>
  <c r="AT106" i="2"/>
  <c r="AU106" i="2" s="1"/>
  <c r="AT98" i="2"/>
  <c r="AU98" i="2" s="1"/>
  <c r="AT86" i="2"/>
  <c r="AU86" i="2" s="1"/>
  <c r="AT74" i="2"/>
  <c r="AU74" i="2" s="1"/>
  <c r="AT66" i="2"/>
  <c r="AU66" i="2" s="1"/>
  <c r="AT23" i="2"/>
  <c r="AU23" i="2" s="1"/>
  <c r="AT45" i="2"/>
  <c r="AU45" i="2" s="1"/>
  <c r="AT29" i="2"/>
  <c r="AU29" i="2" s="1"/>
  <c r="AT25" i="2"/>
  <c r="AU25" i="2" s="1"/>
  <c r="AT9" i="2"/>
  <c r="AU9" i="2" s="1"/>
  <c r="AT110" i="2"/>
  <c r="AU110" i="2" s="1"/>
  <c r="AT102" i="2"/>
  <c r="AU102" i="2" s="1"/>
  <c r="AT100" i="2"/>
  <c r="AU100" i="2" s="1"/>
  <c r="AT82" i="2"/>
  <c r="AU82" i="2" s="1"/>
  <c r="AT78" i="2"/>
  <c r="AU78" i="2" s="1"/>
  <c r="AT105" i="2"/>
  <c r="AU105" i="2" s="1"/>
  <c r="AT89" i="2"/>
  <c r="AU89" i="2" s="1"/>
  <c r="AT73" i="2"/>
  <c r="AU73" i="2" s="1"/>
  <c r="AT57" i="2"/>
  <c r="AU57" i="2" s="1"/>
  <c r="AT42" i="2"/>
  <c r="AU42" i="2" s="1"/>
  <c r="AT26" i="2"/>
  <c r="AU26" i="2" s="1"/>
  <c r="AT10" i="2"/>
  <c r="AU10" i="2" s="1"/>
  <c r="AT14" i="2"/>
  <c r="AU14" i="2" s="1"/>
  <c r="AT104" i="2"/>
  <c r="AU104" i="2" s="1"/>
  <c r="AT43" i="2"/>
  <c r="AU43" i="2" s="1"/>
  <c r="AT13" i="2"/>
  <c r="AU13" i="2" s="1"/>
  <c r="AT117" i="2"/>
  <c r="AU117" i="2" s="1"/>
  <c r="AT70" i="2"/>
  <c r="AU70" i="2" s="1"/>
  <c r="AT101" i="2"/>
  <c r="AU101" i="2" s="1"/>
  <c r="AT85" i="2"/>
  <c r="AU85" i="2" s="1"/>
  <c r="AT69" i="2"/>
  <c r="AU69" i="2" s="1"/>
  <c r="AT53" i="2"/>
  <c r="AU53" i="2" s="1"/>
  <c r="AT38" i="2"/>
  <c r="AU38" i="2" s="1"/>
  <c r="AT22" i="2"/>
  <c r="AU22" i="2" s="1"/>
  <c r="AT6" i="2"/>
  <c r="AU6" i="2" s="1"/>
  <c r="AT96" i="2"/>
  <c r="AU96" i="2" s="1"/>
  <c r="AT39" i="2"/>
  <c r="AU39" i="2" s="1"/>
  <c r="AT109" i="2"/>
  <c r="AU109" i="2" s="1"/>
  <c r="AT93" i="2"/>
  <c r="AU93" i="2" s="1"/>
  <c r="AT77" i="2"/>
  <c r="AU77" i="2" s="1"/>
  <c r="AT46" i="2"/>
  <c r="AU46" i="2" s="1"/>
  <c r="AT30" i="2"/>
  <c r="AU30" i="2" s="1"/>
  <c r="AT33" i="2"/>
  <c r="AU33" i="2" s="1"/>
  <c r="AT7" i="2"/>
  <c r="AU7" i="2" s="1"/>
  <c r="AT90" i="2"/>
  <c r="AU90" i="2" s="1"/>
  <c r="AT113" i="2"/>
  <c r="AU113" i="2" s="1"/>
  <c r="AT97" i="2"/>
  <c r="AU97" i="2" s="1"/>
  <c r="AT81" i="2"/>
  <c r="AU81" i="2" s="1"/>
  <c r="AT65" i="2"/>
  <c r="AU65" i="2" s="1"/>
  <c r="AT50" i="2"/>
  <c r="AU50" i="2" s="1"/>
  <c r="AT34" i="2"/>
  <c r="AU34" i="2" s="1"/>
  <c r="AT18" i="2"/>
  <c r="AU18" i="2" s="1"/>
  <c r="AT62" i="2"/>
  <c r="AU62" i="2" s="1"/>
  <c r="AT61" i="2"/>
  <c r="AU61" i="2" s="1"/>
  <c r="AT3" i="2"/>
  <c r="AU3" i="2" s="1"/>
  <c r="AG41" i="2"/>
  <c r="AG96" i="2"/>
  <c r="AG22" i="2"/>
  <c r="AG57" i="2"/>
  <c r="AG89" i="2"/>
  <c r="AG4" i="2"/>
  <c r="AG12" i="2"/>
  <c r="AG20" i="2"/>
  <c r="AG28" i="2"/>
  <c r="AG36" i="2"/>
  <c r="AG44" i="2"/>
  <c r="AG51" i="2"/>
  <c r="AH59" i="2"/>
  <c r="AG83" i="2"/>
  <c r="AG9" i="2"/>
  <c r="AG29" i="2"/>
  <c r="AG49" i="2"/>
  <c r="AG64" i="2"/>
  <c r="AG84" i="2"/>
  <c r="AG30" i="2"/>
  <c r="AG53" i="2"/>
  <c r="AG81" i="2"/>
  <c r="AG26" i="2"/>
  <c r="AG93" i="2"/>
  <c r="AG7" i="2"/>
  <c r="AG23" i="2"/>
  <c r="AG39" i="2"/>
  <c r="AG54" i="2"/>
  <c r="AG70" i="2"/>
  <c r="AG86" i="2"/>
  <c r="AG63" i="2"/>
  <c r="AG75" i="2"/>
  <c r="AG13" i="2"/>
  <c r="AG33" i="2"/>
  <c r="AG88" i="2"/>
  <c r="AG18" i="2"/>
  <c r="AG85" i="2"/>
  <c r="AG17" i="2"/>
  <c r="AG68" i="2"/>
  <c r="AG38" i="2"/>
  <c r="AG73" i="2"/>
  <c r="AG61" i="2"/>
  <c r="AG15" i="2"/>
  <c r="AG31" i="2"/>
  <c r="AG47" i="2"/>
  <c r="AG62" i="2"/>
  <c r="AG78" i="2"/>
  <c r="AG94" i="2"/>
  <c r="AG87" i="2"/>
  <c r="AG52" i="2"/>
  <c r="AG72" i="2"/>
  <c r="AG50" i="2"/>
  <c r="AG10" i="2"/>
  <c r="AG42" i="2"/>
  <c r="AG77" i="2"/>
  <c r="AG3" i="2"/>
  <c r="AG11" i="2"/>
  <c r="AG19" i="2"/>
  <c r="AG27" i="2"/>
  <c r="AG35" i="2"/>
  <c r="AG43" i="2"/>
  <c r="AG58" i="2"/>
  <c r="AG66" i="2"/>
  <c r="AG74" i="2"/>
  <c r="AG82" i="2"/>
  <c r="AG90" i="2"/>
  <c r="AG98" i="2"/>
  <c r="AG71" i="2"/>
  <c r="AG79" i="2"/>
  <c r="AG95" i="2"/>
  <c r="AG25" i="2"/>
  <c r="AG45" i="2"/>
  <c r="AG60" i="2"/>
  <c r="AG80" i="2"/>
  <c r="AG6" i="2"/>
  <c r="AG34" i="2"/>
  <c r="AG65" i="2"/>
  <c r="AG97" i="2"/>
  <c r="AG8" i="2"/>
  <c r="AG16" i="2"/>
  <c r="AG24" i="2"/>
  <c r="AG32" i="2"/>
  <c r="AG40" i="2"/>
  <c r="AG48" i="2"/>
  <c r="AG55" i="2"/>
  <c r="AG67" i="2"/>
  <c r="AG91" i="2"/>
  <c r="AG5" i="2"/>
  <c r="AG21" i="2"/>
  <c r="AG37" i="2"/>
  <c r="AG56" i="2"/>
  <c r="AG76" i="2"/>
  <c r="AG92" i="2"/>
  <c r="AG14" i="2"/>
  <c r="AG46" i="2"/>
  <c r="AG69" i="2"/>
  <c r="V5" i="2"/>
  <c r="AF5" i="2"/>
  <c r="V13" i="2"/>
  <c r="AF13" i="2"/>
  <c r="V21" i="2"/>
  <c r="AF21" i="2"/>
  <c r="V29" i="2"/>
  <c r="AF29" i="2"/>
  <c r="AF37" i="2"/>
  <c r="V37" i="2"/>
  <c r="AF45" i="2"/>
  <c r="V45" i="2"/>
  <c r="AF52" i="2"/>
  <c r="V52" i="2"/>
  <c r="V60" i="2"/>
  <c r="AF60" i="2"/>
  <c r="V68" i="2"/>
  <c r="AF68" i="2"/>
  <c r="V76" i="2"/>
  <c r="AF76" i="2"/>
  <c r="V84" i="2"/>
  <c r="AF84" i="2"/>
  <c r="V92" i="2"/>
  <c r="AF92" i="2"/>
  <c r="N6" i="2"/>
  <c r="X6" i="2"/>
  <c r="O7" i="2"/>
  <c r="Y7" i="2"/>
  <c r="P8" i="2"/>
  <c r="Z8" i="2"/>
  <c r="Q9" i="2"/>
  <c r="AA9" i="2"/>
  <c r="S10" i="2"/>
  <c r="AC10" i="2"/>
  <c r="T11" i="2"/>
  <c r="AD11" i="2"/>
  <c r="U12" i="2"/>
  <c r="AE12" i="2"/>
  <c r="N14" i="2"/>
  <c r="X14" i="2"/>
  <c r="O15" i="2"/>
  <c r="Y15" i="2"/>
  <c r="P16" i="2"/>
  <c r="Z16" i="2"/>
  <c r="Q17" i="2"/>
  <c r="AA17" i="2"/>
  <c r="S18" i="2"/>
  <c r="AC18" i="2"/>
  <c r="T19" i="2"/>
  <c r="AD19" i="2"/>
  <c r="U20" i="2"/>
  <c r="AE20" i="2"/>
  <c r="N22" i="2"/>
  <c r="X22" i="2"/>
  <c r="O23" i="2"/>
  <c r="Y23" i="2"/>
  <c r="P24" i="2"/>
  <c r="Z24" i="2"/>
  <c r="Q25" i="2"/>
  <c r="AA25" i="2"/>
  <c r="S26" i="2"/>
  <c r="AC26" i="2"/>
  <c r="T27" i="2"/>
  <c r="AD27" i="2"/>
  <c r="U28" i="2"/>
  <c r="AE28" i="2"/>
  <c r="N30" i="2"/>
  <c r="X30" i="2"/>
  <c r="O31" i="2"/>
  <c r="Y31" i="2"/>
  <c r="P32" i="2"/>
  <c r="Z32" i="2"/>
  <c r="Q33" i="2"/>
  <c r="AA33" i="2"/>
  <c r="S34" i="2"/>
  <c r="AC34" i="2"/>
  <c r="T35" i="2"/>
  <c r="AD35" i="2"/>
  <c r="U36" i="2"/>
  <c r="AE36" i="2"/>
  <c r="N38" i="2"/>
  <c r="X38" i="2"/>
  <c r="O39" i="2"/>
  <c r="Y39" i="2"/>
  <c r="P40" i="2"/>
  <c r="Z40" i="2"/>
  <c r="Q41" i="2"/>
  <c r="AA41" i="2"/>
  <c r="S42" i="2"/>
  <c r="AC42" i="2"/>
  <c r="T43" i="2"/>
  <c r="AD43" i="2"/>
  <c r="U44" i="2"/>
  <c r="AE44" i="2"/>
  <c r="N46" i="2"/>
  <c r="X46" i="2"/>
  <c r="O47" i="2"/>
  <c r="Y47" i="2"/>
  <c r="P48" i="2"/>
  <c r="Z48" i="2"/>
  <c r="Q49" i="2"/>
  <c r="AA49" i="2"/>
  <c r="S50" i="2"/>
  <c r="AC50" i="2"/>
  <c r="U51" i="2"/>
  <c r="AE51" i="2"/>
  <c r="N53" i="2"/>
  <c r="X53" i="2"/>
  <c r="O54" i="2"/>
  <c r="Y54" i="2"/>
  <c r="P55" i="2"/>
  <c r="Z55" i="2"/>
  <c r="Q56" i="2"/>
  <c r="AA56" i="2"/>
  <c r="S57" i="2"/>
  <c r="AC57" i="2"/>
  <c r="T58" i="2"/>
  <c r="AD58" i="2"/>
  <c r="N61" i="2"/>
  <c r="X61" i="2"/>
  <c r="O62" i="2"/>
  <c r="Y62" i="2"/>
  <c r="P63" i="2"/>
  <c r="Z63" i="2"/>
  <c r="AA64" i="2"/>
  <c r="Q64" i="2"/>
  <c r="AC65" i="2"/>
  <c r="S65" i="2"/>
  <c r="T66" i="2"/>
  <c r="AD66" i="2"/>
  <c r="U67" i="2"/>
  <c r="AE67" i="2"/>
  <c r="N69" i="2"/>
  <c r="X69" i="2"/>
  <c r="O70" i="2"/>
  <c r="Y70" i="2"/>
  <c r="P71" i="2"/>
  <c r="Z71" i="2"/>
  <c r="AA72" i="2"/>
  <c r="Q72" i="2"/>
  <c r="AC73" i="2"/>
  <c r="S73" i="2"/>
  <c r="P75" i="2"/>
  <c r="Z75" i="2"/>
  <c r="N77" i="2"/>
  <c r="X77" i="2"/>
  <c r="P79" i="2"/>
  <c r="Z79" i="2"/>
  <c r="O82" i="2"/>
  <c r="Y82" i="2"/>
  <c r="O86" i="2"/>
  <c r="Y86" i="2"/>
  <c r="N89" i="2"/>
  <c r="X89" i="2"/>
  <c r="AC93" i="2"/>
  <c r="S93" i="2"/>
  <c r="O98" i="2"/>
  <c r="Y98" i="2"/>
  <c r="T2" i="2"/>
  <c r="AD2" i="2"/>
  <c r="M41" i="2"/>
  <c r="W41" i="2"/>
  <c r="W96" i="2"/>
  <c r="M96" i="2"/>
  <c r="S4" i="2"/>
  <c r="AC4" i="2"/>
  <c r="M22" i="2"/>
  <c r="W22" i="2"/>
  <c r="M57" i="2"/>
  <c r="W57" i="2"/>
  <c r="M89" i="2"/>
  <c r="W89" i="2"/>
  <c r="M67" i="2"/>
  <c r="W67" i="2"/>
  <c r="M91" i="2"/>
  <c r="W91" i="2"/>
  <c r="O78" i="2"/>
  <c r="Y78" i="2"/>
  <c r="AC81" i="2"/>
  <c r="S81" i="2"/>
  <c r="AA84" i="2"/>
  <c r="Q84" i="2"/>
  <c r="U87" i="2"/>
  <c r="AE87" i="2"/>
  <c r="P91" i="2"/>
  <c r="Z91" i="2"/>
  <c r="O94" i="2"/>
  <c r="Y94" i="2"/>
  <c r="AC97" i="2"/>
  <c r="S97" i="2"/>
  <c r="Q4" i="2"/>
  <c r="AA4" i="2"/>
  <c r="M5" i="2"/>
  <c r="W5" i="2"/>
  <c r="M21" i="2"/>
  <c r="W21" i="2"/>
  <c r="M37" i="2"/>
  <c r="W37" i="2"/>
  <c r="M56" i="2"/>
  <c r="W56" i="2"/>
  <c r="W76" i="2"/>
  <c r="M76" i="2"/>
  <c r="W92" i="2"/>
  <c r="M92" i="2"/>
  <c r="N4" i="2"/>
  <c r="X4" i="2"/>
  <c r="M14" i="2"/>
  <c r="W14" i="2"/>
  <c r="M46" i="2"/>
  <c r="W46" i="2"/>
  <c r="M69" i="2"/>
  <c r="W69" i="2"/>
  <c r="V10" i="2"/>
  <c r="AF10" i="2"/>
  <c r="V18" i="2"/>
  <c r="AF18" i="2"/>
  <c r="V26" i="2"/>
  <c r="AF26" i="2"/>
  <c r="V34" i="2"/>
  <c r="AF34" i="2"/>
  <c r="V42" i="2"/>
  <c r="AF42" i="2"/>
  <c r="V50" i="2"/>
  <c r="AF50" i="2"/>
  <c r="V57" i="2"/>
  <c r="AF57" i="2"/>
  <c r="V65" i="2"/>
  <c r="AF65" i="2"/>
  <c r="V73" i="2"/>
  <c r="AF73" i="2"/>
  <c r="V81" i="2"/>
  <c r="AF81" i="2"/>
  <c r="V89" i="2"/>
  <c r="AF89" i="2"/>
  <c r="V97" i="2"/>
  <c r="AF97" i="2"/>
  <c r="T6" i="2"/>
  <c r="AD6" i="2"/>
  <c r="U7" i="2"/>
  <c r="AE7" i="2"/>
  <c r="N9" i="2"/>
  <c r="X9" i="2"/>
  <c r="O10" i="2"/>
  <c r="Y10" i="2"/>
  <c r="P11" i="2"/>
  <c r="Z11" i="2"/>
  <c r="Q12" i="2"/>
  <c r="AA12" i="2"/>
  <c r="S13" i="2"/>
  <c r="AC13" i="2"/>
  <c r="T14" i="2"/>
  <c r="AD14" i="2"/>
  <c r="U15" i="2"/>
  <c r="AE15" i="2"/>
  <c r="N17" i="2"/>
  <c r="X17" i="2"/>
  <c r="O18" i="2"/>
  <c r="Y18" i="2"/>
  <c r="P19" i="2"/>
  <c r="Z19" i="2"/>
  <c r="Q20" i="2"/>
  <c r="AA20" i="2"/>
  <c r="S21" i="2"/>
  <c r="AC21" i="2"/>
  <c r="T22" i="2"/>
  <c r="AD22" i="2"/>
  <c r="U23" i="2"/>
  <c r="AE23" i="2"/>
  <c r="N25" i="2"/>
  <c r="X25" i="2"/>
  <c r="O26" i="2"/>
  <c r="Y26" i="2"/>
  <c r="P27" i="2"/>
  <c r="Z27" i="2"/>
  <c r="Q28" i="2"/>
  <c r="AA28" i="2"/>
  <c r="S29" i="2"/>
  <c r="AC29" i="2"/>
  <c r="T30" i="2"/>
  <c r="AD30" i="2"/>
  <c r="U31" i="2"/>
  <c r="AE31" i="2"/>
  <c r="N33" i="2"/>
  <c r="X33" i="2"/>
  <c r="O34" i="2"/>
  <c r="Y34" i="2"/>
  <c r="P35" i="2"/>
  <c r="Z35" i="2"/>
  <c r="Q36" i="2"/>
  <c r="AA36" i="2"/>
  <c r="S37" i="2"/>
  <c r="AC37" i="2"/>
  <c r="T38" i="2"/>
  <c r="AD38" i="2"/>
  <c r="U39" i="2"/>
  <c r="AE39" i="2"/>
  <c r="X41" i="2"/>
  <c r="N41" i="2"/>
  <c r="O42" i="2"/>
  <c r="Y42" i="2"/>
  <c r="P43" i="2"/>
  <c r="Z43" i="2"/>
  <c r="Q44" i="2"/>
  <c r="AA44" i="2"/>
  <c r="S45" i="2"/>
  <c r="AC45" i="2"/>
  <c r="T46" i="2"/>
  <c r="AD46" i="2"/>
  <c r="U47" i="2"/>
  <c r="AE47" i="2"/>
  <c r="X49" i="2"/>
  <c r="N49" i="2"/>
  <c r="O50" i="2"/>
  <c r="Y50" i="2"/>
  <c r="Q51" i="2"/>
  <c r="AA51" i="2"/>
  <c r="S52" i="2"/>
  <c r="AC52" i="2"/>
  <c r="T53" i="2"/>
  <c r="AD53" i="2"/>
  <c r="U54" i="2"/>
  <c r="AE54" i="2"/>
  <c r="X56" i="2"/>
  <c r="N56" i="2"/>
  <c r="O57" i="2"/>
  <c r="Y57" i="2"/>
  <c r="P58" i="2"/>
  <c r="Z58" i="2"/>
  <c r="S60" i="2"/>
  <c r="AC60" i="2"/>
  <c r="T61" i="2"/>
  <c r="AD61" i="2"/>
  <c r="AE62" i="2"/>
  <c r="U62" i="2"/>
  <c r="N64" i="2"/>
  <c r="X64" i="2"/>
  <c r="O65" i="2"/>
  <c r="Y65" i="2"/>
  <c r="P66" i="2"/>
  <c r="Z66" i="2"/>
  <c r="Q67" i="2"/>
  <c r="AA67" i="2"/>
  <c r="S68" i="2"/>
  <c r="AC68" i="2"/>
  <c r="T69" i="2"/>
  <c r="AD69" i="2"/>
  <c r="AE70" i="2"/>
  <c r="U70" i="2"/>
  <c r="N72" i="2"/>
  <c r="X72" i="2"/>
  <c r="Y73" i="2"/>
  <c r="O73" i="2"/>
  <c r="P74" i="2"/>
  <c r="Z74" i="2"/>
  <c r="Q75" i="2"/>
  <c r="AA75" i="2"/>
  <c r="S76" i="2"/>
  <c r="AC76" i="2"/>
  <c r="T77" i="2"/>
  <c r="AD77" i="2"/>
  <c r="AE78" i="2"/>
  <c r="U78" i="2"/>
  <c r="N80" i="2"/>
  <c r="X80" i="2"/>
  <c r="Y81" i="2"/>
  <c r="O81" i="2"/>
  <c r="P82" i="2"/>
  <c r="Z82" i="2"/>
  <c r="Q83" i="2"/>
  <c r="AA83" i="2"/>
  <c r="S84" i="2"/>
  <c r="AC84" i="2"/>
  <c r="T85" i="2"/>
  <c r="AD85" i="2"/>
  <c r="AE86" i="2"/>
  <c r="U86" i="2"/>
  <c r="N88" i="2"/>
  <c r="X88" i="2"/>
  <c r="Y89" i="2"/>
  <c r="O89" i="2"/>
  <c r="P90" i="2"/>
  <c r="Z90" i="2"/>
  <c r="Q91" i="2"/>
  <c r="AA91" i="2"/>
  <c r="S92" i="2"/>
  <c r="AC92" i="2"/>
  <c r="T93" i="2"/>
  <c r="AD93" i="2"/>
  <c r="AE94" i="2"/>
  <c r="U94" i="2"/>
  <c r="S96" i="2"/>
  <c r="AC96" i="2"/>
  <c r="AE98" i="2"/>
  <c r="U98" i="2"/>
  <c r="T5" i="2"/>
  <c r="AD5" i="2"/>
  <c r="M26" i="2"/>
  <c r="W26" i="2"/>
  <c r="M61" i="2"/>
  <c r="W61" i="2"/>
  <c r="M93" i="2"/>
  <c r="W93" i="2"/>
  <c r="V7" i="2"/>
  <c r="AF7" i="2"/>
  <c r="V15" i="2"/>
  <c r="AF15" i="2"/>
  <c r="V23" i="2"/>
  <c r="AF23" i="2"/>
  <c r="V31" i="2"/>
  <c r="AF31" i="2"/>
  <c r="V39" i="2"/>
  <c r="AF39" i="2"/>
  <c r="V47" i="2"/>
  <c r="AF47" i="2"/>
  <c r="V54" i="2"/>
  <c r="AF54" i="2"/>
  <c r="V62" i="2"/>
  <c r="AF62" i="2"/>
  <c r="V70" i="2"/>
  <c r="AF70" i="2"/>
  <c r="V78" i="2"/>
  <c r="AF78" i="2"/>
  <c r="V86" i="2"/>
  <c r="AF86" i="2"/>
  <c r="V94" i="2"/>
  <c r="AF94" i="2"/>
  <c r="P6" i="2"/>
  <c r="Z6" i="2"/>
  <c r="Q7" i="2"/>
  <c r="AA7" i="2"/>
  <c r="S8" i="2"/>
  <c r="AC8" i="2"/>
  <c r="T9" i="2"/>
  <c r="AD9" i="2"/>
  <c r="U10" i="2"/>
  <c r="AE10" i="2"/>
  <c r="N12" i="2"/>
  <c r="X12" i="2"/>
  <c r="O13" i="2"/>
  <c r="Y13" i="2"/>
  <c r="P14" i="2"/>
  <c r="Z14" i="2"/>
  <c r="Q15" i="2"/>
  <c r="AA15" i="2"/>
  <c r="S16" i="2"/>
  <c r="AC16" i="2"/>
  <c r="T17" i="2"/>
  <c r="AD17" i="2"/>
  <c r="U18" i="2"/>
  <c r="AE18" i="2"/>
  <c r="N20" i="2"/>
  <c r="X20" i="2"/>
  <c r="O21" i="2"/>
  <c r="Y21" i="2"/>
  <c r="P22" i="2"/>
  <c r="Z22" i="2"/>
  <c r="Q23" i="2"/>
  <c r="AA23" i="2"/>
  <c r="S24" i="2"/>
  <c r="AC24" i="2"/>
  <c r="T25" i="2"/>
  <c r="AD25" i="2"/>
  <c r="U26" i="2"/>
  <c r="AE26" i="2"/>
  <c r="N28" i="2"/>
  <c r="X28" i="2"/>
  <c r="O29" i="2"/>
  <c r="Y29" i="2"/>
  <c r="P30" i="2"/>
  <c r="Z30" i="2"/>
  <c r="Q31" i="2"/>
  <c r="AA31" i="2"/>
  <c r="S32" i="2"/>
  <c r="AC32" i="2"/>
  <c r="T33" i="2"/>
  <c r="AD33" i="2"/>
  <c r="U34" i="2"/>
  <c r="AE34" i="2"/>
  <c r="N36" i="2"/>
  <c r="X36" i="2"/>
  <c r="O37" i="2"/>
  <c r="Y37" i="2"/>
  <c r="P38" i="2"/>
  <c r="Z38" i="2"/>
  <c r="Q39" i="2"/>
  <c r="AA39" i="2"/>
  <c r="S40" i="2"/>
  <c r="AC40" i="2"/>
  <c r="T41" i="2"/>
  <c r="AD41" i="2"/>
  <c r="U42" i="2"/>
  <c r="AE42" i="2"/>
  <c r="N44" i="2"/>
  <c r="X44" i="2"/>
  <c r="O45" i="2"/>
  <c r="Y45" i="2"/>
  <c r="P46" i="2"/>
  <c r="Z46" i="2"/>
  <c r="Q47" i="2"/>
  <c r="AA47" i="2"/>
  <c r="S48" i="2"/>
  <c r="AC48" i="2"/>
  <c r="T49" i="2"/>
  <c r="AD49" i="2"/>
  <c r="U50" i="2"/>
  <c r="AE50" i="2"/>
  <c r="N51" i="2"/>
  <c r="X51" i="2"/>
  <c r="O52" i="2"/>
  <c r="Y52" i="2"/>
  <c r="P53" i="2"/>
  <c r="Z53" i="2"/>
  <c r="Q54" i="2"/>
  <c r="AA54" i="2"/>
  <c r="S55" i="2"/>
  <c r="AC55" i="2"/>
  <c r="T56" i="2"/>
  <c r="AD56" i="2"/>
  <c r="U57" i="2"/>
  <c r="AE57" i="2"/>
  <c r="O60" i="2"/>
  <c r="Y60" i="2"/>
  <c r="P61" i="2"/>
  <c r="Z61" i="2"/>
  <c r="AA62" i="2"/>
  <c r="Q62" i="2"/>
  <c r="S63" i="2"/>
  <c r="AC63" i="2"/>
  <c r="T64" i="2"/>
  <c r="AD64" i="2"/>
  <c r="U65" i="2"/>
  <c r="AE65" i="2"/>
  <c r="N67" i="2"/>
  <c r="X67" i="2"/>
  <c r="O68" i="2"/>
  <c r="Y68" i="2"/>
  <c r="P69" i="2"/>
  <c r="Z69" i="2"/>
  <c r="AA70" i="2"/>
  <c r="Q70" i="2"/>
  <c r="S71" i="2"/>
  <c r="AC71" i="2"/>
  <c r="T72" i="2"/>
  <c r="AD72" i="2"/>
  <c r="U73" i="2"/>
  <c r="AE73" i="2"/>
  <c r="N75" i="2"/>
  <c r="X75" i="2"/>
  <c r="O76" i="2"/>
  <c r="Y76" i="2"/>
  <c r="P77" i="2"/>
  <c r="Z77" i="2"/>
  <c r="AA78" i="2"/>
  <c r="Q78" i="2"/>
  <c r="AC79" i="2"/>
  <c r="S79" i="2"/>
  <c r="T80" i="2"/>
  <c r="AD80" i="2"/>
  <c r="U81" i="2"/>
  <c r="AE81" i="2"/>
  <c r="N83" i="2"/>
  <c r="X83" i="2"/>
  <c r="O84" i="2"/>
  <c r="Y84" i="2"/>
  <c r="P85" i="2"/>
  <c r="Z85" i="2"/>
  <c r="AA86" i="2"/>
  <c r="Q86" i="2"/>
  <c r="AC87" i="2"/>
  <c r="S87" i="2"/>
  <c r="T88" i="2"/>
  <c r="AD88" i="2"/>
  <c r="U89" i="2"/>
  <c r="AE89" i="2"/>
  <c r="N91" i="2"/>
  <c r="X91" i="2"/>
  <c r="O92" i="2"/>
  <c r="Y92" i="2"/>
  <c r="P93" i="2"/>
  <c r="Z93" i="2"/>
  <c r="AA94" i="2"/>
  <c r="Q94" i="2"/>
  <c r="AC95" i="2"/>
  <c r="S95" i="2"/>
  <c r="T96" i="2"/>
  <c r="AD96" i="2"/>
  <c r="U97" i="2"/>
  <c r="AE97" i="2"/>
  <c r="N3" i="2"/>
  <c r="X3" i="2"/>
  <c r="O4" i="2"/>
  <c r="Y4" i="2"/>
  <c r="P5" i="2"/>
  <c r="Z5" i="2"/>
  <c r="Q2" i="2"/>
  <c r="AA2" i="2"/>
  <c r="M7" i="2"/>
  <c r="W7" i="2"/>
  <c r="M15" i="2"/>
  <c r="W15" i="2"/>
  <c r="M23" i="2"/>
  <c r="W23" i="2"/>
  <c r="M31" i="2"/>
  <c r="W31" i="2"/>
  <c r="M39" i="2"/>
  <c r="W39" i="2"/>
  <c r="M47" i="2"/>
  <c r="W47" i="2"/>
  <c r="M54" i="2"/>
  <c r="W54" i="2"/>
  <c r="W62" i="2"/>
  <c r="M62" i="2"/>
  <c r="M70" i="2"/>
  <c r="W70" i="2"/>
  <c r="M78" i="2"/>
  <c r="W78" i="2"/>
  <c r="W86" i="2"/>
  <c r="M86" i="2"/>
  <c r="W94" i="2"/>
  <c r="M94" i="2"/>
  <c r="M63" i="2"/>
  <c r="W63" i="2"/>
  <c r="M75" i="2"/>
  <c r="W75" i="2"/>
  <c r="M87" i="2"/>
  <c r="W87" i="2"/>
  <c r="T74" i="2"/>
  <c r="AD74" i="2"/>
  <c r="N81" i="2"/>
  <c r="X81" i="2"/>
  <c r="N85" i="2"/>
  <c r="X85" i="2"/>
  <c r="AA88" i="2"/>
  <c r="Q88" i="2"/>
  <c r="T90" i="2"/>
  <c r="AD90" i="2"/>
  <c r="T94" i="2"/>
  <c r="AD94" i="2"/>
  <c r="N97" i="2"/>
  <c r="X97" i="2"/>
  <c r="N5" i="2"/>
  <c r="X5" i="2"/>
  <c r="M13" i="2"/>
  <c r="W13" i="2"/>
  <c r="M33" i="2"/>
  <c r="W33" i="2"/>
  <c r="M52" i="2"/>
  <c r="W52" i="2"/>
  <c r="W72" i="2"/>
  <c r="M72" i="2"/>
  <c r="W88" i="2"/>
  <c r="M88" i="2"/>
  <c r="O5" i="2"/>
  <c r="Y5" i="2"/>
  <c r="M18" i="2"/>
  <c r="W18" i="2"/>
  <c r="M50" i="2"/>
  <c r="W50" i="2"/>
  <c r="M85" i="2"/>
  <c r="W85" i="2"/>
  <c r="V4" i="2"/>
  <c r="AF4" i="2"/>
  <c r="V12" i="2"/>
  <c r="AF12" i="2"/>
  <c r="V20" i="2"/>
  <c r="AF20" i="2"/>
  <c r="V28" i="2"/>
  <c r="AF28" i="2"/>
  <c r="V36" i="2"/>
  <c r="AF36" i="2"/>
  <c r="V44" i="2"/>
  <c r="AF44" i="2"/>
  <c r="V51" i="2"/>
  <c r="AF51" i="2"/>
  <c r="V67" i="2"/>
  <c r="AF67" i="2"/>
  <c r="V75" i="2"/>
  <c r="AF75" i="2"/>
  <c r="V83" i="2"/>
  <c r="AF83" i="2"/>
  <c r="V91" i="2"/>
  <c r="AF91" i="2"/>
  <c r="AF2" i="2"/>
  <c r="V2" i="2"/>
  <c r="N7" i="2"/>
  <c r="X7" i="2"/>
  <c r="O8" i="2"/>
  <c r="Y8" i="2"/>
  <c r="P9" i="2"/>
  <c r="Z9" i="2"/>
  <c r="Q10" i="2"/>
  <c r="AA10" i="2"/>
  <c r="S11" i="2"/>
  <c r="AC11" i="2"/>
  <c r="T12" i="2"/>
  <c r="AD12" i="2"/>
  <c r="U13" i="2"/>
  <c r="AE13" i="2"/>
  <c r="N15" i="2"/>
  <c r="X15" i="2"/>
  <c r="O16" i="2"/>
  <c r="Y16" i="2"/>
  <c r="P17" i="2"/>
  <c r="Z17" i="2"/>
  <c r="Q18" i="2"/>
  <c r="AA18" i="2"/>
  <c r="S19" i="2"/>
  <c r="AC19" i="2"/>
  <c r="T20" i="2"/>
  <c r="AD20" i="2"/>
  <c r="U21" i="2"/>
  <c r="AE21" i="2"/>
  <c r="N23" i="2"/>
  <c r="X23" i="2"/>
  <c r="O24" i="2"/>
  <c r="Y24" i="2"/>
  <c r="P25" i="2"/>
  <c r="Z25" i="2"/>
  <c r="Q26" i="2"/>
  <c r="AA26" i="2"/>
  <c r="S27" i="2"/>
  <c r="AC27" i="2"/>
  <c r="T28" i="2"/>
  <c r="AD28" i="2"/>
  <c r="U29" i="2"/>
  <c r="AE29" i="2"/>
  <c r="N31" i="2"/>
  <c r="X31" i="2"/>
  <c r="O32" i="2"/>
  <c r="Y32" i="2"/>
  <c r="P33" i="2"/>
  <c r="Z33" i="2"/>
  <c r="Q34" i="2"/>
  <c r="AA34" i="2"/>
  <c r="S35" i="2"/>
  <c r="AC35" i="2"/>
  <c r="T36" i="2"/>
  <c r="AD36" i="2"/>
  <c r="U37" i="2"/>
  <c r="AE37" i="2"/>
  <c r="N39" i="2"/>
  <c r="X39" i="2"/>
  <c r="O40" i="2"/>
  <c r="Y40" i="2"/>
  <c r="P41" i="2"/>
  <c r="Z41" i="2"/>
  <c r="Q42" i="2"/>
  <c r="AA42" i="2"/>
  <c r="S43" i="2"/>
  <c r="AC43" i="2"/>
  <c r="T44" i="2"/>
  <c r="AD44" i="2"/>
  <c r="U45" i="2"/>
  <c r="AE45" i="2"/>
  <c r="N47" i="2"/>
  <c r="X47" i="2"/>
  <c r="O48" i="2"/>
  <c r="Y48" i="2"/>
  <c r="P49" i="2"/>
  <c r="Z49" i="2"/>
  <c r="Q50" i="2"/>
  <c r="AA50" i="2"/>
  <c r="T51" i="2"/>
  <c r="AD51" i="2"/>
  <c r="U52" i="2"/>
  <c r="AE52" i="2"/>
  <c r="N54" i="2"/>
  <c r="X54" i="2"/>
  <c r="O55" i="2"/>
  <c r="Y55" i="2"/>
  <c r="P56" i="2"/>
  <c r="Z56" i="2"/>
  <c r="Q57" i="2"/>
  <c r="AA57" i="2"/>
  <c r="S58" i="2"/>
  <c r="AC58" i="2"/>
  <c r="U60" i="2"/>
  <c r="AE60" i="2"/>
  <c r="N62" i="2"/>
  <c r="X62" i="2"/>
  <c r="Y63" i="2"/>
  <c r="O63" i="2"/>
  <c r="P64" i="2"/>
  <c r="Z64" i="2"/>
  <c r="Q65" i="2"/>
  <c r="AA65" i="2"/>
  <c r="S66" i="2"/>
  <c r="AC66" i="2"/>
  <c r="T67" i="2"/>
  <c r="AD67" i="2"/>
  <c r="AE68" i="2"/>
  <c r="U68" i="2"/>
  <c r="N70" i="2"/>
  <c r="X70" i="2"/>
  <c r="Y71" i="2"/>
  <c r="O71" i="2"/>
  <c r="P72" i="2"/>
  <c r="Z72" i="2"/>
  <c r="Q73" i="2"/>
  <c r="AA73" i="2"/>
  <c r="S74" i="2"/>
  <c r="AC74" i="2"/>
  <c r="T75" i="2"/>
  <c r="AD75" i="2"/>
  <c r="AE76" i="2"/>
  <c r="U76" i="2"/>
  <c r="N78" i="2"/>
  <c r="X78" i="2"/>
  <c r="Y79" i="2"/>
  <c r="O79" i="2"/>
  <c r="P80" i="2"/>
  <c r="Z80" i="2"/>
  <c r="Q81" i="2"/>
  <c r="AA81" i="2"/>
  <c r="S82" i="2"/>
  <c r="AC82" i="2"/>
  <c r="T83" i="2"/>
  <c r="AD83" i="2"/>
  <c r="AE84" i="2"/>
  <c r="U84" i="2"/>
  <c r="N86" i="2"/>
  <c r="X86" i="2"/>
  <c r="Y87" i="2"/>
  <c r="O87" i="2"/>
  <c r="P88" i="2"/>
  <c r="Z88" i="2"/>
  <c r="Q89" i="2"/>
  <c r="AA89" i="2"/>
  <c r="S90" i="2"/>
  <c r="AC90" i="2"/>
  <c r="T91" i="2"/>
  <c r="AD91" i="2"/>
  <c r="AE92" i="2"/>
  <c r="U92" i="2"/>
  <c r="N94" i="2"/>
  <c r="X94" i="2"/>
  <c r="Y95" i="2"/>
  <c r="O95" i="2"/>
  <c r="P96" i="2"/>
  <c r="Z96" i="2"/>
  <c r="Q97" i="2"/>
  <c r="AA97" i="2"/>
  <c r="S98" i="2"/>
  <c r="AC98" i="2"/>
  <c r="T3" i="2"/>
  <c r="AD3" i="2"/>
  <c r="U4" i="2"/>
  <c r="AE4" i="2"/>
  <c r="U2" i="2"/>
  <c r="AE2" i="2"/>
  <c r="M4" i="2"/>
  <c r="W4" i="2"/>
  <c r="M12" i="2"/>
  <c r="W12" i="2"/>
  <c r="M20" i="2"/>
  <c r="W20" i="2"/>
  <c r="M28" i="2"/>
  <c r="W28" i="2"/>
  <c r="M36" i="2"/>
  <c r="W36" i="2"/>
  <c r="M44" i="2"/>
  <c r="W44" i="2"/>
  <c r="M51" i="2"/>
  <c r="W51" i="2"/>
  <c r="V9" i="2"/>
  <c r="AF9" i="2"/>
  <c r="V17" i="2"/>
  <c r="AF17" i="2"/>
  <c r="V25" i="2"/>
  <c r="AF25" i="2"/>
  <c r="V33" i="2"/>
  <c r="AF33" i="2"/>
  <c r="V41" i="2"/>
  <c r="AF41" i="2"/>
  <c r="V49" i="2"/>
  <c r="AF49" i="2"/>
  <c r="V56" i="2"/>
  <c r="AF56" i="2"/>
  <c r="V64" i="2"/>
  <c r="AF64" i="2"/>
  <c r="V72" i="2"/>
  <c r="AF72" i="2"/>
  <c r="V80" i="2"/>
  <c r="AF80" i="2"/>
  <c r="V88" i="2"/>
  <c r="AF88" i="2"/>
  <c r="V96" i="2"/>
  <c r="AF96" i="2"/>
  <c r="S6" i="2"/>
  <c r="AC6" i="2"/>
  <c r="T7" i="2"/>
  <c r="AD7" i="2"/>
  <c r="U8" i="2"/>
  <c r="AE8" i="2"/>
  <c r="N10" i="2"/>
  <c r="X10" i="2"/>
  <c r="O11" i="2"/>
  <c r="Y11" i="2"/>
  <c r="P12" i="2"/>
  <c r="Z12" i="2"/>
  <c r="Q13" i="2"/>
  <c r="AA13" i="2"/>
  <c r="S14" i="2"/>
  <c r="AC14" i="2"/>
  <c r="T15" i="2"/>
  <c r="AD15" i="2"/>
  <c r="U16" i="2"/>
  <c r="AE16" i="2"/>
  <c r="N18" i="2"/>
  <c r="X18" i="2"/>
  <c r="O19" i="2"/>
  <c r="Y19" i="2"/>
  <c r="P20" i="2"/>
  <c r="Z20" i="2"/>
  <c r="Q21" i="2"/>
  <c r="AA21" i="2"/>
  <c r="S22" i="2"/>
  <c r="AC22" i="2"/>
  <c r="T23" i="2"/>
  <c r="AD23" i="2"/>
  <c r="U24" i="2"/>
  <c r="AE24" i="2"/>
  <c r="N26" i="2"/>
  <c r="X26" i="2"/>
  <c r="O27" i="2"/>
  <c r="Y27" i="2"/>
  <c r="P28" i="2"/>
  <c r="Z28" i="2"/>
  <c r="Q29" i="2"/>
  <c r="AA29" i="2"/>
  <c r="S30" i="2"/>
  <c r="AC30" i="2"/>
  <c r="T31" i="2"/>
  <c r="AD31" i="2"/>
  <c r="U32" i="2"/>
  <c r="AE32" i="2"/>
  <c r="N34" i="2"/>
  <c r="X34" i="2"/>
  <c r="O35" i="2"/>
  <c r="Y35" i="2"/>
  <c r="P36" i="2"/>
  <c r="Z36" i="2"/>
  <c r="Q37" i="2"/>
  <c r="AA37" i="2"/>
  <c r="S38" i="2"/>
  <c r="AC38" i="2"/>
  <c r="T39" i="2"/>
  <c r="AD39" i="2"/>
  <c r="U40" i="2"/>
  <c r="N42" i="2"/>
  <c r="X42" i="2"/>
  <c r="O43" i="2"/>
  <c r="Y43" i="2"/>
  <c r="Z44" i="2"/>
  <c r="P44" i="2"/>
  <c r="Q45" i="2"/>
  <c r="AA45" i="2"/>
  <c r="S46" i="2"/>
  <c r="AC46" i="2"/>
  <c r="T47" i="2"/>
  <c r="AD47" i="2"/>
  <c r="U48" i="2"/>
  <c r="AE48" i="2"/>
  <c r="N50" i="2"/>
  <c r="X50" i="2"/>
  <c r="Z51" i="2"/>
  <c r="P51" i="2"/>
  <c r="Q52" i="2"/>
  <c r="AA52" i="2"/>
  <c r="S53" i="2"/>
  <c r="AC53" i="2"/>
  <c r="T54" i="2"/>
  <c r="AD54" i="2"/>
  <c r="U55" i="2"/>
  <c r="AE55" i="2"/>
  <c r="N57" i="2"/>
  <c r="X57" i="2"/>
  <c r="O58" i="2"/>
  <c r="Y58" i="2"/>
  <c r="Q60" i="2"/>
  <c r="AA60" i="2"/>
  <c r="AC61" i="2"/>
  <c r="S61" i="2"/>
  <c r="T62" i="2"/>
  <c r="AD62" i="2"/>
  <c r="U63" i="2"/>
  <c r="AE63" i="2"/>
  <c r="N65" i="2"/>
  <c r="X65" i="2"/>
  <c r="O66" i="2"/>
  <c r="Y66" i="2"/>
  <c r="P67" i="2"/>
  <c r="Z67" i="2"/>
  <c r="AA68" i="2"/>
  <c r="Q68" i="2"/>
  <c r="AC69" i="2"/>
  <c r="S69" i="2"/>
  <c r="T70" i="2"/>
  <c r="AD70" i="2"/>
  <c r="U71" i="2"/>
  <c r="AE71" i="2"/>
  <c r="N73" i="2"/>
  <c r="X73" i="2"/>
  <c r="O74" i="2"/>
  <c r="Y74" i="2"/>
  <c r="Q76" i="2"/>
  <c r="AA76" i="2"/>
  <c r="AC77" i="2"/>
  <c r="S77" i="2"/>
  <c r="AA80" i="2"/>
  <c r="Q80" i="2"/>
  <c r="U83" i="2"/>
  <c r="AE83" i="2"/>
  <c r="P87" i="2"/>
  <c r="Z87" i="2"/>
  <c r="U91" i="2"/>
  <c r="AE91" i="2"/>
  <c r="P95" i="2"/>
  <c r="Z95" i="2"/>
  <c r="U3" i="2"/>
  <c r="AE3" i="2"/>
  <c r="M17" i="2"/>
  <c r="W17" i="2"/>
  <c r="W68" i="2"/>
  <c r="M68" i="2"/>
  <c r="T97" i="2"/>
  <c r="AD97" i="2"/>
  <c r="X2" i="2"/>
  <c r="N2" i="2"/>
  <c r="M38" i="2"/>
  <c r="W38" i="2"/>
  <c r="M73" i="2"/>
  <c r="W73" i="2"/>
  <c r="AG2" i="2"/>
  <c r="M83" i="2"/>
  <c r="W83" i="2"/>
  <c r="U75" i="2"/>
  <c r="AE75" i="2"/>
  <c r="U79" i="2"/>
  <c r="AE79" i="2"/>
  <c r="P83" i="2"/>
  <c r="Z83" i="2"/>
  <c r="AC85" i="2"/>
  <c r="S85" i="2"/>
  <c r="AC89" i="2"/>
  <c r="S89" i="2"/>
  <c r="N93" i="2"/>
  <c r="X93" i="2"/>
  <c r="AA96" i="2"/>
  <c r="Q96" i="2"/>
  <c r="P3" i="2"/>
  <c r="Z3" i="2"/>
  <c r="S5" i="2"/>
  <c r="AC5" i="2"/>
  <c r="M9" i="2"/>
  <c r="W9" i="2"/>
  <c r="M29" i="2"/>
  <c r="W29" i="2"/>
  <c r="M49" i="2"/>
  <c r="W49" i="2"/>
  <c r="W64" i="2"/>
  <c r="M64" i="2"/>
  <c r="W84" i="2"/>
  <c r="M84" i="2"/>
  <c r="Y97" i="2"/>
  <c r="O97" i="2"/>
  <c r="S2" i="2"/>
  <c r="AC2" i="2"/>
  <c r="M30" i="2"/>
  <c r="W30" i="2"/>
  <c r="M53" i="2"/>
  <c r="W53" i="2"/>
  <c r="M81" i="2"/>
  <c r="W81" i="2"/>
  <c r="V6" i="2"/>
  <c r="AF6" i="2"/>
  <c r="V14" i="2"/>
  <c r="AF14" i="2"/>
  <c r="V22" i="2"/>
  <c r="AF22" i="2"/>
  <c r="V30" i="2"/>
  <c r="AF30" i="2"/>
  <c r="V38" i="2"/>
  <c r="AF38" i="2"/>
  <c r="V46" i="2"/>
  <c r="AF46" i="2"/>
  <c r="V53" i="2"/>
  <c r="AF53" i="2"/>
  <c r="V61" i="2"/>
  <c r="AF61" i="2"/>
  <c r="V69" i="2"/>
  <c r="AF69" i="2"/>
  <c r="V77" i="2"/>
  <c r="AF77" i="2"/>
  <c r="V85" i="2"/>
  <c r="AF85" i="2"/>
  <c r="V93" i="2"/>
  <c r="AF93" i="2"/>
  <c r="O6" i="2"/>
  <c r="Y6" i="2"/>
  <c r="P7" i="2"/>
  <c r="Z7" i="2"/>
  <c r="Q8" i="2"/>
  <c r="AA8" i="2"/>
  <c r="S9" i="2"/>
  <c r="AC9" i="2"/>
  <c r="T10" i="2"/>
  <c r="AD10" i="2"/>
  <c r="U11" i="2"/>
  <c r="AE11" i="2"/>
  <c r="N13" i="2"/>
  <c r="X13" i="2"/>
  <c r="O14" i="2"/>
  <c r="Y14" i="2"/>
  <c r="P15" i="2"/>
  <c r="Z15" i="2"/>
  <c r="Q16" i="2"/>
  <c r="AA16" i="2"/>
  <c r="S17" i="2"/>
  <c r="AC17" i="2"/>
  <c r="T18" i="2"/>
  <c r="AD18" i="2"/>
  <c r="U19" i="2"/>
  <c r="AE19" i="2"/>
  <c r="N21" i="2"/>
  <c r="X21" i="2"/>
  <c r="O22" i="2"/>
  <c r="Y22" i="2"/>
  <c r="P23" i="2"/>
  <c r="Z23" i="2"/>
  <c r="Q24" i="2"/>
  <c r="AA24" i="2"/>
  <c r="S25" i="2"/>
  <c r="AC25" i="2"/>
  <c r="T26" i="2"/>
  <c r="AD26" i="2"/>
  <c r="U27" i="2"/>
  <c r="AE27" i="2"/>
  <c r="N29" i="2"/>
  <c r="X29" i="2"/>
  <c r="O30" i="2"/>
  <c r="Y30" i="2"/>
  <c r="P31" i="2"/>
  <c r="Z31" i="2"/>
  <c r="Q32" i="2"/>
  <c r="AA32" i="2"/>
  <c r="S33" i="2"/>
  <c r="AC33" i="2"/>
  <c r="T34" i="2"/>
  <c r="AD34" i="2"/>
  <c r="U35" i="2"/>
  <c r="AE35" i="2"/>
  <c r="N37" i="2"/>
  <c r="X37" i="2"/>
  <c r="O38" i="2"/>
  <c r="Y38" i="2"/>
  <c r="P39" i="2"/>
  <c r="Z39" i="2"/>
  <c r="Q40" i="2"/>
  <c r="AA40" i="2"/>
  <c r="S41" i="2"/>
  <c r="AC41" i="2"/>
  <c r="AD42" i="2"/>
  <c r="T42" i="2"/>
  <c r="U43" i="2"/>
  <c r="AE43" i="2"/>
  <c r="N45" i="2"/>
  <c r="X45" i="2"/>
  <c r="O46" i="2"/>
  <c r="Y46" i="2"/>
  <c r="P47" i="2"/>
  <c r="Z47" i="2"/>
  <c r="Q48" i="2"/>
  <c r="AA48" i="2"/>
  <c r="S49" i="2"/>
  <c r="AC49" i="2"/>
  <c r="AD50" i="2"/>
  <c r="T50" i="2"/>
  <c r="N52" i="2"/>
  <c r="X52" i="2"/>
  <c r="O53" i="2"/>
  <c r="Y53" i="2"/>
  <c r="P54" i="2"/>
  <c r="Z54" i="2"/>
  <c r="Q55" i="2"/>
  <c r="AA55" i="2"/>
  <c r="S56" i="2"/>
  <c r="AC56" i="2"/>
  <c r="AD57" i="2"/>
  <c r="T57" i="2"/>
  <c r="U58" i="2"/>
  <c r="AE58" i="2"/>
  <c r="N60" i="2"/>
  <c r="X60" i="2"/>
  <c r="O61" i="2"/>
  <c r="Y61" i="2"/>
  <c r="P62" i="2"/>
  <c r="Z62" i="2"/>
  <c r="Q63" i="2"/>
  <c r="AA63" i="2"/>
  <c r="S64" i="2"/>
  <c r="AC64" i="2"/>
  <c r="T65" i="2"/>
  <c r="AD65" i="2"/>
  <c r="AE66" i="2"/>
  <c r="U66" i="2"/>
  <c r="N68" i="2"/>
  <c r="X68" i="2"/>
  <c r="Y69" i="2"/>
  <c r="O69" i="2"/>
  <c r="P70" i="2"/>
  <c r="Z70" i="2"/>
  <c r="Q71" i="2"/>
  <c r="AA71" i="2"/>
  <c r="S72" i="2"/>
  <c r="AC72" i="2"/>
  <c r="T73" i="2"/>
  <c r="AD73" i="2"/>
  <c r="AE74" i="2"/>
  <c r="U74" i="2"/>
  <c r="N76" i="2"/>
  <c r="X76" i="2"/>
  <c r="Y77" i="2"/>
  <c r="O77" i="2"/>
  <c r="P78" i="2"/>
  <c r="Z78" i="2"/>
  <c r="Q79" i="2"/>
  <c r="AA79" i="2"/>
  <c r="S80" i="2"/>
  <c r="AC80" i="2"/>
  <c r="T81" i="2"/>
  <c r="AD81" i="2"/>
  <c r="AE82" i="2"/>
  <c r="U82" i="2"/>
  <c r="N84" i="2"/>
  <c r="X84" i="2"/>
  <c r="Y85" i="2"/>
  <c r="O85" i="2"/>
  <c r="P86" i="2"/>
  <c r="Z86" i="2"/>
  <c r="Q87" i="2"/>
  <c r="AA87" i="2"/>
  <c r="S88" i="2"/>
  <c r="AC88" i="2"/>
  <c r="T89" i="2"/>
  <c r="AD89" i="2"/>
  <c r="AE90" i="2"/>
  <c r="U90" i="2"/>
  <c r="N92" i="2"/>
  <c r="X92" i="2"/>
  <c r="Y93" i="2"/>
  <c r="O93" i="2"/>
  <c r="P94" i="2"/>
  <c r="Z94" i="2"/>
  <c r="Q95" i="2"/>
  <c r="AA95" i="2"/>
  <c r="P98" i="2"/>
  <c r="Z98" i="2"/>
  <c r="Q3" i="2"/>
  <c r="AA3" i="2"/>
  <c r="M10" i="2"/>
  <c r="W10" i="2"/>
  <c r="M42" i="2"/>
  <c r="W42" i="2"/>
  <c r="M77" i="2"/>
  <c r="W77" i="2"/>
  <c r="V3" i="2"/>
  <c r="AF3" i="2"/>
  <c r="V11" i="2"/>
  <c r="AF11" i="2"/>
  <c r="V19" i="2"/>
  <c r="AF19" i="2"/>
  <c r="V27" i="2"/>
  <c r="AF27" i="2"/>
  <c r="V35" i="2"/>
  <c r="AF35" i="2"/>
  <c r="V43" i="2"/>
  <c r="AF43" i="2"/>
  <c r="V58" i="2"/>
  <c r="AF58" i="2"/>
  <c r="V66" i="2"/>
  <c r="AF66" i="2"/>
  <c r="V74" i="2"/>
  <c r="AF74" i="2"/>
  <c r="V82" i="2"/>
  <c r="AF82" i="2"/>
  <c r="V90" i="2"/>
  <c r="AF90" i="2"/>
  <c r="V98" i="2"/>
  <c r="AF98" i="2"/>
  <c r="U6" i="2"/>
  <c r="AE6" i="2"/>
  <c r="N8" i="2"/>
  <c r="X8" i="2"/>
  <c r="O9" i="2"/>
  <c r="Y9" i="2"/>
  <c r="P10" i="2"/>
  <c r="Z10" i="2"/>
  <c r="Q11" i="2"/>
  <c r="AA11" i="2"/>
  <c r="S12" i="2"/>
  <c r="AC12" i="2"/>
  <c r="T13" i="2"/>
  <c r="AD13" i="2"/>
  <c r="U14" i="2"/>
  <c r="AE14" i="2"/>
  <c r="N16" i="2"/>
  <c r="X16" i="2"/>
  <c r="O17" i="2"/>
  <c r="Y17" i="2"/>
  <c r="P18" i="2"/>
  <c r="Z18" i="2"/>
  <c r="Q19" i="2"/>
  <c r="AA19" i="2"/>
  <c r="S20" i="2"/>
  <c r="AC20" i="2"/>
  <c r="T21" i="2"/>
  <c r="AD21" i="2"/>
  <c r="U22" i="2"/>
  <c r="AE22" i="2"/>
  <c r="N24" i="2"/>
  <c r="X24" i="2"/>
  <c r="O25" i="2"/>
  <c r="Y25" i="2"/>
  <c r="P26" i="2"/>
  <c r="Z26" i="2"/>
  <c r="Q27" i="2"/>
  <c r="AA27" i="2"/>
  <c r="S28" i="2"/>
  <c r="AC28" i="2"/>
  <c r="T29" i="2"/>
  <c r="AD29" i="2"/>
  <c r="U30" i="2"/>
  <c r="AE30" i="2"/>
  <c r="N32" i="2"/>
  <c r="X32" i="2"/>
  <c r="O33" i="2"/>
  <c r="Y33" i="2"/>
  <c r="P34" i="2"/>
  <c r="Z34" i="2"/>
  <c r="Q35" i="2"/>
  <c r="AA35" i="2"/>
  <c r="S36" i="2"/>
  <c r="AC36" i="2"/>
  <c r="T37" i="2"/>
  <c r="AD37" i="2"/>
  <c r="U38" i="2"/>
  <c r="AE38" i="2"/>
  <c r="N40" i="2"/>
  <c r="X40" i="2"/>
  <c r="O41" i="2"/>
  <c r="Y41" i="2"/>
  <c r="P42" i="2"/>
  <c r="Z42" i="2"/>
  <c r="Q43" i="2"/>
  <c r="AA43" i="2"/>
  <c r="S44" i="2"/>
  <c r="AC44" i="2"/>
  <c r="T45" i="2"/>
  <c r="AD45" i="2"/>
  <c r="U46" i="2"/>
  <c r="AE46" i="2"/>
  <c r="N48" i="2"/>
  <c r="X48" i="2"/>
  <c r="O49" i="2"/>
  <c r="Y49" i="2"/>
  <c r="P50" i="2"/>
  <c r="Z50" i="2"/>
  <c r="S51" i="2"/>
  <c r="AC51" i="2"/>
  <c r="T52" i="2"/>
  <c r="AD52" i="2"/>
  <c r="U53" i="2"/>
  <c r="AE53" i="2"/>
  <c r="N55" i="2"/>
  <c r="X55" i="2"/>
  <c r="O56" i="2"/>
  <c r="Y56" i="2"/>
  <c r="P57" i="2"/>
  <c r="Z57" i="2"/>
  <c r="Q58" i="2"/>
  <c r="AA58" i="2"/>
  <c r="T60" i="2"/>
  <c r="AD60" i="2"/>
  <c r="U61" i="2"/>
  <c r="AE61" i="2"/>
  <c r="N63" i="2"/>
  <c r="X63" i="2"/>
  <c r="O64" i="2"/>
  <c r="Y64" i="2"/>
  <c r="P65" i="2"/>
  <c r="Z65" i="2"/>
  <c r="AA66" i="2"/>
  <c r="Q66" i="2"/>
  <c r="AC67" i="2"/>
  <c r="S67" i="2"/>
  <c r="T68" i="2"/>
  <c r="AD68" i="2"/>
  <c r="U69" i="2"/>
  <c r="AE69" i="2"/>
  <c r="N71" i="2"/>
  <c r="X71" i="2"/>
  <c r="O72" i="2"/>
  <c r="Y72" i="2"/>
  <c r="P73" i="2"/>
  <c r="Z73" i="2"/>
  <c r="AA74" i="2"/>
  <c r="Q74" i="2"/>
  <c r="AC75" i="2"/>
  <c r="S75" i="2"/>
  <c r="T76" i="2"/>
  <c r="AD76" i="2"/>
  <c r="U77" i="2"/>
  <c r="AE77" i="2"/>
  <c r="N79" i="2"/>
  <c r="X79" i="2"/>
  <c r="O80" i="2"/>
  <c r="Y80" i="2"/>
  <c r="P81" i="2"/>
  <c r="Z81" i="2"/>
  <c r="AA82" i="2"/>
  <c r="Q82" i="2"/>
  <c r="AC83" i="2"/>
  <c r="S83" i="2"/>
  <c r="T84" i="2"/>
  <c r="AD84" i="2"/>
  <c r="U85" i="2"/>
  <c r="AE85" i="2"/>
  <c r="N87" i="2"/>
  <c r="X87" i="2"/>
  <c r="O88" i="2"/>
  <c r="Y88" i="2"/>
  <c r="P89" i="2"/>
  <c r="Z89" i="2"/>
  <c r="AA90" i="2"/>
  <c r="Q90" i="2"/>
  <c r="AC91" i="2"/>
  <c r="S91" i="2"/>
  <c r="T92" i="2"/>
  <c r="AD92" i="2"/>
  <c r="U93" i="2"/>
  <c r="AE93" i="2"/>
  <c r="N95" i="2"/>
  <c r="X95" i="2"/>
  <c r="O96" i="2"/>
  <c r="Y96" i="2"/>
  <c r="P97" i="2"/>
  <c r="Z97" i="2"/>
  <c r="AA98" i="2"/>
  <c r="Q98" i="2"/>
  <c r="S3" i="2"/>
  <c r="AC3" i="2"/>
  <c r="T4" i="2"/>
  <c r="AD4" i="2"/>
  <c r="U5" i="2"/>
  <c r="AE5" i="2"/>
  <c r="M3" i="2"/>
  <c r="W3" i="2"/>
  <c r="M11" i="2"/>
  <c r="W11" i="2"/>
  <c r="M19" i="2"/>
  <c r="W19" i="2"/>
  <c r="M27" i="2"/>
  <c r="W27" i="2"/>
  <c r="M35" i="2"/>
  <c r="W35" i="2"/>
  <c r="M43" i="2"/>
  <c r="W43" i="2"/>
  <c r="B52" i="10"/>
  <c r="M58" i="2"/>
  <c r="W58" i="2"/>
  <c r="W66" i="2"/>
  <c r="M66" i="2"/>
  <c r="W74" i="2"/>
  <c r="M74" i="2"/>
  <c r="W82" i="2"/>
  <c r="M82" i="2"/>
  <c r="W90" i="2"/>
  <c r="M90" i="2"/>
  <c r="W98" i="2"/>
  <c r="M98" i="2"/>
  <c r="M71" i="2"/>
  <c r="W71" i="2"/>
  <c r="M79" i="2"/>
  <c r="W79" i="2"/>
  <c r="M95" i="2"/>
  <c r="W95" i="2"/>
  <c r="T78" i="2"/>
  <c r="AD78" i="2"/>
  <c r="T82" i="2"/>
  <c r="AD82" i="2"/>
  <c r="T86" i="2"/>
  <c r="AD86" i="2"/>
  <c r="O90" i="2"/>
  <c r="Y90" i="2"/>
  <c r="AA92" i="2"/>
  <c r="Q92" i="2"/>
  <c r="U95" i="2"/>
  <c r="AE95" i="2"/>
  <c r="T98" i="2"/>
  <c r="AD98" i="2"/>
  <c r="O2" i="2"/>
  <c r="Y2" i="2"/>
  <c r="M25" i="2"/>
  <c r="W25" i="2"/>
  <c r="M45" i="2"/>
  <c r="W45" i="2"/>
  <c r="M60" i="2"/>
  <c r="W60" i="2"/>
  <c r="W80" i="2"/>
  <c r="M80" i="2"/>
  <c r="N96" i="2"/>
  <c r="X96" i="2"/>
  <c r="M6" i="2"/>
  <c r="W6" i="2"/>
  <c r="M34" i="2"/>
  <c r="W34" i="2"/>
  <c r="M65" i="2"/>
  <c r="W65" i="2"/>
  <c r="M97" i="2"/>
  <c r="W97" i="2"/>
  <c r="V8" i="2"/>
  <c r="AF8" i="2"/>
  <c r="V16" i="2"/>
  <c r="AF16" i="2"/>
  <c r="V24" i="2"/>
  <c r="AF24" i="2"/>
  <c r="V32" i="2"/>
  <c r="AF32" i="2"/>
  <c r="V40" i="2"/>
  <c r="AF40" i="2"/>
  <c r="V48" i="2"/>
  <c r="AF48" i="2"/>
  <c r="V55" i="2"/>
  <c r="AF55" i="2"/>
  <c r="V63" i="2"/>
  <c r="AF63" i="2"/>
  <c r="V71" i="2"/>
  <c r="AF71" i="2"/>
  <c r="V79" i="2"/>
  <c r="AF79" i="2"/>
  <c r="V87" i="2"/>
  <c r="AF87" i="2"/>
  <c r="V95" i="2"/>
  <c r="AF95" i="2"/>
  <c r="Q6" i="2"/>
  <c r="AA6" i="2"/>
  <c r="S7" i="2"/>
  <c r="AC7" i="2"/>
  <c r="T8" i="2"/>
  <c r="AD8" i="2"/>
  <c r="U9" i="2"/>
  <c r="AE9" i="2"/>
  <c r="N11" i="2"/>
  <c r="X11" i="2"/>
  <c r="O12" i="2"/>
  <c r="Y12" i="2"/>
  <c r="P13" i="2"/>
  <c r="Z13" i="2"/>
  <c r="Q14" i="2"/>
  <c r="AA14" i="2"/>
  <c r="S15" i="2"/>
  <c r="AC15" i="2"/>
  <c r="T16" i="2"/>
  <c r="AD16" i="2"/>
  <c r="U17" i="2"/>
  <c r="AE17" i="2"/>
  <c r="N19" i="2"/>
  <c r="X19" i="2"/>
  <c r="O20" i="2"/>
  <c r="Y20" i="2"/>
  <c r="P21" i="2"/>
  <c r="Z21" i="2"/>
  <c r="Q22" i="2"/>
  <c r="AA22" i="2"/>
  <c r="S23" i="2"/>
  <c r="AC23" i="2"/>
  <c r="T24" i="2"/>
  <c r="AD24" i="2"/>
  <c r="U25" i="2"/>
  <c r="AE25" i="2"/>
  <c r="N27" i="2"/>
  <c r="X27" i="2"/>
  <c r="O28" i="2"/>
  <c r="Y28" i="2"/>
  <c r="P29" i="2"/>
  <c r="Z29" i="2"/>
  <c r="Q30" i="2"/>
  <c r="AA30" i="2"/>
  <c r="S31" i="2"/>
  <c r="AC31" i="2"/>
  <c r="T32" i="2"/>
  <c r="AD32" i="2"/>
  <c r="U33" i="2"/>
  <c r="AE33" i="2"/>
  <c r="N35" i="2"/>
  <c r="X35" i="2"/>
  <c r="O36" i="2"/>
  <c r="Y36" i="2"/>
  <c r="P37" i="2"/>
  <c r="Z37" i="2"/>
  <c r="Q38" i="2"/>
  <c r="AA38" i="2"/>
  <c r="S39" i="2"/>
  <c r="AC39" i="2"/>
  <c r="T40" i="2"/>
  <c r="AD40" i="2"/>
  <c r="U41" i="2"/>
  <c r="AE41" i="2"/>
  <c r="N43" i="2"/>
  <c r="X43" i="2"/>
  <c r="O44" i="2"/>
  <c r="Y44" i="2"/>
  <c r="P45" i="2"/>
  <c r="Z45" i="2"/>
  <c r="Q46" i="2"/>
  <c r="AA46" i="2"/>
  <c r="S47" i="2"/>
  <c r="AC47" i="2"/>
  <c r="T48" i="2"/>
  <c r="AD48" i="2"/>
  <c r="U49" i="2"/>
  <c r="AE49" i="2"/>
  <c r="O51" i="2"/>
  <c r="Y51" i="2"/>
  <c r="P52" i="2"/>
  <c r="Z52" i="2"/>
  <c r="Q53" i="2"/>
  <c r="AA53" i="2"/>
  <c r="S54" i="2"/>
  <c r="AC54" i="2"/>
  <c r="T55" i="2"/>
  <c r="AD55" i="2"/>
  <c r="U56" i="2"/>
  <c r="AE56" i="2"/>
  <c r="N58" i="2"/>
  <c r="X58" i="2"/>
  <c r="P60" i="2"/>
  <c r="Z60" i="2"/>
  <c r="Q61" i="2"/>
  <c r="AA61" i="2"/>
  <c r="S62" i="2"/>
  <c r="AC62" i="2"/>
  <c r="T63" i="2"/>
  <c r="AD63" i="2"/>
  <c r="AE64" i="2"/>
  <c r="U64" i="2"/>
  <c r="N66" i="2"/>
  <c r="X66" i="2"/>
  <c r="Y67" i="2"/>
  <c r="O67" i="2"/>
  <c r="P68" i="2"/>
  <c r="Z68" i="2"/>
  <c r="Q69" i="2"/>
  <c r="AA69" i="2"/>
  <c r="S70" i="2"/>
  <c r="AC70" i="2"/>
  <c r="T71" i="2"/>
  <c r="AD71" i="2"/>
  <c r="AE72" i="2"/>
  <c r="U72" i="2"/>
  <c r="N74" i="2"/>
  <c r="X74" i="2"/>
  <c r="Y75" i="2"/>
  <c r="O75" i="2"/>
  <c r="P76" i="2"/>
  <c r="Z76" i="2"/>
  <c r="Q77" i="2"/>
  <c r="AA77" i="2"/>
  <c r="S78" i="2"/>
  <c r="AC78" i="2"/>
  <c r="T79" i="2"/>
  <c r="AD79" i="2"/>
  <c r="AE80" i="2"/>
  <c r="U80" i="2"/>
  <c r="N82" i="2"/>
  <c r="X82" i="2"/>
  <c r="Y83" i="2"/>
  <c r="O83" i="2"/>
  <c r="P84" i="2"/>
  <c r="Z84" i="2"/>
  <c r="Q85" i="2"/>
  <c r="AA85" i="2"/>
  <c r="S86" i="2"/>
  <c r="AC86" i="2"/>
  <c r="T87" i="2"/>
  <c r="AD87" i="2"/>
  <c r="AE88" i="2"/>
  <c r="U88" i="2"/>
  <c r="N90" i="2"/>
  <c r="X90" i="2"/>
  <c r="Y91" i="2"/>
  <c r="O91" i="2"/>
  <c r="P92" i="2"/>
  <c r="Z92" i="2"/>
  <c r="Q93" i="2"/>
  <c r="AA93" i="2"/>
  <c r="S94" i="2"/>
  <c r="AC94" i="2"/>
  <c r="T95" i="2"/>
  <c r="AD95" i="2"/>
  <c r="AE96" i="2"/>
  <c r="U96" i="2"/>
  <c r="N98" i="2"/>
  <c r="X98" i="2"/>
  <c r="O3" i="2"/>
  <c r="Y3" i="2"/>
  <c r="P4" i="2"/>
  <c r="Z4" i="2"/>
  <c r="Q5" i="2"/>
  <c r="AA5" i="2"/>
  <c r="P2" i="2"/>
  <c r="Z2" i="2"/>
  <c r="M8" i="2"/>
  <c r="W8" i="2"/>
  <c r="M16" i="2"/>
  <c r="W16" i="2"/>
  <c r="M24" i="2"/>
  <c r="W24" i="2"/>
  <c r="M32" i="2"/>
  <c r="W32" i="2"/>
  <c r="M40" i="2"/>
  <c r="W40" i="2"/>
  <c r="M48" i="2"/>
  <c r="W48" i="2"/>
  <c r="M55" i="2"/>
  <c r="W55" i="2"/>
  <c r="AX115" i="2"/>
  <c r="AY115" i="2" s="1"/>
  <c r="BB75" i="2"/>
  <c r="BC75" i="2" s="1"/>
  <c r="AZ48" i="2"/>
  <c r="BA48" i="2" s="1"/>
  <c r="AX109" i="2"/>
  <c r="AY109" i="2" s="1"/>
  <c r="BD63" i="2"/>
  <c r="BE63" i="2" s="1"/>
  <c r="BD115" i="2"/>
  <c r="BE115" i="2" s="1"/>
  <c r="BD99" i="2"/>
  <c r="BE99" i="2" s="1"/>
  <c r="BD107" i="2"/>
  <c r="BE107" i="2" s="1"/>
  <c r="AZ65" i="2"/>
  <c r="BA65" i="2" s="1"/>
  <c r="AZ38" i="2"/>
  <c r="BA38" i="2" s="1"/>
  <c r="AZ105" i="2"/>
  <c r="BA105" i="2" s="1"/>
  <c r="AZ28" i="2"/>
  <c r="BA28" i="2" s="1"/>
  <c r="AZ46" i="2"/>
  <c r="BA46" i="2" s="1"/>
  <c r="AZ113" i="2"/>
  <c r="BA113" i="2" s="1"/>
  <c r="BB72" i="2"/>
  <c r="BC72" i="2" s="1"/>
  <c r="BB108" i="2"/>
  <c r="BC108" i="2" s="1"/>
  <c r="BB100" i="2"/>
  <c r="BC100" i="2" s="1"/>
  <c r="AX74" i="2"/>
  <c r="AY74" i="2" s="1"/>
  <c r="AX102" i="2"/>
  <c r="AY102" i="2" s="1"/>
  <c r="AX89" i="2"/>
  <c r="AY89" i="2" s="1"/>
  <c r="AX110" i="2"/>
  <c r="AY110" i="2" s="1"/>
  <c r="AZ36" i="2"/>
  <c r="BA36" i="2" s="1"/>
  <c r="BB65" i="2"/>
  <c r="BC65" i="2" s="1"/>
  <c r="AX67" i="2"/>
  <c r="AY67" i="2" s="1"/>
  <c r="BD72" i="2"/>
  <c r="BE72" i="2" s="1"/>
  <c r="AZ74" i="2"/>
  <c r="BA74" i="2" s="1"/>
  <c r="BB81" i="2"/>
  <c r="BC81" i="2" s="1"/>
  <c r="AX83" i="2"/>
  <c r="AY83" i="2" s="1"/>
  <c r="BD88" i="2"/>
  <c r="BE88" i="2" s="1"/>
  <c r="AZ90" i="2"/>
  <c r="BA90" i="2" s="1"/>
  <c r="BB97" i="2"/>
  <c r="BC97" i="2" s="1"/>
  <c r="AX99" i="2"/>
  <c r="AY99" i="2" s="1"/>
  <c r="AZ102" i="2"/>
  <c r="BA102" i="2" s="1"/>
  <c r="BB105" i="2"/>
  <c r="BC105" i="2" s="1"/>
  <c r="AX107" i="2"/>
  <c r="AY107" i="2" s="1"/>
  <c r="AZ110" i="2"/>
  <c r="BA110" i="2" s="1"/>
  <c r="BB113" i="2"/>
  <c r="BC113" i="2" s="1"/>
  <c r="BD2" i="2"/>
  <c r="AZ8" i="2"/>
  <c r="BA8" i="2" s="1"/>
  <c r="AZ12" i="2"/>
  <c r="BA12" i="2" s="1"/>
  <c r="AZ16" i="2"/>
  <c r="BA16" i="2" s="1"/>
  <c r="AZ21" i="2"/>
  <c r="BA21" i="2" s="1"/>
  <c r="AZ43" i="2"/>
  <c r="BA43" i="2" s="1"/>
  <c r="AZ49" i="2"/>
  <c r="BA49" i="2" s="1"/>
  <c r="AZ51" i="2"/>
  <c r="BA51" i="2" s="1"/>
  <c r="BB79" i="2"/>
  <c r="BC79" i="2" s="1"/>
  <c r="BD90" i="2"/>
  <c r="BE90" i="2" s="1"/>
  <c r="BB95" i="2"/>
  <c r="BC95" i="2" s="1"/>
  <c r="BD106" i="2"/>
  <c r="BE106" i="2" s="1"/>
  <c r="AZ116" i="2"/>
  <c r="BA116" i="2" s="1"/>
  <c r="AX59" i="2"/>
  <c r="AY59" i="2" s="1"/>
  <c r="BB62" i="2"/>
  <c r="BC62" i="2" s="1"/>
  <c r="AX64" i="2"/>
  <c r="AY64" i="2" s="1"/>
  <c r="BD69" i="2"/>
  <c r="BE69" i="2" s="1"/>
  <c r="AZ71" i="2"/>
  <c r="BA71" i="2" s="1"/>
  <c r="BB78" i="2"/>
  <c r="BC78" i="2" s="1"/>
  <c r="AX80" i="2"/>
  <c r="AY80" i="2" s="1"/>
  <c r="BD85" i="2"/>
  <c r="BE85" i="2" s="1"/>
  <c r="AZ87" i="2"/>
  <c r="BA87" i="2" s="1"/>
  <c r="BB94" i="2"/>
  <c r="BC94" i="2" s="1"/>
  <c r="AX96" i="2"/>
  <c r="AY96" i="2" s="1"/>
  <c r="BD101" i="2"/>
  <c r="BE101" i="2" s="1"/>
  <c r="BD109" i="2"/>
  <c r="BE109" i="2" s="1"/>
  <c r="BD117" i="2"/>
  <c r="BE117" i="2" s="1"/>
  <c r="AZ31" i="2"/>
  <c r="BA31" i="2" s="1"/>
  <c r="BB99" i="2"/>
  <c r="BC99" i="2" s="1"/>
  <c r="BB115" i="2"/>
  <c r="BC115" i="2" s="1"/>
  <c r="BD79" i="2"/>
  <c r="BE79" i="2" s="1"/>
  <c r="BB88" i="2"/>
  <c r="BC88" i="2" s="1"/>
  <c r="AZ97" i="2"/>
  <c r="BA97" i="2" s="1"/>
  <c r="BB116" i="2"/>
  <c r="BC116" i="2" s="1"/>
  <c r="BB4" i="2"/>
  <c r="BC4" i="2" s="1"/>
  <c r="BB8" i="2"/>
  <c r="BC8" i="2" s="1"/>
  <c r="BB14" i="2"/>
  <c r="BC14" i="2" s="1"/>
  <c r="BB20" i="2"/>
  <c r="BC20" i="2" s="1"/>
  <c r="BB26" i="2"/>
  <c r="BC26" i="2" s="1"/>
  <c r="BB32" i="2"/>
  <c r="BC32" i="2" s="1"/>
  <c r="BB38" i="2"/>
  <c r="BC38" i="2" s="1"/>
  <c r="BB44" i="2"/>
  <c r="BC44" i="2" s="1"/>
  <c r="BB50" i="2"/>
  <c r="BC50" i="2" s="1"/>
  <c r="AX62" i="2"/>
  <c r="AY62" i="2" s="1"/>
  <c r="AX78" i="2"/>
  <c r="AY78" i="2" s="1"/>
  <c r="BB92" i="2"/>
  <c r="BC92" i="2" s="1"/>
  <c r="AZ40" i="2"/>
  <c r="BA40" i="2" s="1"/>
  <c r="AZ76" i="2"/>
  <c r="BA76" i="2" s="1"/>
  <c r="AZ96" i="2"/>
  <c r="BA96" i="2" s="1"/>
  <c r="AZ100" i="2"/>
  <c r="BA100" i="2" s="1"/>
  <c r="BD6" i="2"/>
  <c r="BE6" i="2" s="1"/>
  <c r="BD10" i="2"/>
  <c r="BE10" i="2" s="1"/>
  <c r="BD14" i="2"/>
  <c r="BE14" i="2" s="1"/>
  <c r="BD18" i="2"/>
  <c r="BE18" i="2" s="1"/>
  <c r="BD22" i="2"/>
  <c r="BE22" i="2" s="1"/>
  <c r="BD26" i="2"/>
  <c r="BE26" i="2" s="1"/>
  <c r="BD30" i="2"/>
  <c r="BE30" i="2" s="1"/>
  <c r="BD34" i="2"/>
  <c r="BE34" i="2" s="1"/>
  <c r="BD38" i="2"/>
  <c r="BE38" i="2" s="1"/>
  <c r="BD42" i="2"/>
  <c r="BE42" i="2" s="1"/>
  <c r="BD46" i="2"/>
  <c r="BE46" i="2" s="1"/>
  <c r="BD50" i="2"/>
  <c r="BE50" i="2" s="1"/>
  <c r="BD53" i="2"/>
  <c r="BE53" i="2" s="1"/>
  <c r="BD57" i="2"/>
  <c r="BE57" i="2" s="1"/>
  <c r="AZ62" i="2"/>
  <c r="BA62" i="2" s="1"/>
  <c r="BB69" i="2"/>
  <c r="BC69" i="2" s="1"/>
  <c r="BD76" i="2"/>
  <c r="BE76" i="2" s="1"/>
  <c r="AX87" i="2"/>
  <c r="AY87" i="2" s="1"/>
  <c r="BD92" i="2"/>
  <c r="BE92" i="2" s="1"/>
  <c r="BD104" i="2"/>
  <c r="BE104" i="2" s="1"/>
  <c r="BD112" i="2"/>
  <c r="BE112" i="2" s="1"/>
  <c r="AZ5" i="2"/>
  <c r="BA5" i="2" s="1"/>
  <c r="AZ9" i="2"/>
  <c r="BA9" i="2" s="1"/>
  <c r="AZ13" i="2"/>
  <c r="BA13" i="2" s="1"/>
  <c r="AZ17" i="2"/>
  <c r="BA17" i="2" s="1"/>
  <c r="AZ33" i="2"/>
  <c r="BA33" i="2" s="1"/>
  <c r="AZ39" i="2"/>
  <c r="BA39" i="2" s="1"/>
  <c r="AZ53" i="2"/>
  <c r="BA53" i="2" s="1"/>
  <c r="AZ68" i="2"/>
  <c r="BA68" i="2" s="1"/>
  <c r="BD74" i="2"/>
  <c r="BE74" i="2" s="1"/>
  <c r="BD86" i="2"/>
  <c r="BE86" i="2" s="1"/>
  <c r="BB91" i="2"/>
  <c r="BC91" i="2" s="1"/>
  <c r="AZ108" i="2"/>
  <c r="BA108" i="2" s="1"/>
  <c r="AZ2" i="2"/>
  <c r="BA2" i="2" s="1"/>
  <c r="AX3" i="2"/>
  <c r="AY3" i="2" s="1"/>
  <c r="AX5" i="2"/>
  <c r="AY5" i="2" s="1"/>
  <c r="AX7" i="2"/>
  <c r="AY7" i="2" s="1"/>
  <c r="AX9" i="2"/>
  <c r="AY9" i="2" s="1"/>
  <c r="AX11" i="2"/>
  <c r="AY11" i="2" s="1"/>
  <c r="AX13" i="2"/>
  <c r="AY13" i="2" s="1"/>
  <c r="AX15" i="2"/>
  <c r="AY15" i="2" s="1"/>
  <c r="AX17" i="2"/>
  <c r="AY17" i="2" s="1"/>
  <c r="AX19" i="2"/>
  <c r="AY19" i="2" s="1"/>
  <c r="AX21" i="2"/>
  <c r="AY21" i="2" s="1"/>
  <c r="AX23" i="2"/>
  <c r="AY23" i="2" s="1"/>
  <c r="AX25" i="2"/>
  <c r="AY25" i="2" s="1"/>
  <c r="AX27" i="2"/>
  <c r="AY27" i="2" s="1"/>
  <c r="AX29" i="2"/>
  <c r="AY29" i="2" s="1"/>
  <c r="AX31" i="2"/>
  <c r="AY31" i="2" s="1"/>
  <c r="AX33" i="2"/>
  <c r="AY33" i="2" s="1"/>
  <c r="AX35" i="2"/>
  <c r="AY35" i="2" s="1"/>
  <c r="AX37" i="2"/>
  <c r="AY37" i="2" s="1"/>
  <c r="AX39" i="2"/>
  <c r="AY39" i="2" s="1"/>
  <c r="AX41" i="2"/>
  <c r="AY41" i="2" s="1"/>
  <c r="AX43" i="2"/>
  <c r="AY43" i="2" s="1"/>
  <c r="AX45" i="2"/>
  <c r="AY45" i="2" s="1"/>
  <c r="AX47" i="2"/>
  <c r="AY47" i="2" s="1"/>
  <c r="AX49" i="2"/>
  <c r="AY49" i="2" s="1"/>
  <c r="AX52" i="2"/>
  <c r="AY52" i="2" s="1"/>
  <c r="AX54" i="2"/>
  <c r="AY54" i="2" s="1"/>
  <c r="AX56" i="2"/>
  <c r="AY56" i="2" s="1"/>
  <c r="AX58" i="2"/>
  <c r="AY58" i="2" s="1"/>
  <c r="BB66" i="2"/>
  <c r="BC66" i="2" s="1"/>
  <c r="AX68" i="2"/>
  <c r="AY68" i="2" s="1"/>
  <c r="BD73" i="2"/>
  <c r="BE73" i="2" s="1"/>
  <c r="AZ75" i="2"/>
  <c r="BA75" i="2" s="1"/>
  <c r="BB82" i="2"/>
  <c r="BC82" i="2" s="1"/>
  <c r="AX84" i="2"/>
  <c r="AY84" i="2" s="1"/>
  <c r="BD89" i="2"/>
  <c r="BE89" i="2" s="1"/>
  <c r="AZ91" i="2"/>
  <c r="BA91" i="2" s="1"/>
  <c r="BB98" i="2"/>
  <c r="BC98" i="2" s="1"/>
  <c r="AX100" i="2"/>
  <c r="AY100" i="2" s="1"/>
  <c r="AZ103" i="2"/>
  <c r="BA103" i="2" s="1"/>
  <c r="BB106" i="2"/>
  <c r="BC106" i="2" s="1"/>
  <c r="AX108" i="2"/>
  <c r="AY108" i="2" s="1"/>
  <c r="AZ111" i="2"/>
  <c r="BA111" i="2" s="1"/>
  <c r="BB114" i="2"/>
  <c r="BC114" i="2" s="1"/>
  <c r="AX116" i="2"/>
  <c r="AY116" i="2" s="1"/>
  <c r="AX2" i="2"/>
  <c r="BD59" i="2"/>
  <c r="BE59" i="2" s="1"/>
  <c r="AZ6" i="2"/>
  <c r="BA6" i="2" s="1"/>
  <c r="AZ24" i="2"/>
  <c r="BA24" i="2" s="1"/>
  <c r="AZ32" i="2"/>
  <c r="BA32" i="2" s="1"/>
  <c r="AZ45" i="2"/>
  <c r="BA45" i="2" s="1"/>
  <c r="AZ54" i="2"/>
  <c r="BA54" i="2" s="1"/>
  <c r="AZ58" i="2"/>
  <c r="BA58" i="2" s="1"/>
  <c r="BD62" i="2"/>
  <c r="BE62" i="2" s="1"/>
  <c r="BD66" i="2"/>
  <c r="BE66" i="2" s="1"/>
  <c r="BD110" i="2"/>
  <c r="BE110" i="2" s="1"/>
  <c r="AX117" i="2"/>
  <c r="AY117" i="2" s="1"/>
  <c r="AX90" i="2"/>
  <c r="AY90" i="2" s="1"/>
  <c r="BB2" i="2"/>
  <c r="BC2" i="2" s="1"/>
  <c r="BD70" i="2"/>
  <c r="BE70" i="2" s="1"/>
  <c r="BL2" i="2"/>
  <c r="BM2" i="2" s="1"/>
  <c r="BB10" i="2"/>
  <c r="BC10" i="2" s="1"/>
  <c r="BB16" i="2"/>
  <c r="BC16" i="2" s="1"/>
  <c r="BB22" i="2"/>
  <c r="BC22" i="2" s="1"/>
  <c r="BB28" i="2"/>
  <c r="BC28" i="2" s="1"/>
  <c r="BB34" i="2"/>
  <c r="BC34" i="2" s="1"/>
  <c r="BB40" i="2"/>
  <c r="BC40" i="2" s="1"/>
  <c r="BB46" i="2"/>
  <c r="BC46" i="2" s="1"/>
  <c r="BB51" i="2"/>
  <c r="BC51" i="2" s="1"/>
  <c r="BB55" i="2"/>
  <c r="BC55" i="2" s="1"/>
  <c r="BB60" i="2"/>
  <c r="BC60" i="2" s="1"/>
  <c r="AZ69" i="2"/>
  <c r="BA69" i="2" s="1"/>
  <c r="BB76" i="2"/>
  <c r="BC76" i="2" s="1"/>
  <c r="AZ85" i="2"/>
  <c r="BA85" i="2" s="1"/>
  <c r="AX94" i="2"/>
  <c r="AY94" i="2" s="1"/>
  <c r="AZ59" i="2"/>
  <c r="BA59" i="2" s="1"/>
  <c r="BB59" i="2"/>
  <c r="BC59" i="2" s="1"/>
  <c r="AX85" i="2"/>
  <c r="AY85" i="2" s="1"/>
  <c r="AX105" i="2"/>
  <c r="AY105" i="2" s="1"/>
  <c r="BD4" i="2"/>
  <c r="BE4" i="2" s="1"/>
  <c r="BD8" i="2"/>
  <c r="BE8" i="2" s="1"/>
  <c r="BD12" i="2"/>
  <c r="BE12" i="2" s="1"/>
  <c r="BD16" i="2"/>
  <c r="BE16" i="2" s="1"/>
  <c r="BD20" i="2"/>
  <c r="BE20" i="2" s="1"/>
  <c r="BD24" i="2"/>
  <c r="BE24" i="2" s="1"/>
  <c r="BD28" i="2"/>
  <c r="BE28" i="2" s="1"/>
  <c r="BD32" i="2"/>
  <c r="BE32" i="2" s="1"/>
  <c r="BD36" i="2"/>
  <c r="BE36" i="2" s="1"/>
  <c r="BD40" i="2"/>
  <c r="BE40" i="2" s="1"/>
  <c r="BD44" i="2"/>
  <c r="BE44" i="2" s="1"/>
  <c r="BD48" i="2"/>
  <c r="BE48" i="2" s="1"/>
  <c r="BD51" i="2"/>
  <c r="BE51" i="2" s="1"/>
  <c r="BD55" i="2"/>
  <c r="BE55" i="2" s="1"/>
  <c r="BD60" i="2"/>
  <c r="BE60" i="2" s="1"/>
  <c r="AX71" i="2"/>
  <c r="AY71" i="2" s="1"/>
  <c r="AZ78" i="2"/>
  <c r="BA78" i="2" s="1"/>
  <c r="BB85" i="2"/>
  <c r="BC85" i="2" s="1"/>
  <c r="AZ94" i="2"/>
  <c r="BA94" i="2" s="1"/>
  <c r="BB64" i="2"/>
  <c r="BC64" i="2" s="1"/>
  <c r="AX66" i="2"/>
  <c r="AY66" i="2" s="1"/>
  <c r="BD71" i="2"/>
  <c r="BE71" i="2" s="1"/>
  <c r="AZ73" i="2"/>
  <c r="BA73" i="2" s="1"/>
  <c r="BB80" i="2"/>
  <c r="BC80" i="2" s="1"/>
  <c r="AX82" i="2"/>
  <c r="AY82" i="2" s="1"/>
  <c r="BD87" i="2"/>
  <c r="BE87" i="2" s="1"/>
  <c r="AZ89" i="2"/>
  <c r="BA89" i="2" s="1"/>
  <c r="BB96" i="2"/>
  <c r="BC96" i="2" s="1"/>
  <c r="AX98" i="2"/>
  <c r="AY98" i="2" s="1"/>
  <c r="AZ101" i="2"/>
  <c r="BA101" i="2" s="1"/>
  <c r="BB104" i="2"/>
  <c r="BC104" i="2" s="1"/>
  <c r="AX106" i="2"/>
  <c r="AY106" i="2" s="1"/>
  <c r="AZ109" i="2"/>
  <c r="BA109" i="2" s="1"/>
  <c r="BB112" i="2"/>
  <c r="BC112" i="2" s="1"/>
  <c r="AX114" i="2"/>
  <c r="AY114" i="2" s="1"/>
  <c r="AZ117" i="2"/>
  <c r="BA117" i="2" s="1"/>
  <c r="AZ3" i="2"/>
  <c r="BA3" i="2" s="1"/>
  <c r="AZ30" i="2"/>
  <c r="BA30" i="2" s="1"/>
  <c r="AZ37" i="2"/>
  <c r="BA37" i="2" s="1"/>
  <c r="AZ42" i="2"/>
  <c r="BA42" i="2" s="1"/>
  <c r="AZ50" i="2"/>
  <c r="BA50" i="2" s="1"/>
  <c r="BB67" i="2"/>
  <c r="BC67" i="2" s="1"/>
  <c r="AZ72" i="2"/>
  <c r="BA72" i="2" s="1"/>
  <c r="AX81" i="2"/>
  <c r="AY81" i="2" s="1"/>
  <c r="AZ92" i="2"/>
  <c r="BA92" i="2" s="1"/>
  <c r="AX97" i="2"/>
  <c r="AY97" i="2" s="1"/>
  <c r="BB111" i="2"/>
  <c r="BC111" i="2" s="1"/>
  <c r="BD64" i="2"/>
  <c r="BE64" i="2" s="1"/>
  <c r="AZ66" i="2"/>
  <c r="BA66" i="2" s="1"/>
  <c r="BB73" i="2"/>
  <c r="BC73" i="2" s="1"/>
  <c r="AX75" i="2"/>
  <c r="AY75" i="2" s="1"/>
  <c r="BD80" i="2"/>
  <c r="BE80" i="2" s="1"/>
  <c r="AZ82" i="2"/>
  <c r="BA82" i="2" s="1"/>
  <c r="BB89" i="2"/>
  <c r="BC89" i="2" s="1"/>
  <c r="AX91" i="2"/>
  <c r="AY91" i="2" s="1"/>
  <c r="BD96" i="2"/>
  <c r="BE96" i="2" s="1"/>
  <c r="AZ98" i="2"/>
  <c r="BA98" i="2" s="1"/>
  <c r="BB101" i="2"/>
  <c r="BC101" i="2" s="1"/>
  <c r="AX103" i="2"/>
  <c r="AY103" i="2" s="1"/>
  <c r="AZ106" i="2"/>
  <c r="BA106" i="2" s="1"/>
  <c r="BB109" i="2"/>
  <c r="BC109" i="2" s="1"/>
  <c r="AX111" i="2"/>
  <c r="AY111" i="2" s="1"/>
  <c r="AZ114" i="2"/>
  <c r="BA114" i="2" s="1"/>
  <c r="BB117" i="2"/>
  <c r="BC117" i="2" s="1"/>
  <c r="AZ10" i="2"/>
  <c r="BA10" i="2" s="1"/>
  <c r="AZ14" i="2"/>
  <c r="BA14" i="2" s="1"/>
  <c r="AZ18" i="2"/>
  <c r="BA18" i="2" s="1"/>
  <c r="AZ22" i="2"/>
  <c r="BA22" i="2" s="1"/>
  <c r="AZ29" i="2"/>
  <c r="BA29" i="2" s="1"/>
  <c r="AZ56" i="2"/>
  <c r="BA56" i="2" s="1"/>
  <c r="AZ64" i="2"/>
  <c r="BA64" i="2" s="1"/>
  <c r="AX69" i="2"/>
  <c r="AY69" i="2" s="1"/>
  <c r="BD82" i="2"/>
  <c r="BE82" i="2" s="1"/>
  <c r="BB87" i="2"/>
  <c r="BC87" i="2" s="1"/>
  <c r="BB103" i="2"/>
  <c r="BC103" i="2" s="1"/>
  <c r="AX113" i="2"/>
  <c r="AY113" i="2" s="1"/>
  <c r="BD61" i="2"/>
  <c r="BE61" i="2" s="1"/>
  <c r="AZ63" i="2"/>
  <c r="BA63" i="2" s="1"/>
  <c r="BB70" i="2"/>
  <c r="BC70" i="2" s="1"/>
  <c r="AX72" i="2"/>
  <c r="AY72" i="2" s="1"/>
  <c r="BD77" i="2"/>
  <c r="BE77" i="2" s="1"/>
  <c r="AZ79" i="2"/>
  <c r="BA79" i="2" s="1"/>
  <c r="BB86" i="2"/>
  <c r="BC86" i="2" s="1"/>
  <c r="AX88" i="2"/>
  <c r="AY88" i="2" s="1"/>
  <c r="BD93" i="2"/>
  <c r="BE93" i="2" s="1"/>
  <c r="AZ95" i="2"/>
  <c r="BA95" i="2" s="1"/>
  <c r="BD105" i="2"/>
  <c r="BE105" i="2" s="1"/>
  <c r="BD113" i="2"/>
  <c r="BE113" i="2" s="1"/>
  <c r="BG2" i="2"/>
  <c r="AZ4" i="2"/>
  <c r="BA4" i="2" s="1"/>
  <c r="AZ7" i="2"/>
  <c r="BA7" i="2" s="1"/>
  <c r="AZ26" i="2"/>
  <c r="BA26" i="2" s="1"/>
  <c r="AZ35" i="2"/>
  <c r="BA35" i="2" s="1"/>
  <c r="AZ41" i="2"/>
  <c r="BA41" i="2" s="1"/>
  <c r="AZ112" i="2"/>
  <c r="BA112" i="2" s="1"/>
  <c r="AZ81" i="2"/>
  <c r="BA81" i="2" s="1"/>
  <c r="BD95" i="2"/>
  <c r="BE95" i="2" s="1"/>
  <c r="AZ84" i="2"/>
  <c r="BA84" i="2" s="1"/>
  <c r="BB6" i="2"/>
  <c r="BC6" i="2" s="1"/>
  <c r="BB12" i="2"/>
  <c r="BC12" i="2" s="1"/>
  <c r="BB18" i="2"/>
  <c r="BC18" i="2" s="1"/>
  <c r="BB24" i="2"/>
  <c r="BC24" i="2" s="1"/>
  <c r="BB30" i="2"/>
  <c r="BC30" i="2" s="1"/>
  <c r="BB36" i="2"/>
  <c r="BC36" i="2" s="1"/>
  <c r="BB42" i="2"/>
  <c r="BC42" i="2" s="1"/>
  <c r="BB48" i="2"/>
  <c r="BC48" i="2" s="1"/>
  <c r="BB53" i="2"/>
  <c r="BC53" i="2" s="1"/>
  <c r="BB57" i="2"/>
  <c r="BC57" i="2" s="1"/>
  <c r="BD67" i="2"/>
  <c r="BE67" i="2" s="1"/>
  <c r="BD83" i="2"/>
  <c r="BE83" i="2" s="1"/>
  <c r="AZ25" i="2"/>
  <c r="BA25" i="2" s="1"/>
  <c r="AX65" i="2"/>
  <c r="AY65" i="2" s="1"/>
  <c r="AZ80" i="2"/>
  <c r="BA80" i="2" s="1"/>
  <c r="AV2" i="2"/>
  <c r="BB3" i="2"/>
  <c r="BC3" i="2" s="1"/>
  <c r="BB5" i="2"/>
  <c r="BC5" i="2" s="1"/>
  <c r="BB7" i="2"/>
  <c r="BC7" i="2" s="1"/>
  <c r="BB9" i="2"/>
  <c r="BC9" i="2" s="1"/>
  <c r="BB11" i="2"/>
  <c r="BC11" i="2" s="1"/>
  <c r="BB13" i="2"/>
  <c r="BC13" i="2" s="1"/>
  <c r="BB15" i="2"/>
  <c r="BC15" i="2" s="1"/>
  <c r="BB17" i="2"/>
  <c r="BC17" i="2" s="1"/>
  <c r="BB19" i="2"/>
  <c r="BC19" i="2" s="1"/>
  <c r="BB21" i="2"/>
  <c r="BC21" i="2" s="1"/>
  <c r="BB23" i="2"/>
  <c r="BC23" i="2" s="1"/>
  <c r="BB25" i="2"/>
  <c r="BC25" i="2" s="1"/>
  <c r="BB27" i="2"/>
  <c r="BC27" i="2" s="1"/>
  <c r="BB29" i="2"/>
  <c r="BC29" i="2" s="1"/>
  <c r="BB31" i="2"/>
  <c r="BC31" i="2" s="1"/>
  <c r="BB33" i="2"/>
  <c r="BC33" i="2" s="1"/>
  <c r="BB35" i="2"/>
  <c r="BC35" i="2" s="1"/>
  <c r="BB37" i="2"/>
  <c r="BC37" i="2" s="1"/>
  <c r="BB39" i="2"/>
  <c r="BC39" i="2" s="1"/>
  <c r="BB41" i="2"/>
  <c r="BC41" i="2" s="1"/>
  <c r="BB43" i="2"/>
  <c r="BC43" i="2" s="1"/>
  <c r="BB45" i="2"/>
  <c r="BC45" i="2" s="1"/>
  <c r="BB47" i="2"/>
  <c r="BC47" i="2" s="1"/>
  <c r="BB49" i="2"/>
  <c r="BC49" i="2" s="1"/>
  <c r="BB52" i="2"/>
  <c r="BC52" i="2" s="1"/>
  <c r="BB54" i="2"/>
  <c r="BC54" i="2" s="1"/>
  <c r="BB56" i="2"/>
  <c r="BC56" i="2" s="1"/>
  <c r="BB58" i="2"/>
  <c r="BC58" i="2" s="1"/>
  <c r="AZ61" i="2"/>
  <c r="BA61" i="2" s="1"/>
  <c r="BB68" i="2"/>
  <c r="BC68" i="2" s="1"/>
  <c r="AX70" i="2"/>
  <c r="AY70" i="2" s="1"/>
  <c r="BD75" i="2"/>
  <c r="BE75" i="2" s="1"/>
  <c r="AZ77" i="2"/>
  <c r="BA77" i="2" s="1"/>
  <c r="BB84" i="2"/>
  <c r="BC84" i="2" s="1"/>
  <c r="AX86" i="2"/>
  <c r="AY86" i="2" s="1"/>
  <c r="BD91" i="2"/>
  <c r="BE91" i="2" s="1"/>
  <c r="AZ93" i="2"/>
  <c r="BA93" i="2" s="1"/>
  <c r="BD103" i="2"/>
  <c r="BE103" i="2" s="1"/>
  <c r="BD111" i="2"/>
  <c r="BE111" i="2" s="1"/>
  <c r="AZ20" i="2"/>
  <c r="BA20" i="2" s="1"/>
  <c r="AZ27" i="2"/>
  <c r="BA27" i="2" s="1"/>
  <c r="AZ44" i="2"/>
  <c r="BA44" i="2" s="1"/>
  <c r="AX61" i="2"/>
  <c r="AY61" i="2" s="1"/>
  <c r="AX73" i="2"/>
  <c r="AY73" i="2" s="1"/>
  <c r="AZ88" i="2"/>
  <c r="BA88" i="2" s="1"/>
  <c r="AX93" i="2"/>
  <c r="AY93" i="2" s="1"/>
  <c r="BD102" i="2"/>
  <c r="BE102" i="2" s="1"/>
  <c r="BB107" i="2"/>
  <c r="BC107" i="2" s="1"/>
  <c r="BD3" i="2"/>
  <c r="BE3" i="2" s="1"/>
  <c r="BD5" i="2"/>
  <c r="BE5" i="2" s="1"/>
  <c r="BD7" i="2"/>
  <c r="BE7" i="2" s="1"/>
  <c r="BD9" i="2"/>
  <c r="BE9" i="2" s="1"/>
  <c r="BD11" i="2"/>
  <c r="BE11" i="2" s="1"/>
  <c r="BD13" i="2"/>
  <c r="BE13" i="2" s="1"/>
  <c r="BD15" i="2"/>
  <c r="BE15" i="2" s="1"/>
  <c r="BD17" i="2"/>
  <c r="BE17" i="2" s="1"/>
  <c r="BD19" i="2"/>
  <c r="BE19" i="2" s="1"/>
  <c r="BD21" i="2"/>
  <c r="BE21" i="2" s="1"/>
  <c r="BD23" i="2"/>
  <c r="BE23" i="2" s="1"/>
  <c r="BD25" i="2"/>
  <c r="BE25" i="2" s="1"/>
  <c r="BD27" i="2"/>
  <c r="BE27" i="2" s="1"/>
  <c r="BD29" i="2"/>
  <c r="BE29" i="2" s="1"/>
  <c r="BD31" i="2"/>
  <c r="BE31" i="2" s="1"/>
  <c r="BD33" i="2"/>
  <c r="BE33" i="2" s="1"/>
  <c r="BD35" i="2"/>
  <c r="BE35" i="2" s="1"/>
  <c r="BD37" i="2"/>
  <c r="BE37" i="2" s="1"/>
  <c r="BD39" i="2"/>
  <c r="BE39" i="2" s="1"/>
  <c r="BD41" i="2"/>
  <c r="BE41" i="2" s="1"/>
  <c r="BD43" i="2"/>
  <c r="BE43" i="2" s="1"/>
  <c r="BD45" i="2"/>
  <c r="BE45" i="2" s="1"/>
  <c r="BD47" i="2"/>
  <c r="BE47" i="2" s="1"/>
  <c r="BD49" i="2"/>
  <c r="BE49" i="2" s="1"/>
  <c r="BD52" i="2"/>
  <c r="BE52" i="2" s="1"/>
  <c r="BD54" i="2"/>
  <c r="BE54" i="2" s="1"/>
  <c r="BD56" i="2"/>
  <c r="BE56" i="2" s="1"/>
  <c r="BD58" i="2"/>
  <c r="BE58" i="2" s="1"/>
  <c r="BB61" i="2"/>
  <c r="BC61" i="2" s="1"/>
  <c r="AX63" i="2"/>
  <c r="AY63" i="2" s="1"/>
  <c r="BD68" i="2"/>
  <c r="BE68" i="2" s="1"/>
  <c r="AZ70" i="2"/>
  <c r="BA70" i="2" s="1"/>
  <c r="BB77" i="2"/>
  <c r="BC77" i="2" s="1"/>
  <c r="AX79" i="2"/>
  <c r="AY79" i="2" s="1"/>
  <c r="BD84" i="2"/>
  <c r="BE84" i="2" s="1"/>
  <c r="AZ86" i="2"/>
  <c r="BA86" i="2" s="1"/>
  <c r="BB93" i="2"/>
  <c r="BC93" i="2" s="1"/>
  <c r="AX95" i="2"/>
  <c r="AY95" i="2" s="1"/>
  <c r="BD100" i="2"/>
  <c r="BE100" i="2" s="1"/>
  <c r="BD108" i="2"/>
  <c r="BE108" i="2" s="1"/>
  <c r="BD116" i="2"/>
  <c r="BE116" i="2" s="1"/>
  <c r="AZ11" i="2"/>
  <c r="BA11" i="2" s="1"/>
  <c r="AZ15" i="2"/>
  <c r="BA15" i="2" s="1"/>
  <c r="AZ19" i="2"/>
  <c r="BA19" i="2" s="1"/>
  <c r="AZ23" i="2"/>
  <c r="BA23" i="2" s="1"/>
  <c r="AZ34" i="2"/>
  <c r="BA34" i="2" s="1"/>
  <c r="AZ57" i="2"/>
  <c r="BA57" i="2" s="1"/>
  <c r="BB71" i="2"/>
  <c r="BC71" i="2" s="1"/>
  <c r="AX77" i="2"/>
  <c r="AY77" i="2" s="1"/>
  <c r="BB83" i="2"/>
  <c r="BC83" i="2" s="1"/>
  <c r="BD94" i="2"/>
  <c r="BE94" i="2" s="1"/>
  <c r="AX101" i="2"/>
  <c r="AY101" i="2" s="1"/>
  <c r="BD114" i="2"/>
  <c r="BE114" i="2" s="1"/>
  <c r="AX4" i="2"/>
  <c r="AY4" i="2" s="1"/>
  <c r="AX6" i="2"/>
  <c r="AY6" i="2" s="1"/>
  <c r="AX8" i="2"/>
  <c r="AY8" i="2" s="1"/>
  <c r="AX10" i="2"/>
  <c r="AY10" i="2" s="1"/>
  <c r="AX12" i="2"/>
  <c r="AY12" i="2" s="1"/>
  <c r="AX14" i="2"/>
  <c r="AY14" i="2" s="1"/>
  <c r="AX16" i="2"/>
  <c r="AY16" i="2" s="1"/>
  <c r="AX18" i="2"/>
  <c r="AY18" i="2" s="1"/>
  <c r="AX20" i="2"/>
  <c r="AY20" i="2" s="1"/>
  <c r="AX22" i="2"/>
  <c r="AY22" i="2" s="1"/>
  <c r="AX24" i="2"/>
  <c r="AY24" i="2" s="1"/>
  <c r="AX26" i="2"/>
  <c r="AY26" i="2" s="1"/>
  <c r="AX28" i="2"/>
  <c r="AY28" i="2" s="1"/>
  <c r="AX30" i="2"/>
  <c r="AY30" i="2" s="1"/>
  <c r="AX32" i="2"/>
  <c r="AY32" i="2" s="1"/>
  <c r="AX34" i="2"/>
  <c r="AY34" i="2" s="1"/>
  <c r="AX36" i="2"/>
  <c r="AY36" i="2" s="1"/>
  <c r="AX38" i="2"/>
  <c r="AY38" i="2" s="1"/>
  <c r="AX40" i="2"/>
  <c r="AY40" i="2" s="1"/>
  <c r="AX42" i="2"/>
  <c r="AY42" i="2" s="1"/>
  <c r="AX44" i="2"/>
  <c r="AY44" i="2" s="1"/>
  <c r="AX46" i="2"/>
  <c r="AY46" i="2" s="1"/>
  <c r="AX48" i="2"/>
  <c r="AY48" i="2" s="1"/>
  <c r="AX50" i="2"/>
  <c r="AY50" i="2" s="1"/>
  <c r="AX51" i="2"/>
  <c r="AY51" i="2" s="1"/>
  <c r="AX53" i="2"/>
  <c r="AY53" i="2" s="1"/>
  <c r="AX55" i="2"/>
  <c r="AY55" i="2" s="1"/>
  <c r="AX57" i="2"/>
  <c r="AY57" i="2" s="1"/>
  <c r="AX60" i="2"/>
  <c r="AY60" i="2" s="1"/>
  <c r="BD65" i="2"/>
  <c r="BE65" i="2" s="1"/>
  <c r="AZ67" i="2"/>
  <c r="BA67" i="2" s="1"/>
  <c r="BB74" i="2"/>
  <c r="BC74" i="2" s="1"/>
  <c r="AX76" i="2"/>
  <c r="AY76" i="2" s="1"/>
  <c r="BD81" i="2"/>
  <c r="BE81" i="2" s="1"/>
  <c r="AZ83" i="2"/>
  <c r="BA83" i="2" s="1"/>
  <c r="BB90" i="2"/>
  <c r="BC90" i="2" s="1"/>
  <c r="AX92" i="2"/>
  <c r="AY92" i="2" s="1"/>
  <c r="BD97" i="2"/>
  <c r="BE97" i="2" s="1"/>
  <c r="AZ99" i="2"/>
  <c r="BA99" i="2" s="1"/>
  <c r="BB102" i="2"/>
  <c r="BC102" i="2" s="1"/>
  <c r="AX104" i="2"/>
  <c r="AY104" i="2" s="1"/>
  <c r="AZ107" i="2"/>
  <c r="BA107" i="2" s="1"/>
  <c r="BB110" i="2"/>
  <c r="BC110" i="2" s="1"/>
  <c r="AX112" i="2"/>
  <c r="AY112" i="2" s="1"/>
  <c r="AZ115" i="2"/>
  <c r="BA115" i="2" s="1"/>
  <c r="AZ47" i="2"/>
  <c r="BA47" i="2" s="1"/>
  <c r="AZ52" i="2"/>
  <c r="BA52" i="2" s="1"/>
  <c r="AZ55" i="2"/>
  <c r="BA55" i="2" s="1"/>
  <c r="AZ60" i="2"/>
  <c r="BA60" i="2" s="1"/>
  <c r="BB63" i="2"/>
  <c r="BC63" i="2" s="1"/>
  <c r="BD78" i="2"/>
  <c r="BE78" i="2" s="1"/>
  <c r="BD98" i="2"/>
  <c r="BE98" i="2" s="1"/>
  <c r="AZ104" i="2"/>
  <c r="BA104" i="2" s="1"/>
  <c r="AT2" i="2"/>
  <c r="BO2" i="2"/>
  <c r="AH51" i="2" l="1"/>
  <c r="BP67" i="2"/>
  <c r="BQ67" i="2" s="1"/>
  <c r="BP20" i="2"/>
  <c r="BQ20" i="2" s="1"/>
  <c r="BP117" i="2"/>
  <c r="BQ117" i="2" s="1"/>
  <c r="BP101" i="2"/>
  <c r="BQ101" i="2" s="1"/>
  <c r="BP66" i="2"/>
  <c r="BQ66" i="2" s="1"/>
  <c r="BP99" i="2"/>
  <c r="BQ99" i="2" s="1"/>
  <c r="BP9" i="2"/>
  <c r="BQ9" i="2" s="1"/>
  <c r="BP12" i="2"/>
  <c r="BQ12" i="2" s="1"/>
  <c r="BP53" i="2"/>
  <c r="BQ53" i="2" s="1"/>
  <c r="BP93" i="2"/>
  <c r="BQ93" i="2" s="1"/>
  <c r="BP33" i="2"/>
  <c r="BQ33" i="2" s="1"/>
  <c r="BP86" i="2"/>
  <c r="BQ86" i="2" s="1"/>
  <c r="BP34" i="2"/>
  <c r="BQ34" i="2" s="1"/>
  <c r="BP75" i="2"/>
  <c r="BQ75" i="2" s="1"/>
  <c r="BP113" i="2"/>
  <c r="BQ113" i="2" s="1"/>
  <c r="BP98" i="2"/>
  <c r="BQ98" i="2" s="1"/>
  <c r="BP26" i="2"/>
  <c r="BQ26" i="2" s="1"/>
  <c r="BP65" i="2"/>
  <c r="BQ65" i="2" s="1"/>
  <c r="BP107" i="2"/>
  <c r="BQ107" i="2" s="1"/>
  <c r="BP76" i="2"/>
  <c r="BQ76" i="2" s="1"/>
  <c r="BP108" i="2"/>
  <c r="BQ108" i="2" s="1"/>
  <c r="BP15" i="2"/>
  <c r="BQ15" i="2" s="1"/>
  <c r="BP41" i="2"/>
  <c r="BQ41" i="2" s="1"/>
  <c r="BP54" i="2"/>
  <c r="BQ54" i="2" s="1"/>
  <c r="BP90" i="2"/>
  <c r="BQ90" i="2" s="1"/>
  <c r="BP116" i="2"/>
  <c r="BQ116" i="2" s="1"/>
  <c r="BP27" i="2"/>
  <c r="BQ27" i="2" s="1"/>
  <c r="BP91" i="2"/>
  <c r="BQ91" i="2" s="1"/>
  <c r="BP58" i="2"/>
  <c r="BQ58" i="2" s="1"/>
  <c r="BP56" i="2"/>
  <c r="BQ56" i="2" s="1"/>
  <c r="BP4" i="2"/>
  <c r="BQ4" i="2" s="1"/>
  <c r="BP8" i="2"/>
  <c r="BQ8" i="2" s="1"/>
  <c r="BP63" i="2"/>
  <c r="BQ63" i="2" s="1"/>
  <c r="BP37" i="2"/>
  <c r="BQ37" i="2" s="1"/>
  <c r="BP57" i="2"/>
  <c r="BQ57" i="2" s="1"/>
  <c r="BP100" i="2"/>
  <c r="BQ100" i="2" s="1"/>
  <c r="BP49" i="2"/>
  <c r="BQ49" i="2" s="1"/>
  <c r="BP45" i="2"/>
  <c r="BQ45" i="2" s="1"/>
  <c r="BP30" i="2"/>
  <c r="BQ30" i="2" s="1"/>
  <c r="BP69" i="2"/>
  <c r="BQ69" i="2" s="1"/>
  <c r="BP109" i="2"/>
  <c r="BQ109" i="2" s="1"/>
  <c r="BP40" i="2"/>
  <c r="BQ40" i="2" s="1"/>
  <c r="BP64" i="2"/>
  <c r="BQ64" i="2" s="1"/>
  <c r="BP25" i="2"/>
  <c r="BQ25" i="2" s="1"/>
  <c r="BP22" i="2"/>
  <c r="BQ22" i="2" s="1"/>
  <c r="BP61" i="2"/>
  <c r="BQ61" i="2" s="1"/>
  <c r="BP19" i="2"/>
  <c r="BQ19" i="2" s="1"/>
  <c r="BP46" i="2"/>
  <c r="BQ46" i="2" s="1"/>
  <c r="BP85" i="2"/>
  <c r="BQ85" i="2" s="1"/>
  <c r="BP70" i="2"/>
  <c r="BQ70" i="2" s="1"/>
  <c r="BP106" i="2"/>
  <c r="BQ106" i="2" s="1"/>
  <c r="BP38" i="2"/>
  <c r="BQ38" i="2" s="1"/>
  <c r="BP77" i="2"/>
  <c r="BQ77" i="2" s="1"/>
  <c r="BP115" i="2"/>
  <c r="BQ115" i="2" s="1"/>
  <c r="BP88" i="2"/>
  <c r="BQ88" i="2" s="1"/>
  <c r="BP114" i="2"/>
  <c r="BQ114" i="2" s="1"/>
  <c r="BP52" i="2"/>
  <c r="BQ52" i="2" s="1"/>
  <c r="BP59" i="2"/>
  <c r="BQ59" i="2" s="1"/>
  <c r="BP23" i="2"/>
  <c r="BQ23" i="2" s="1"/>
  <c r="BP96" i="2"/>
  <c r="BQ96" i="2" s="1"/>
  <c r="BP16" i="2"/>
  <c r="BQ16" i="2" s="1"/>
  <c r="BP29" i="2"/>
  <c r="BQ29" i="2" s="1"/>
  <c r="BP111" i="2"/>
  <c r="BQ111" i="2" s="1"/>
  <c r="BP84" i="2"/>
  <c r="BQ84" i="2" s="1"/>
  <c r="BP104" i="2"/>
  <c r="BQ104" i="2" s="1"/>
  <c r="BP82" i="2"/>
  <c r="BQ82" i="2" s="1"/>
  <c r="BP24" i="2"/>
  <c r="BQ24" i="2" s="1"/>
  <c r="BP105" i="2"/>
  <c r="BQ105" i="2" s="1"/>
  <c r="BP18" i="2"/>
  <c r="BQ18" i="2" s="1"/>
  <c r="BP97" i="2"/>
  <c r="BQ97" i="2" s="1"/>
  <c r="BP11" i="2"/>
  <c r="BQ11" i="2" s="1"/>
  <c r="BP43" i="2"/>
  <c r="BQ43" i="2" s="1"/>
  <c r="BP7" i="2"/>
  <c r="BQ7" i="2" s="1"/>
  <c r="BP42" i="2"/>
  <c r="BQ42" i="2" s="1"/>
  <c r="BP81" i="2"/>
  <c r="BQ81" i="2" s="1"/>
  <c r="BP72" i="2"/>
  <c r="BQ72" i="2" s="1"/>
  <c r="BP48" i="2"/>
  <c r="BQ48" i="2" s="1"/>
  <c r="BP32" i="2"/>
  <c r="BQ32" i="2" s="1"/>
  <c r="BP73" i="2"/>
  <c r="BQ73" i="2" s="1"/>
  <c r="BP80" i="2"/>
  <c r="BQ80" i="2" s="1"/>
  <c r="BP103" i="2"/>
  <c r="BQ103" i="2" s="1"/>
  <c r="BP35" i="2"/>
  <c r="BQ35" i="2" s="1"/>
  <c r="BP78" i="2"/>
  <c r="BQ78" i="2" s="1"/>
  <c r="BP47" i="2"/>
  <c r="BQ47" i="2" s="1"/>
  <c r="BP14" i="2"/>
  <c r="BQ14" i="2" s="1"/>
  <c r="BP55" i="2"/>
  <c r="BQ55" i="2" s="1"/>
  <c r="BP95" i="2"/>
  <c r="BQ95" i="2" s="1"/>
  <c r="BP60" i="2"/>
  <c r="BQ60" i="2" s="1"/>
  <c r="BP74" i="2"/>
  <c r="BQ74" i="2" s="1"/>
  <c r="BP13" i="2"/>
  <c r="BQ13" i="2" s="1"/>
  <c r="BP28" i="2"/>
  <c r="BQ28" i="2" s="1"/>
  <c r="BP6" i="2"/>
  <c r="BQ6" i="2" s="1"/>
  <c r="BP50" i="2"/>
  <c r="BQ50" i="2" s="1"/>
  <c r="BP87" i="2"/>
  <c r="BQ87" i="2" s="1"/>
  <c r="BP62" i="2"/>
  <c r="BQ62" i="2" s="1"/>
  <c r="BP94" i="2"/>
  <c r="BQ94" i="2" s="1"/>
  <c r="BP112" i="2"/>
  <c r="BQ112" i="2" s="1"/>
  <c r="BP71" i="2"/>
  <c r="BQ71" i="2" s="1"/>
  <c r="BP5" i="2"/>
  <c r="BQ5" i="2" s="1"/>
  <c r="BP36" i="2"/>
  <c r="BQ36" i="2" s="1"/>
  <c r="BP102" i="2"/>
  <c r="BQ102" i="2" s="1"/>
  <c r="BP79" i="2"/>
  <c r="BQ79" i="2" s="1"/>
  <c r="BP39" i="2"/>
  <c r="BQ39" i="2" s="1"/>
  <c r="BP17" i="2"/>
  <c r="BQ17" i="2" s="1"/>
  <c r="BP10" i="2"/>
  <c r="BQ10" i="2" s="1"/>
  <c r="BP51" i="2"/>
  <c r="BQ51" i="2" s="1"/>
  <c r="BP89" i="2"/>
  <c r="BQ89" i="2" s="1"/>
  <c r="BP92" i="2"/>
  <c r="BQ92" i="2" s="1"/>
  <c r="BP44" i="2"/>
  <c r="BQ44" i="2" s="1"/>
  <c r="BP83" i="2"/>
  <c r="BQ83" i="2" s="1"/>
  <c r="BP68" i="2"/>
  <c r="BQ68" i="2" s="1"/>
  <c r="BP21" i="2"/>
  <c r="BQ21" i="2" s="1"/>
  <c r="BP110" i="2"/>
  <c r="BQ110" i="2" s="1"/>
  <c r="BP31" i="2"/>
  <c r="BQ31" i="2" s="1"/>
  <c r="BP3" i="2"/>
  <c r="BQ3" i="2" s="1"/>
  <c r="AH48" i="2"/>
  <c r="AH32" i="2"/>
  <c r="AH16" i="2"/>
  <c r="AH65" i="2"/>
  <c r="AH55" i="2"/>
  <c r="AH40" i="2"/>
  <c r="AH24" i="2"/>
  <c r="AH8" i="2"/>
  <c r="AH97" i="2"/>
  <c r="AH34" i="2"/>
  <c r="AH6" i="2"/>
  <c r="AH45" i="2"/>
  <c r="AH95" i="2"/>
  <c r="AH71" i="2"/>
  <c r="AH58" i="2"/>
  <c r="AH43" i="2"/>
  <c r="AH27" i="2"/>
  <c r="AH11" i="2"/>
  <c r="AH42" i="2"/>
  <c r="AH81" i="2"/>
  <c r="AH30" i="2"/>
  <c r="AH29" i="2"/>
  <c r="AH88" i="2"/>
  <c r="AH94" i="2"/>
  <c r="AH62" i="2"/>
  <c r="AH76" i="2"/>
  <c r="AH80" i="2"/>
  <c r="AH90" i="2"/>
  <c r="AH74" i="2"/>
  <c r="AH64" i="2"/>
  <c r="AH73" i="2"/>
  <c r="AH36" i="2"/>
  <c r="AH20" i="2"/>
  <c r="AH4" i="2"/>
  <c r="AH50" i="2"/>
  <c r="AH33" i="2"/>
  <c r="AH87" i="2"/>
  <c r="AH63" i="2"/>
  <c r="AH70" i="2"/>
  <c r="AH54" i="2"/>
  <c r="AH39" i="2"/>
  <c r="AH23" i="2"/>
  <c r="AH7" i="2"/>
  <c r="AH93" i="2"/>
  <c r="AH26" i="2"/>
  <c r="AH69" i="2"/>
  <c r="AH14" i="2"/>
  <c r="AH56" i="2"/>
  <c r="AH21" i="2"/>
  <c r="AH91" i="2"/>
  <c r="AH89" i="2"/>
  <c r="AH22" i="2"/>
  <c r="AH60" i="2"/>
  <c r="AH25" i="2"/>
  <c r="AH79" i="2"/>
  <c r="AH35" i="2"/>
  <c r="AH19" i="2"/>
  <c r="AH3" i="2"/>
  <c r="AH77" i="2"/>
  <c r="AH10" i="2"/>
  <c r="AH53" i="2"/>
  <c r="AH49" i="2"/>
  <c r="AH9" i="2"/>
  <c r="AH83" i="2"/>
  <c r="AH68" i="2"/>
  <c r="AH72" i="2"/>
  <c r="AH86" i="2"/>
  <c r="AH92" i="2"/>
  <c r="AH96" i="2"/>
  <c r="AH98" i="2"/>
  <c r="AH82" i="2"/>
  <c r="AH66" i="2"/>
  <c r="AH84" i="2"/>
  <c r="AH38" i="2"/>
  <c r="AH17" i="2"/>
  <c r="AH44" i="2"/>
  <c r="AH28" i="2"/>
  <c r="AH12" i="2"/>
  <c r="AH85" i="2"/>
  <c r="AH18" i="2"/>
  <c r="AH52" i="2"/>
  <c r="AH13" i="2"/>
  <c r="AH75" i="2"/>
  <c r="AH78" i="2"/>
  <c r="AH47" i="2"/>
  <c r="AH31" i="2"/>
  <c r="AH15" i="2"/>
  <c r="AH61" i="2"/>
  <c r="AH46" i="2"/>
  <c r="AH37" i="2"/>
  <c r="AH5" i="2"/>
  <c r="AH67" i="2"/>
  <c r="AH57" i="2"/>
  <c r="AH41" i="2"/>
  <c r="AY2" i="2"/>
  <c r="BE2" i="2"/>
  <c r="BP2" i="2"/>
  <c r="BQ2" i="2" s="1"/>
  <c r="AU2" i="2"/>
  <c r="AW2" i="2"/>
  <c r="B4" i="10" l="1"/>
  <c r="C4" i="10"/>
  <c r="D4" i="10"/>
  <c r="E4" i="10"/>
  <c r="F4" i="10"/>
  <c r="G4" i="10"/>
  <c r="H4" i="10"/>
  <c r="I4" i="10"/>
  <c r="J4" i="10"/>
  <c r="B5" i="10"/>
  <c r="C5" i="10"/>
  <c r="D5" i="10"/>
  <c r="E5" i="10"/>
  <c r="F5" i="10"/>
  <c r="G5" i="10"/>
  <c r="H5" i="10"/>
  <c r="I5" i="10"/>
  <c r="J5" i="10"/>
  <c r="B6" i="10"/>
  <c r="C6" i="10"/>
  <c r="D6" i="10"/>
  <c r="E6" i="10"/>
  <c r="F6" i="10"/>
  <c r="G6" i="10"/>
  <c r="H6" i="10"/>
  <c r="I6" i="10"/>
  <c r="J6" i="10"/>
  <c r="B7" i="10"/>
  <c r="C7" i="10"/>
  <c r="D7" i="10"/>
  <c r="E7" i="10"/>
  <c r="F7" i="10"/>
  <c r="G7" i="10"/>
  <c r="H7" i="10"/>
  <c r="I7" i="10"/>
  <c r="J7" i="10"/>
  <c r="B8" i="10"/>
  <c r="C8" i="10"/>
  <c r="D8" i="10"/>
  <c r="E8" i="10"/>
  <c r="F8" i="10"/>
  <c r="G8" i="10"/>
  <c r="H8" i="10"/>
  <c r="I8" i="10"/>
  <c r="J8" i="10"/>
  <c r="B9" i="10"/>
  <c r="C9" i="10"/>
  <c r="D9" i="10"/>
  <c r="E9" i="10"/>
  <c r="F9" i="10"/>
  <c r="G9" i="10"/>
  <c r="H9" i="10"/>
  <c r="I9" i="10"/>
  <c r="J9" i="10"/>
  <c r="B10" i="10"/>
  <c r="C10" i="10"/>
  <c r="D10" i="10"/>
  <c r="E10" i="10"/>
  <c r="F10" i="10"/>
  <c r="G10" i="10"/>
  <c r="H10" i="10"/>
  <c r="I10" i="10"/>
  <c r="J10" i="10"/>
  <c r="B11" i="10"/>
  <c r="C11" i="10"/>
  <c r="D11" i="10"/>
  <c r="E11" i="10"/>
  <c r="F11" i="10"/>
  <c r="G11" i="10"/>
  <c r="H11" i="10"/>
  <c r="I11" i="10"/>
  <c r="J11" i="10"/>
  <c r="B12" i="10"/>
  <c r="C12" i="10"/>
  <c r="D12" i="10"/>
  <c r="E12" i="10"/>
  <c r="F12" i="10"/>
  <c r="G12" i="10"/>
  <c r="H12" i="10"/>
  <c r="I12" i="10"/>
  <c r="J12" i="10"/>
  <c r="B13" i="10"/>
  <c r="C13" i="10"/>
  <c r="D13" i="10"/>
  <c r="E13" i="10"/>
  <c r="F13" i="10"/>
  <c r="G13" i="10"/>
  <c r="H13" i="10"/>
  <c r="I13" i="10"/>
  <c r="J13" i="10"/>
  <c r="B14" i="10"/>
  <c r="C14" i="10"/>
  <c r="D14" i="10"/>
  <c r="E14" i="10"/>
  <c r="F14" i="10"/>
  <c r="G14" i="10"/>
  <c r="H14" i="10"/>
  <c r="I14" i="10"/>
  <c r="J14" i="10"/>
  <c r="B15" i="10"/>
  <c r="C15" i="10"/>
  <c r="D15" i="10"/>
  <c r="E15" i="10"/>
  <c r="F15" i="10"/>
  <c r="G15" i="10"/>
  <c r="H15" i="10"/>
  <c r="I15" i="10"/>
  <c r="J15" i="10"/>
  <c r="B16" i="10"/>
  <c r="C16" i="10"/>
  <c r="D16" i="10"/>
  <c r="E16" i="10"/>
  <c r="F16" i="10"/>
  <c r="G16" i="10"/>
  <c r="H16" i="10"/>
  <c r="I16" i="10"/>
  <c r="J16" i="10"/>
  <c r="B17" i="10"/>
  <c r="C17" i="10"/>
  <c r="D17" i="10"/>
  <c r="E17" i="10"/>
  <c r="F17" i="10"/>
  <c r="G17" i="10"/>
  <c r="H17" i="10"/>
  <c r="I17" i="10"/>
  <c r="J17" i="10"/>
  <c r="B18" i="10"/>
  <c r="C18" i="10"/>
  <c r="D18" i="10"/>
  <c r="E18" i="10"/>
  <c r="F18" i="10"/>
  <c r="G18" i="10"/>
  <c r="H18" i="10"/>
  <c r="I18" i="10"/>
  <c r="J18" i="10"/>
  <c r="B19" i="10"/>
  <c r="C19" i="10"/>
  <c r="D19" i="10"/>
  <c r="E19" i="10"/>
  <c r="F19" i="10"/>
  <c r="G19" i="10"/>
  <c r="H19" i="10"/>
  <c r="I19" i="10"/>
  <c r="J19" i="10"/>
  <c r="B20" i="10"/>
  <c r="C20" i="10"/>
  <c r="D20" i="10"/>
  <c r="E20" i="10"/>
  <c r="F20" i="10"/>
  <c r="G20" i="10"/>
  <c r="H20" i="10"/>
  <c r="I20" i="10"/>
  <c r="J20" i="10"/>
  <c r="B21" i="10"/>
  <c r="C21" i="10"/>
  <c r="D21" i="10"/>
  <c r="E21" i="10"/>
  <c r="F21" i="10"/>
  <c r="G21" i="10"/>
  <c r="H21" i="10"/>
  <c r="I21" i="10"/>
  <c r="J21" i="10"/>
  <c r="B22" i="10"/>
  <c r="C22" i="10"/>
  <c r="D22" i="10"/>
  <c r="E22" i="10"/>
  <c r="F22" i="10"/>
  <c r="G22" i="10"/>
  <c r="H22" i="10"/>
  <c r="I22" i="10"/>
  <c r="J22" i="10"/>
  <c r="B23" i="10"/>
  <c r="C23" i="10"/>
  <c r="D23" i="10"/>
  <c r="E23" i="10"/>
  <c r="F23" i="10"/>
  <c r="G23" i="10"/>
  <c r="H23" i="10"/>
  <c r="I23" i="10"/>
  <c r="J23" i="10"/>
  <c r="B24" i="10"/>
  <c r="C24" i="10"/>
  <c r="D24" i="10"/>
  <c r="E24" i="10"/>
  <c r="F24" i="10"/>
  <c r="G24" i="10"/>
  <c r="H24" i="10"/>
  <c r="I24" i="10"/>
  <c r="J24" i="10"/>
  <c r="B25" i="10"/>
  <c r="C25" i="10"/>
  <c r="D25" i="10"/>
  <c r="E25" i="10"/>
  <c r="F25" i="10"/>
  <c r="G25" i="10"/>
  <c r="H25" i="10"/>
  <c r="I25" i="10"/>
  <c r="J25" i="10"/>
  <c r="B26" i="10"/>
  <c r="C26" i="10"/>
  <c r="D26" i="10"/>
  <c r="E26" i="10"/>
  <c r="F26" i="10"/>
  <c r="G26" i="10"/>
  <c r="H26" i="10"/>
  <c r="I26" i="10"/>
  <c r="J26" i="10"/>
  <c r="B27" i="10"/>
  <c r="C27" i="10"/>
  <c r="D27" i="10"/>
  <c r="E27" i="10"/>
  <c r="F27" i="10"/>
  <c r="G27" i="10"/>
  <c r="H27" i="10"/>
  <c r="I27" i="10"/>
  <c r="J27" i="10"/>
  <c r="B28" i="10"/>
  <c r="C28" i="10"/>
  <c r="D28" i="10"/>
  <c r="E28" i="10"/>
  <c r="F28" i="10"/>
  <c r="G28" i="10"/>
  <c r="H28" i="10"/>
  <c r="I28" i="10"/>
  <c r="J28" i="10"/>
  <c r="B29" i="10"/>
  <c r="C29" i="10"/>
  <c r="D29" i="10"/>
  <c r="E29" i="10"/>
  <c r="F29" i="10"/>
  <c r="G29" i="10"/>
  <c r="H29" i="10"/>
  <c r="I29" i="10"/>
  <c r="J29" i="10"/>
  <c r="B30" i="10"/>
  <c r="C30" i="10"/>
  <c r="D30" i="10"/>
  <c r="E30" i="10"/>
  <c r="F30" i="10"/>
  <c r="G30" i="10"/>
  <c r="H30" i="10"/>
  <c r="I30" i="10"/>
  <c r="J30" i="10"/>
  <c r="B31" i="10"/>
  <c r="C31" i="10"/>
  <c r="D31" i="10"/>
  <c r="E31" i="10"/>
  <c r="F31" i="10"/>
  <c r="G31" i="10"/>
  <c r="H31" i="10"/>
  <c r="I31" i="10"/>
  <c r="J31" i="10"/>
  <c r="B32" i="10"/>
  <c r="C32" i="10"/>
  <c r="D32" i="10"/>
  <c r="E32" i="10"/>
  <c r="F32" i="10"/>
  <c r="G32" i="10"/>
  <c r="H32" i="10"/>
  <c r="I32" i="10"/>
  <c r="J32" i="10"/>
  <c r="B33" i="10"/>
  <c r="C33" i="10"/>
  <c r="D33" i="10"/>
  <c r="E33" i="10"/>
  <c r="F33" i="10"/>
  <c r="G33" i="10"/>
  <c r="H33" i="10"/>
  <c r="I33" i="10"/>
  <c r="J33" i="10"/>
  <c r="B34" i="10"/>
  <c r="C34" i="10"/>
  <c r="D34" i="10"/>
  <c r="E34" i="10"/>
  <c r="F34" i="10"/>
  <c r="G34" i="10"/>
  <c r="H34" i="10"/>
  <c r="I34" i="10"/>
  <c r="J34" i="10"/>
  <c r="B35" i="10"/>
  <c r="C35" i="10"/>
  <c r="D35" i="10"/>
  <c r="E35" i="10"/>
  <c r="F35" i="10"/>
  <c r="G35" i="10"/>
  <c r="H35" i="10"/>
  <c r="I35" i="10"/>
  <c r="J35" i="10"/>
  <c r="B36" i="10"/>
  <c r="C36" i="10"/>
  <c r="D36" i="10"/>
  <c r="E36" i="10"/>
  <c r="F36" i="10"/>
  <c r="G36" i="10"/>
  <c r="H36" i="10"/>
  <c r="I36" i="10"/>
  <c r="J36" i="10"/>
  <c r="B37" i="10"/>
  <c r="C37" i="10"/>
  <c r="D37" i="10"/>
  <c r="E37" i="10"/>
  <c r="F37" i="10"/>
  <c r="G37" i="10"/>
  <c r="H37" i="10"/>
  <c r="I37" i="10"/>
  <c r="J37" i="10"/>
  <c r="B38" i="10"/>
  <c r="C38" i="10"/>
  <c r="D38" i="10"/>
  <c r="E38" i="10"/>
  <c r="F38" i="10"/>
  <c r="G38" i="10"/>
  <c r="H38" i="10"/>
  <c r="I38" i="10"/>
  <c r="J38" i="10"/>
  <c r="B39" i="10"/>
  <c r="C39" i="10"/>
  <c r="D39" i="10"/>
  <c r="E39" i="10"/>
  <c r="F39" i="10"/>
  <c r="G39" i="10"/>
  <c r="H39" i="10"/>
  <c r="I39" i="10"/>
  <c r="J39" i="10"/>
  <c r="B40" i="10"/>
  <c r="C40" i="10"/>
  <c r="D40" i="10"/>
  <c r="E40" i="10"/>
  <c r="F40" i="10"/>
  <c r="G40" i="10"/>
  <c r="H40" i="10"/>
  <c r="I40" i="10"/>
  <c r="J40" i="10"/>
  <c r="B41" i="10"/>
  <c r="C41" i="10"/>
  <c r="D41" i="10"/>
  <c r="E41" i="10"/>
  <c r="F41" i="10"/>
  <c r="G41" i="10"/>
  <c r="H41" i="10"/>
  <c r="J41" i="10"/>
  <c r="B42" i="10"/>
  <c r="C42" i="10"/>
  <c r="D42" i="10"/>
  <c r="E42" i="10"/>
  <c r="F42" i="10"/>
  <c r="G42" i="10"/>
  <c r="H42" i="10"/>
  <c r="I42" i="10"/>
  <c r="J42" i="10"/>
  <c r="B43" i="10"/>
  <c r="C43" i="10"/>
  <c r="D43" i="10"/>
  <c r="E43" i="10"/>
  <c r="F43" i="10"/>
  <c r="G43" i="10"/>
  <c r="H43" i="10"/>
  <c r="I43" i="10"/>
  <c r="J43" i="10"/>
  <c r="B44" i="10"/>
  <c r="C44" i="10"/>
  <c r="D44" i="10"/>
  <c r="E44" i="10"/>
  <c r="F44" i="10"/>
  <c r="G44" i="10"/>
  <c r="H44" i="10"/>
  <c r="I44" i="10"/>
  <c r="J44" i="10"/>
  <c r="B45" i="10"/>
  <c r="C45" i="10"/>
  <c r="D45" i="10"/>
  <c r="E45" i="10"/>
  <c r="F45" i="10"/>
  <c r="G45" i="10"/>
  <c r="H45" i="10"/>
  <c r="I45" i="10"/>
  <c r="J45" i="10"/>
  <c r="B46" i="10"/>
  <c r="C46" i="10"/>
  <c r="D46" i="10"/>
  <c r="E46" i="10"/>
  <c r="F46" i="10"/>
  <c r="G46" i="10"/>
  <c r="H46" i="10"/>
  <c r="I46" i="10"/>
  <c r="J46" i="10"/>
  <c r="B47" i="10"/>
  <c r="C47" i="10"/>
  <c r="D47" i="10"/>
  <c r="E47" i="10"/>
  <c r="F47" i="10"/>
  <c r="G47" i="10"/>
  <c r="H47" i="10"/>
  <c r="I47" i="10"/>
  <c r="J47" i="10"/>
  <c r="B48" i="10"/>
  <c r="C48" i="10"/>
  <c r="D48" i="10"/>
  <c r="E48" i="10"/>
  <c r="F48" i="10"/>
  <c r="G48" i="10"/>
  <c r="H48" i="10"/>
  <c r="I48" i="10"/>
  <c r="J48" i="10"/>
  <c r="B49" i="10"/>
  <c r="C49" i="10"/>
  <c r="D49" i="10"/>
  <c r="E49" i="10"/>
  <c r="F49" i="10"/>
  <c r="G49" i="10"/>
  <c r="H49" i="10"/>
  <c r="I49" i="10"/>
  <c r="J49" i="10"/>
  <c r="B50" i="10"/>
  <c r="C50" i="10"/>
  <c r="D50" i="10"/>
  <c r="E50" i="10"/>
  <c r="F50" i="10"/>
  <c r="G50" i="10"/>
  <c r="H50" i="10"/>
  <c r="I50" i="10"/>
  <c r="J50" i="10"/>
  <c r="B51" i="10"/>
  <c r="C51" i="10"/>
  <c r="D51" i="10"/>
  <c r="E51" i="10"/>
  <c r="F51" i="10"/>
  <c r="G51" i="10"/>
  <c r="H51" i="10"/>
  <c r="I51" i="10"/>
  <c r="J51" i="10"/>
  <c r="C52" i="10"/>
  <c r="D52" i="10"/>
  <c r="E52" i="10"/>
  <c r="F52" i="10"/>
  <c r="G52" i="10"/>
  <c r="H52" i="10"/>
  <c r="I52" i="10"/>
  <c r="J52" i="10"/>
  <c r="B53" i="10"/>
  <c r="C53" i="10"/>
  <c r="D53" i="10"/>
  <c r="E53" i="10"/>
  <c r="F53" i="10"/>
  <c r="G53" i="10"/>
  <c r="H53" i="10"/>
  <c r="I53" i="10"/>
  <c r="J53" i="10"/>
  <c r="B54" i="10"/>
  <c r="C54" i="10"/>
  <c r="D54" i="10"/>
  <c r="E54" i="10"/>
  <c r="F54" i="10"/>
  <c r="G54" i="10"/>
  <c r="H54" i="10"/>
  <c r="I54" i="10"/>
  <c r="J54" i="10"/>
  <c r="B55" i="10"/>
  <c r="C55" i="10"/>
  <c r="D55" i="10"/>
  <c r="E55" i="10"/>
  <c r="F55" i="10"/>
  <c r="G55" i="10"/>
  <c r="H55" i="10"/>
  <c r="I55" i="10"/>
  <c r="J55" i="10"/>
  <c r="B56" i="10"/>
  <c r="C56" i="10"/>
  <c r="D56" i="10"/>
  <c r="E56" i="10"/>
  <c r="F56" i="10"/>
  <c r="G56" i="10"/>
  <c r="H56" i="10"/>
  <c r="I56" i="10"/>
  <c r="J56" i="10"/>
  <c r="B57" i="10"/>
  <c r="C57" i="10"/>
  <c r="D57" i="10"/>
  <c r="E57" i="10"/>
  <c r="F57" i="10"/>
  <c r="G57" i="10"/>
  <c r="H57" i="10"/>
  <c r="I57" i="10"/>
  <c r="J57" i="10"/>
  <c r="B58" i="10"/>
  <c r="C58" i="10"/>
  <c r="D58" i="10"/>
  <c r="E58" i="10"/>
  <c r="F58" i="10"/>
  <c r="G58" i="10"/>
  <c r="H58" i="10"/>
  <c r="I58" i="10"/>
  <c r="J58" i="10"/>
  <c r="B59" i="10"/>
  <c r="C59" i="10"/>
  <c r="D59" i="10"/>
  <c r="E59" i="10"/>
  <c r="F59" i="10"/>
  <c r="G59" i="10"/>
  <c r="H59" i="10"/>
  <c r="I59" i="10"/>
  <c r="J59" i="10"/>
  <c r="B60" i="10"/>
  <c r="C60" i="10"/>
  <c r="D60" i="10"/>
  <c r="E60" i="10"/>
  <c r="F60" i="10"/>
  <c r="G60" i="10"/>
  <c r="H60" i="10"/>
  <c r="I60" i="10"/>
  <c r="J60" i="10"/>
  <c r="B61" i="10"/>
  <c r="C61" i="10"/>
  <c r="D61" i="10"/>
  <c r="E61" i="10"/>
  <c r="F61" i="10"/>
  <c r="G61" i="10"/>
  <c r="H61" i="10"/>
  <c r="I61" i="10"/>
  <c r="J61" i="10"/>
  <c r="B62" i="10"/>
  <c r="C62" i="10"/>
  <c r="D62" i="10"/>
  <c r="E62" i="10"/>
  <c r="F62" i="10"/>
  <c r="G62" i="10"/>
  <c r="H62" i="10"/>
  <c r="I62" i="10"/>
  <c r="J62" i="10"/>
  <c r="B63" i="10"/>
  <c r="C63" i="10"/>
  <c r="D63" i="10"/>
  <c r="E63" i="10"/>
  <c r="F63" i="10"/>
  <c r="G63" i="10"/>
  <c r="H63" i="10"/>
  <c r="I63" i="10"/>
  <c r="J63" i="10"/>
  <c r="B64" i="10"/>
  <c r="C64" i="10"/>
  <c r="D64" i="10"/>
  <c r="E64" i="10"/>
  <c r="F64" i="10"/>
  <c r="G64" i="10"/>
  <c r="H64" i="10"/>
  <c r="I64" i="10"/>
  <c r="J64" i="10"/>
  <c r="B65" i="10"/>
  <c r="C65" i="10"/>
  <c r="D65" i="10"/>
  <c r="E65" i="10"/>
  <c r="F65" i="10"/>
  <c r="G65" i="10"/>
  <c r="H65" i="10"/>
  <c r="I65" i="10"/>
  <c r="J65" i="10"/>
  <c r="B66" i="10"/>
  <c r="C66" i="10"/>
  <c r="D66" i="10"/>
  <c r="E66" i="10"/>
  <c r="F66" i="10"/>
  <c r="G66" i="10"/>
  <c r="H66" i="10"/>
  <c r="I66" i="10"/>
  <c r="J66" i="10"/>
  <c r="B67" i="10"/>
  <c r="C67" i="10"/>
  <c r="D67" i="10"/>
  <c r="E67" i="10"/>
  <c r="F67" i="10"/>
  <c r="G67" i="10"/>
  <c r="H67" i="10"/>
  <c r="I67" i="10"/>
  <c r="J67" i="10"/>
  <c r="B68" i="10"/>
  <c r="C68" i="10"/>
  <c r="D68" i="10"/>
  <c r="E68" i="10"/>
  <c r="F68" i="10"/>
  <c r="G68" i="10"/>
  <c r="H68" i="10"/>
  <c r="I68" i="10"/>
  <c r="J68" i="10"/>
  <c r="B69" i="10"/>
  <c r="C69" i="10"/>
  <c r="D69" i="10"/>
  <c r="E69" i="10"/>
  <c r="F69" i="10"/>
  <c r="G69" i="10"/>
  <c r="H69" i="10"/>
  <c r="I69" i="10"/>
  <c r="J69" i="10"/>
  <c r="B70" i="10"/>
  <c r="C70" i="10"/>
  <c r="D70" i="10"/>
  <c r="E70" i="10"/>
  <c r="F70" i="10"/>
  <c r="G70" i="10"/>
  <c r="H70" i="10"/>
  <c r="I70" i="10"/>
  <c r="J70" i="10"/>
  <c r="B71" i="10"/>
  <c r="C71" i="10"/>
  <c r="D71" i="10"/>
  <c r="E71" i="10"/>
  <c r="F71" i="10"/>
  <c r="G71" i="10"/>
  <c r="H71" i="10"/>
  <c r="I71" i="10"/>
  <c r="J71" i="10"/>
  <c r="B72" i="10"/>
  <c r="C72" i="10"/>
  <c r="D72" i="10"/>
  <c r="E72" i="10"/>
  <c r="F72" i="10"/>
  <c r="G72" i="10"/>
  <c r="H72" i="10"/>
  <c r="I72" i="10"/>
  <c r="J72" i="10"/>
  <c r="B73" i="10"/>
  <c r="C73" i="10"/>
  <c r="D73" i="10"/>
  <c r="E73" i="10"/>
  <c r="F73" i="10"/>
  <c r="G73" i="10"/>
  <c r="H73" i="10"/>
  <c r="I73" i="10"/>
  <c r="J73" i="10"/>
  <c r="B74" i="10"/>
  <c r="C74" i="10"/>
  <c r="D74" i="10"/>
  <c r="E74" i="10"/>
  <c r="F74" i="10"/>
  <c r="G74" i="10"/>
  <c r="H74" i="10"/>
  <c r="I74" i="10"/>
  <c r="J74" i="10"/>
  <c r="B75" i="10"/>
  <c r="C75" i="10"/>
  <c r="D75" i="10"/>
  <c r="E75" i="10"/>
  <c r="F75" i="10"/>
  <c r="G75" i="10"/>
  <c r="H75" i="10"/>
  <c r="I75" i="10"/>
  <c r="J75" i="10"/>
  <c r="B76" i="10"/>
  <c r="C76" i="10"/>
  <c r="D76" i="10"/>
  <c r="E76" i="10"/>
  <c r="F76" i="10"/>
  <c r="G76" i="10"/>
  <c r="H76" i="10"/>
  <c r="I76" i="10"/>
  <c r="J76" i="10"/>
  <c r="B77" i="10"/>
  <c r="C77" i="10"/>
  <c r="D77" i="10"/>
  <c r="E77" i="10"/>
  <c r="F77" i="10"/>
  <c r="G77" i="10"/>
  <c r="H77" i="10"/>
  <c r="I77" i="10"/>
  <c r="J77" i="10"/>
  <c r="B78" i="10"/>
  <c r="C78" i="10"/>
  <c r="D78" i="10"/>
  <c r="E78" i="10"/>
  <c r="F78" i="10"/>
  <c r="G78" i="10"/>
  <c r="H78" i="10"/>
  <c r="I78" i="10"/>
  <c r="J78" i="10"/>
  <c r="B79" i="10"/>
  <c r="C79" i="10"/>
  <c r="D79" i="10"/>
  <c r="E79" i="10"/>
  <c r="F79" i="10"/>
  <c r="G79" i="10"/>
  <c r="H79" i="10"/>
  <c r="I79" i="10"/>
  <c r="J79" i="10"/>
  <c r="B80" i="10"/>
  <c r="C80" i="10"/>
  <c r="D80" i="10"/>
  <c r="E80" i="10"/>
  <c r="F80" i="10"/>
  <c r="G80" i="10"/>
  <c r="H80" i="10"/>
  <c r="I80" i="10"/>
  <c r="J80" i="10"/>
  <c r="B81" i="10"/>
  <c r="C81" i="10"/>
  <c r="D81" i="10"/>
  <c r="E81" i="10"/>
  <c r="F81" i="10"/>
  <c r="G81" i="10"/>
  <c r="H81" i="10"/>
  <c r="I81" i="10"/>
  <c r="J81" i="10"/>
  <c r="B82" i="10"/>
  <c r="C82" i="10"/>
  <c r="D82" i="10"/>
  <c r="E82" i="10"/>
  <c r="F82" i="10"/>
  <c r="G82" i="10"/>
  <c r="H82" i="10"/>
  <c r="I82" i="10"/>
  <c r="J82" i="10"/>
  <c r="B83" i="10"/>
  <c r="C83" i="10"/>
  <c r="D83" i="10"/>
  <c r="E83" i="10"/>
  <c r="F83" i="10"/>
  <c r="G83" i="10"/>
  <c r="H83" i="10"/>
  <c r="I83" i="10"/>
  <c r="J83" i="10"/>
  <c r="B84" i="10"/>
  <c r="C84" i="10"/>
  <c r="D84" i="10"/>
  <c r="E84" i="10"/>
  <c r="F84" i="10"/>
  <c r="G84" i="10"/>
  <c r="H84" i="10"/>
  <c r="I84" i="10"/>
  <c r="J84" i="10"/>
  <c r="B85" i="10"/>
  <c r="C85" i="10"/>
  <c r="D85" i="10"/>
  <c r="E85" i="10"/>
  <c r="F85" i="10"/>
  <c r="G85" i="10"/>
  <c r="H85" i="10"/>
  <c r="I85" i="10"/>
  <c r="J85" i="10"/>
  <c r="B86" i="10"/>
  <c r="C86" i="10"/>
  <c r="D86" i="10"/>
  <c r="E86" i="10"/>
  <c r="F86" i="10"/>
  <c r="G86" i="10"/>
  <c r="H86" i="10"/>
  <c r="I86" i="10"/>
  <c r="J86" i="10"/>
  <c r="B87" i="10"/>
  <c r="C87" i="10"/>
  <c r="D87" i="10"/>
  <c r="E87" i="10"/>
  <c r="F87" i="10"/>
  <c r="G87" i="10"/>
  <c r="H87" i="10"/>
  <c r="I87" i="10"/>
  <c r="J87" i="10"/>
  <c r="B88" i="10"/>
  <c r="C88" i="10"/>
  <c r="D88" i="10"/>
  <c r="E88" i="10"/>
  <c r="F88" i="10"/>
  <c r="G88" i="10"/>
  <c r="H88" i="10"/>
  <c r="I88" i="10"/>
  <c r="J88" i="10"/>
  <c r="B89" i="10"/>
  <c r="C89" i="10"/>
  <c r="D89" i="10"/>
  <c r="E89" i="10"/>
  <c r="F89" i="10"/>
  <c r="G89" i="10"/>
  <c r="H89" i="10"/>
  <c r="I89" i="10"/>
  <c r="J89" i="10"/>
  <c r="B90" i="10"/>
  <c r="C90" i="10"/>
  <c r="D90" i="10"/>
  <c r="E90" i="10"/>
  <c r="F90" i="10"/>
  <c r="G90" i="10"/>
  <c r="H90" i="10"/>
  <c r="I90" i="10"/>
  <c r="J90" i="10"/>
  <c r="B91" i="10"/>
  <c r="C91" i="10"/>
  <c r="D91" i="10"/>
  <c r="E91" i="10"/>
  <c r="F91" i="10"/>
  <c r="G91" i="10"/>
  <c r="H91" i="10"/>
  <c r="I91" i="10"/>
  <c r="J91" i="10"/>
  <c r="B92" i="10"/>
  <c r="C92" i="10"/>
  <c r="D92" i="10"/>
  <c r="E92" i="10"/>
  <c r="F92" i="10"/>
  <c r="G92" i="10"/>
  <c r="H92" i="10"/>
  <c r="I92" i="10"/>
  <c r="J92" i="10"/>
  <c r="B93" i="10"/>
  <c r="C93" i="10"/>
  <c r="D93" i="10"/>
  <c r="E93" i="10"/>
  <c r="F93" i="10"/>
  <c r="G93" i="10"/>
  <c r="H93" i="10"/>
  <c r="I93" i="10"/>
  <c r="J93" i="10"/>
  <c r="B94" i="10"/>
  <c r="C94" i="10"/>
  <c r="D94" i="10"/>
  <c r="E94" i="10"/>
  <c r="F94" i="10"/>
  <c r="G94" i="10"/>
  <c r="H94" i="10"/>
  <c r="I94" i="10"/>
  <c r="J94" i="10"/>
  <c r="B95" i="10"/>
  <c r="C95" i="10"/>
  <c r="D95" i="10"/>
  <c r="E95" i="10"/>
  <c r="F95" i="10"/>
  <c r="G95" i="10"/>
  <c r="H95" i="10"/>
  <c r="I95" i="10"/>
  <c r="J95" i="10"/>
  <c r="B96" i="10"/>
  <c r="C96" i="10"/>
  <c r="D96" i="10"/>
  <c r="E96" i="10"/>
  <c r="F96" i="10"/>
  <c r="G96" i="10"/>
  <c r="H96" i="10"/>
  <c r="I96" i="10"/>
  <c r="J96" i="10"/>
  <c r="B97" i="10"/>
  <c r="C97" i="10"/>
  <c r="D97" i="10"/>
  <c r="E97" i="10"/>
  <c r="F97" i="10"/>
  <c r="G97" i="10"/>
  <c r="H97" i="10"/>
  <c r="I97" i="10"/>
  <c r="J97" i="10"/>
  <c r="B98" i="10"/>
  <c r="C98" i="10"/>
  <c r="D98" i="10"/>
  <c r="E98" i="10"/>
  <c r="F98" i="10"/>
  <c r="G98" i="10"/>
  <c r="H98" i="10"/>
  <c r="I98" i="10"/>
  <c r="J98" i="10"/>
  <c r="B99" i="10"/>
  <c r="C99" i="10"/>
  <c r="D99" i="10"/>
  <c r="E99" i="10"/>
  <c r="F99" i="10"/>
  <c r="G99" i="10"/>
  <c r="H99" i="10"/>
  <c r="I99" i="10"/>
  <c r="J99" i="10"/>
  <c r="B100" i="10"/>
  <c r="C100" i="10"/>
  <c r="D100" i="10"/>
  <c r="E100" i="10"/>
  <c r="F100" i="10"/>
  <c r="G100" i="10"/>
  <c r="H100" i="10"/>
  <c r="I100" i="10"/>
  <c r="J100" i="10"/>
  <c r="B101" i="10"/>
  <c r="C101" i="10"/>
  <c r="D101" i="10"/>
  <c r="E101" i="10"/>
  <c r="F101" i="10"/>
  <c r="G101" i="10"/>
  <c r="H101" i="10"/>
  <c r="I101" i="10"/>
  <c r="J101" i="10"/>
  <c r="B102" i="10"/>
  <c r="C102" i="10"/>
  <c r="D102" i="10"/>
  <c r="E102" i="10"/>
  <c r="F102" i="10"/>
  <c r="G102" i="10"/>
  <c r="H102" i="10"/>
  <c r="I102" i="10"/>
  <c r="J102" i="10"/>
  <c r="B103" i="10"/>
  <c r="C103" i="10"/>
  <c r="D103" i="10"/>
  <c r="E103" i="10"/>
  <c r="F103" i="10"/>
  <c r="G103" i="10"/>
  <c r="H103" i="10"/>
  <c r="I103" i="10"/>
  <c r="J103" i="10"/>
  <c r="B104" i="10"/>
  <c r="C104" i="10"/>
  <c r="D104" i="10"/>
  <c r="E104" i="10"/>
  <c r="F104" i="10"/>
  <c r="G104" i="10"/>
  <c r="H104" i="10"/>
  <c r="I104" i="10"/>
  <c r="J104" i="10"/>
  <c r="B105" i="10"/>
  <c r="C105" i="10"/>
  <c r="D105" i="10"/>
  <c r="E105" i="10"/>
  <c r="F105" i="10"/>
  <c r="G105" i="10"/>
  <c r="H105" i="10"/>
  <c r="I105" i="10"/>
  <c r="J105" i="10"/>
  <c r="B106" i="10"/>
  <c r="C106" i="10"/>
  <c r="D106" i="10"/>
  <c r="E106" i="10"/>
  <c r="F106" i="10"/>
  <c r="G106" i="10"/>
  <c r="H106" i="10"/>
  <c r="I106" i="10"/>
  <c r="J106" i="10"/>
  <c r="B107" i="10"/>
  <c r="C107" i="10"/>
  <c r="D107" i="10"/>
  <c r="E107" i="10"/>
  <c r="F107" i="10"/>
  <c r="G107" i="10"/>
  <c r="H107" i="10"/>
  <c r="I107" i="10"/>
  <c r="J107" i="10"/>
  <c r="B108" i="10"/>
  <c r="C108" i="10"/>
  <c r="D108" i="10"/>
  <c r="E108" i="10"/>
  <c r="F108" i="10"/>
  <c r="G108" i="10"/>
  <c r="H108" i="10"/>
  <c r="I108" i="10"/>
  <c r="J108" i="10"/>
  <c r="B109" i="10"/>
  <c r="C109" i="10"/>
  <c r="D109" i="10"/>
  <c r="E109" i="10"/>
  <c r="F109" i="10"/>
  <c r="G109" i="10"/>
  <c r="H109" i="10"/>
  <c r="I109" i="10"/>
  <c r="J109" i="10"/>
  <c r="B110" i="10"/>
  <c r="C110" i="10"/>
  <c r="D110" i="10"/>
  <c r="E110" i="10"/>
  <c r="F110" i="10"/>
  <c r="G110" i="10"/>
  <c r="H110" i="10"/>
  <c r="I110" i="10"/>
  <c r="J110" i="10"/>
  <c r="B111" i="10"/>
  <c r="C111" i="10"/>
  <c r="D111" i="10"/>
  <c r="E111" i="10"/>
  <c r="F111" i="10"/>
  <c r="G111" i="10"/>
  <c r="H111" i="10"/>
  <c r="I111" i="10"/>
  <c r="J111" i="10"/>
  <c r="B112" i="10"/>
  <c r="C112" i="10"/>
  <c r="D112" i="10"/>
  <c r="E112" i="10"/>
  <c r="F112" i="10"/>
  <c r="G112" i="10"/>
  <c r="H112" i="10"/>
  <c r="I112" i="10"/>
  <c r="J112" i="10"/>
  <c r="B113" i="10"/>
  <c r="C113" i="10"/>
  <c r="D113" i="10"/>
  <c r="E113" i="10"/>
  <c r="F113" i="10"/>
  <c r="G113" i="10"/>
  <c r="H113" i="10"/>
  <c r="I113" i="10"/>
  <c r="J113" i="10"/>
  <c r="B114" i="10"/>
  <c r="C114" i="10"/>
  <c r="D114" i="10"/>
  <c r="E114" i="10"/>
  <c r="F114" i="10"/>
  <c r="G114" i="10"/>
  <c r="H114" i="10"/>
  <c r="I114" i="10"/>
  <c r="J114" i="10"/>
  <c r="B115" i="10"/>
  <c r="C115" i="10"/>
  <c r="D115" i="10"/>
  <c r="E115" i="10"/>
  <c r="F115" i="10"/>
  <c r="G115" i="10"/>
  <c r="H115" i="10"/>
  <c r="I115" i="10"/>
  <c r="J115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2" i="2"/>
  <c r="L62" i="10" l="1"/>
  <c r="L110" i="10"/>
  <c r="L102" i="10"/>
  <c r="L101" i="10"/>
  <c r="L7" i="10"/>
  <c r="L93" i="10"/>
  <c r="L69" i="10"/>
  <c r="L61" i="10"/>
  <c r="L109" i="10"/>
  <c r="L114" i="10"/>
  <c r="L70" i="10"/>
  <c r="L60" i="10"/>
  <c r="L38" i="10"/>
  <c r="L53" i="10"/>
  <c r="L46" i="10"/>
  <c r="L6" i="10"/>
  <c r="L54" i="10"/>
  <c r="L39" i="10"/>
  <c r="L48" i="10"/>
  <c r="L24" i="10"/>
  <c r="L8" i="10"/>
  <c r="L47" i="10"/>
  <c r="L40" i="10"/>
  <c r="L32" i="10"/>
  <c r="L115" i="10"/>
  <c r="L91" i="10"/>
  <c r="L59" i="10"/>
  <c r="L58" i="10"/>
  <c r="L52" i="10"/>
  <c r="L45" i="10"/>
  <c r="L44" i="10"/>
  <c r="L37" i="10"/>
  <c r="L36" i="10"/>
  <c r="L29" i="10"/>
  <c r="L28" i="10"/>
  <c r="L21" i="10"/>
  <c r="L20" i="10"/>
  <c r="L13" i="10"/>
  <c r="L12" i="10"/>
  <c r="L5" i="10"/>
  <c r="L4" i="10"/>
  <c r="L98" i="10"/>
  <c r="L90" i="10"/>
  <c r="L82" i="10"/>
  <c r="L74" i="10"/>
  <c r="L83" i="10"/>
  <c r="L107" i="10"/>
  <c r="L75" i="10"/>
  <c r="L94" i="10"/>
  <c r="L99" i="10"/>
  <c r="L86" i="10"/>
  <c r="L16" i="10"/>
  <c r="L66" i="10"/>
  <c r="L78" i="10"/>
  <c r="L67" i="10"/>
  <c r="L106" i="10"/>
  <c r="L108" i="10"/>
  <c r="L100" i="10"/>
  <c r="L92" i="10"/>
  <c r="L85" i="10"/>
  <c r="L84" i="10"/>
  <c r="L77" i="10"/>
  <c r="L76" i="10"/>
  <c r="L68" i="10"/>
  <c r="L31" i="10"/>
  <c r="L30" i="10"/>
  <c r="L23" i="10"/>
  <c r="L22" i="10"/>
  <c r="L15" i="10"/>
  <c r="L14" i="10"/>
  <c r="L97" i="10"/>
  <c r="L73" i="10"/>
  <c r="L72" i="10"/>
  <c r="L65" i="10"/>
  <c r="L64" i="10"/>
  <c r="L57" i="10"/>
  <c r="L56" i="10"/>
  <c r="L51" i="10"/>
  <c r="L50" i="10"/>
  <c r="L43" i="10"/>
  <c r="L42" i="10"/>
  <c r="L35" i="10"/>
  <c r="L34" i="10"/>
  <c r="L27" i="10"/>
  <c r="L26" i="10"/>
  <c r="L19" i="10"/>
  <c r="L18" i="10"/>
  <c r="L11" i="10"/>
  <c r="L10" i="10"/>
  <c r="L112" i="10"/>
  <c r="L88" i="10"/>
  <c r="L81" i="10"/>
  <c r="L80" i="10"/>
  <c r="L96" i="10"/>
  <c r="L89" i="10"/>
  <c r="L113" i="10"/>
  <c r="L104" i="10"/>
  <c r="L111" i="10"/>
  <c r="L103" i="10"/>
  <c r="L79" i="10"/>
  <c r="L63" i="10"/>
  <c r="L49" i="10"/>
  <c r="L33" i="10"/>
  <c r="L9" i="10"/>
  <c r="L71" i="10"/>
  <c r="L55" i="10"/>
  <c r="L41" i="10"/>
  <c r="L17" i="10"/>
  <c r="L105" i="10"/>
  <c r="L95" i="10"/>
  <c r="L87" i="10"/>
  <c r="L25" i="10"/>
  <c r="J3" i="10" l="1"/>
  <c r="I3" i="10"/>
  <c r="E3" i="10"/>
  <c r="F3" i="10"/>
  <c r="H3" i="10"/>
  <c r="D3" i="10"/>
  <c r="G3" i="10"/>
  <c r="C3" i="10"/>
  <c r="A19" i="1"/>
  <c r="A20" i="1"/>
  <c r="A21" i="1"/>
  <c r="A22" i="1"/>
  <c r="A23" i="1"/>
  <c r="A24" i="1"/>
  <c r="A25" i="1"/>
  <c r="A26" i="1"/>
  <c r="A18" i="1"/>
  <c r="M2" i="2"/>
  <c r="W2" i="2"/>
  <c r="AH2" i="2" l="1"/>
  <c r="K3" i="10"/>
  <c r="B3" i="10"/>
  <c r="L3" i="10" l="1"/>
  <c r="A5" i="2"/>
  <c r="D21" i="1" s="1"/>
  <c r="H21" i="1" s="1"/>
  <c r="A5" i="7"/>
  <c r="C19" i="1" s="1"/>
  <c r="A5" i="6"/>
  <c r="B25" i="1" s="1"/>
  <c r="B18" i="1" l="1"/>
  <c r="B22" i="1"/>
  <c r="C25" i="1"/>
  <c r="C18" i="1"/>
  <c r="E19" i="1"/>
  <c r="F20" i="1"/>
  <c r="F24" i="1"/>
  <c r="B24" i="1"/>
  <c r="B21" i="1"/>
  <c r="B20" i="1"/>
  <c r="C26" i="1"/>
  <c r="C21" i="1"/>
  <c r="C22" i="1"/>
  <c r="B34" i="1"/>
  <c r="B33" i="1"/>
  <c r="E21" i="1"/>
  <c r="F22" i="1"/>
  <c r="F23" i="1"/>
  <c r="B26" i="1"/>
  <c r="B23" i="1"/>
  <c r="B19" i="1"/>
  <c r="C23" i="1"/>
  <c r="C24" i="1"/>
  <c r="C20" i="1"/>
  <c r="E18" i="1"/>
  <c r="E24" i="1"/>
  <c r="E26" i="1"/>
  <c r="G23" i="1"/>
  <c r="F25" i="1"/>
  <c r="G19" i="1"/>
  <c r="G22" i="1"/>
  <c r="E29" i="1"/>
  <c r="E20" i="1"/>
  <c r="E22" i="1"/>
  <c r="H35" i="1"/>
  <c r="G26" i="1"/>
  <c r="F21" i="1"/>
  <c r="G21" i="1"/>
  <c r="G25" i="1"/>
  <c r="B12" i="1"/>
  <c r="G24" i="1"/>
  <c r="E28" i="1"/>
  <c r="E23" i="1"/>
  <c r="E25" i="1"/>
  <c r="G20" i="1"/>
  <c r="F26" i="1"/>
  <c r="F19" i="1"/>
  <c r="G18" i="1"/>
  <c r="F18" i="1"/>
  <c r="D19" i="1"/>
  <c r="H19" i="1" s="1"/>
  <c r="D18" i="1"/>
  <c r="H18" i="1" s="1"/>
  <c r="D23" i="1"/>
  <c r="H23" i="1" s="1"/>
  <c r="D25" i="1"/>
  <c r="H25" i="1" s="1"/>
  <c r="D22" i="1"/>
  <c r="H22" i="1" s="1"/>
  <c r="D24" i="1"/>
  <c r="H24" i="1" s="1"/>
  <c r="D20" i="1"/>
  <c r="H20" i="1" s="1"/>
  <c r="D26" i="1"/>
  <c r="H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<sst xmlns="http://schemas.openxmlformats.org/spreadsheetml/2006/main" count="459" uniqueCount="207">
  <si>
    <t>ENGLISH LANGUAGE</t>
  </si>
  <si>
    <t>SOCIAL STUDIES</t>
  </si>
  <si>
    <t>MATHEMATICS</t>
  </si>
  <si>
    <t>INTEGRATED SCIENCE</t>
  </si>
  <si>
    <t>FRENCH</t>
  </si>
  <si>
    <t>STUDENT NAME</t>
  </si>
  <si>
    <t>SUBJECT</t>
  </si>
  <si>
    <t>GRADE</t>
  </si>
  <si>
    <t>INTERPRETATION</t>
  </si>
  <si>
    <t>STUDENT ID:</t>
  </si>
  <si>
    <t>NAME OF STUDENT:</t>
  </si>
  <si>
    <t>CLASS:</t>
  </si>
  <si>
    <t>YEAR:</t>
  </si>
  <si>
    <t xml:space="preserve">Remarks: </t>
  </si>
  <si>
    <t>Head Mistress: …………………………………………………………</t>
  </si>
  <si>
    <t>He is doing quite well but he should sit up.</t>
  </si>
  <si>
    <t>Not encouraging, he should sit up</t>
  </si>
  <si>
    <t>Not encouraging, she should sit up</t>
  </si>
  <si>
    <t>Very good performance. She can still do better</t>
  </si>
  <si>
    <t>Very good performance. He can still do better</t>
  </si>
  <si>
    <t>She is doing quite well but she should sit up</t>
  </si>
  <si>
    <t>He is doing very well but can still do better</t>
  </si>
  <si>
    <t>She is doing well but she should sit up and do better</t>
  </si>
  <si>
    <t>He is doing well but he should sit up and do better</t>
  </si>
  <si>
    <t>She can do better than this. Sit up!</t>
  </si>
  <si>
    <t xml:space="preserve">Class Teacher:     </t>
  </si>
  <si>
    <t>She is doing well but can still do better</t>
  </si>
  <si>
    <t>CLASS TEACHER</t>
  </si>
  <si>
    <t>E(I)</t>
  </si>
  <si>
    <t>S(I)</t>
  </si>
  <si>
    <t>R(I)</t>
  </si>
  <si>
    <t>M(I)</t>
  </si>
  <si>
    <t>SCI(I)</t>
  </si>
  <si>
    <t>F(I)</t>
  </si>
  <si>
    <t>SCORE</t>
  </si>
  <si>
    <t>AGGREGATE</t>
  </si>
  <si>
    <t>TOTAL OF 4 CORE AND 2 BEST ELECTIVE</t>
  </si>
  <si>
    <t>--</t>
  </si>
  <si>
    <t>ENG</t>
  </si>
  <si>
    <t>SOCIA</t>
  </si>
  <si>
    <t>RME</t>
  </si>
  <si>
    <t>MATHS</t>
  </si>
  <si>
    <t>SCI</t>
  </si>
  <si>
    <t>STUDENT ID</t>
  </si>
  <si>
    <t>TOTAL SCORE (4 Core &amp; 2 Best Electives):</t>
  </si>
  <si>
    <t>AGGREGATE (4 Core &amp; 2 Best Electives):</t>
  </si>
  <si>
    <t>DATE:</t>
  </si>
  <si>
    <t>DATE</t>
  </si>
  <si>
    <t>APS/01940</t>
  </si>
  <si>
    <t>TOTAL SCORE</t>
  </si>
  <si>
    <t>EXAMS SCORE</t>
  </si>
  <si>
    <t>CLASS SCORE</t>
  </si>
  <si>
    <t>POS.</t>
  </si>
  <si>
    <t>ENG.P</t>
  </si>
  <si>
    <t>SOSO.P</t>
  </si>
  <si>
    <t>RME.P</t>
  </si>
  <si>
    <t>MATHS.P</t>
  </si>
  <si>
    <t>FRE.P</t>
  </si>
  <si>
    <t>GHA.P</t>
  </si>
  <si>
    <t>TOTAL.P</t>
  </si>
  <si>
    <t>TOTAL</t>
  </si>
  <si>
    <t>Atten.</t>
  </si>
  <si>
    <t>Attendance</t>
  </si>
  <si>
    <t>SCI.PP</t>
  </si>
  <si>
    <t>COMPUTING</t>
  </si>
  <si>
    <t>CAREER TECHNOLOGY</t>
  </si>
  <si>
    <t>CREATIVE ARTS &amp; DESIGN</t>
  </si>
  <si>
    <t>COM(I)</t>
  </si>
  <si>
    <t>G(I)</t>
  </si>
  <si>
    <t>CT(I)</t>
  </si>
  <si>
    <t>CA(I)</t>
  </si>
  <si>
    <t>COM</t>
  </si>
  <si>
    <t>FRE</t>
  </si>
  <si>
    <t>GAN</t>
  </si>
  <si>
    <t>CTECH</t>
  </si>
  <si>
    <t>CART</t>
  </si>
  <si>
    <t>50ENG</t>
  </si>
  <si>
    <t>50SOCIAL</t>
  </si>
  <si>
    <t>50REL. &amp; MO</t>
  </si>
  <si>
    <t>50MATHS</t>
  </si>
  <si>
    <t>50SCIENCE</t>
  </si>
  <si>
    <t>50COM</t>
  </si>
  <si>
    <t>50FRE</t>
  </si>
  <si>
    <t>50GAN</t>
  </si>
  <si>
    <t>50CTECH</t>
  </si>
  <si>
    <t>50CART</t>
  </si>
  <si>
    <t>COM.P</t>
  </si>
  <si>
    <t>CTECH.P</t>
  </si>
  <si>
    <t>CART.P</t>
  </si>
  <si>
    <t>50SOCIAL.C</t>
  </si>
  <si>
    <t>50RME.C</t>
  </si>
  <si>
    <t>50ENGLISH.C</t>
  </si>
  <si>
    <t>50MATHS.C</t>
  </si>
  <si>
    <t>50SCI.C</t>
  </si>
  <si>
    <t>50COM.C</t>
  </si>
  <si>
    <t>50FRE.C</t>
  </si>
  <si>
    <t>50GAN.C</t>
  </si>
  <si>
    <t>50CTECH.C</t>
  </si>
  <si>
    <t>CART.C</t>
  </si>
  <si>
    <t>GENERAL REMARKS</t>
  </si>
  <si>
    <t>CONDUCT</t>
  </si>
  <si>
    <t>INTEREST / ATTITUDE</t>
  </si>
  <si>
    <t>GH. LANG. (AKUAPEM TWI)</t>
  </si>
  <si>
    <t>REL. &amp; MORAL EDU.</t>
  </si>
  <si>
    <t>PATIENCE AFUA MENSAH</t>
  </si>
  <si>
    <t>BRIGHT KELVIN SETSOAFIA</t>
  </si>
  <si>
    <t>MAGDALENE ARKO-AGYEPONG</t>
  </si>
  <si>
    <t xml:space="preserve">AGBENU JORDAN </t>
  </si>
  <si>
    <t>AGBO PRINCE</t>
  </si>
  <si>
    <t xml:space="preserve">APPIAH EMMANUEL </t>
  </si>
  <si>
    <t xml:space="preserve">ASARE RICHMOND </t>
  </si>
  <si>
    <t xml:space="preserve">ASIAMAH JOSEPH </t>
  </si>
  <si>
    <t xml:space="preserve">BAWA BASSIT </t>
  </si>
  <si>
    <t xml:space="preserve">DANQWAH PHILIP </t>
  </si>
  <si>
    <t>DEDIHA GIDEON</t>
  </si>
  <si>
    <t xml:space="preserve">ENCHILL KENNETH  </t>
  </si>
  <si>
    <t xml:space="preserve">ENTSIE FRANCIS </t>
  </si>
  <si>
    <t xml:space="preserve">ESHUN EVANS </t>
  </si>
  <si>
    <t xml:space="preserve">GOMASHIE PRINCE </t>
  </si>
  <si>
    <t xml:space="preserve">NUMEGBOR WISDOM </t>
  </si>
  <si>
    <t xml:space="preserve">OFFEI JUSTICE </t>
  </si>
  <si>
    <t xml:space="preserve">OSEI BELVIS </t>
  </si>
  <si>
    <t xml:space="preserve">OTU KOFI SOLOMON  </t>
  </si>
  <si>
    <t xml:space="preserve">OWUSU RUBEN </t>
  </si>
  <si>
    <t xml:space="preserve">SEIDU IBRAHIM </t>
  </si>
  <si>
    <t xml:space="preserve">TAGBOR MICHAEL </t>
  </si>
  <si>
    <t xml:space="preserve">ACQUAH PRISCILLA  </t>
  </si>
  <si>
    <t xml:space="preserve">ADI ROSE  </t>
  </si>
  <si>
    <t xml:space="preserve">ADOMAKO PRISCILLA  </t>
  </si>
  <si>
    <t xml:space="preserve">AGBEMAZI PRECIOUS  </t>
  </si>
  <si>
    <t xml:space="preserve">AGBENYEFIA BRIDGET </t>
  </si>
  <si>
    <t xml:space="preserve">AKATAYURE REGINA  </t>
  </si>
  <si>
    <t>AKROFI DORCAS</t>
  </si>
  <si>
    <t xml:space="preserve">AMOAH SAFOA </t>
  </si>
  <si>
    <t>ANIM AMOAH NHYIRABA</t>
  </si>
  <si>
    <t xml:space="preserve">APPIAH GLADYS  </t>
  </si>
  <si>
    <t xml:space="preserve">ASAMOAH STELLA  </t>
  </si>
  <si>
    <t xml:space="preserve">ASHANGBOR ABIGAIL  </t>
  </si>
  <si>
    <t xml:space="preserve">ASIGBEY JOYCE  </t>
  </si>
  <si>
    <t xml:space="preserve">ATTIPOE EUNICE </t>
  </si>
  <si>
    <t xml:space="preserve">BAAH COMFORT  </t>
  </si>
  <si>
    <t xml:space="preserve">BOATENG AGNES  </t>
  </si>
  <si>
    <t xml:space="preserve">BONNEY CHARITY  </t>
  </si>
  <si>
    <t xml:space="preserve">DIXON HARRIET  </t>
  </si>
  <si>
    <t xml:space="preserve">DJABA BELINDA  </t>
  </si>
  <si>
    <t xml:space="preserve">ESSEL EMMANUELLA  </t>
  </si>
  <si>
    <t xml:space="preserve">GAMAH ANGELA  </t>
  </si>
  <si>
    <t xml:space="preserve">GAMOR ESTHER  </t>
  </si>
  <si>
    <t xml:space="preserve">GYEMENA SERWAH  </t>
  </si>
  <si>
    <t xml:space="preserve">HABLEAME SHILLA  </t>
  </si>
  <si>
    <t xml:space="preserve">MENSAH FLORENCE  </t>
  </si>
  <si>
    <t xml:space="preserve">MENSAH VANESSA  </t>
  </si>
  <si>
    <t xml:space="preserve">NKETIA POKUAA CECELIA  </t>
  </si>
  <si>
    <t xml:space="preserve">ODOI MARGARET  </t>
  </si>
  <si>
    <t xml:space="preserve">OKYERE PRISCILLA  </t>
  </si>
  <si>
    <t xml:space="preserve">SALIFU ZULAIHA  </t>
  </si>
  <si>
    <t>SEFA AMA OWUSUWAA</t>
  </si>
  <si>
    <t xml:space="preserve">TETTEH MAVIS  </t>
  </si>
  <si>
    <t xml:space="preserve">TWUMASI VERA  </t>
  </si>
  <si>
    <t xml:space="preserve">WORMENOR JULIA  </t>
  </si>
  <si>
    <t xml:space="preserve">YEBOAH OLIVIA  </t>
  </si>
  <si>
    <t>NAME</t>
  </si>
  <si>
    <t xml:space="preserve">               END OF TERM EXAMINATION</t>
  </si>
  <si>
    <t>BASIC 7</t>
  </si>
  <si>
    <t>2024/25</t>
  </si>
  <si>
    <t xml:space="preserve">AGBENOR  ALFRED </t>
  </si>
  <si>
    <t xml:space="preserve">AGBOTSE EBENEZER </t>
  </si>
  <si>
    <t>BRAHENE PRISCILLA</t>
  </si>
  <si>
    <t>BRAHEHE PRISCILLA</t>
  </si>
  <si>
    <t>Sociable</t>
  </si>
  <si>
    <t>Friendly</t>
  </si>
  <si>
    <t>Hardworking</t>
  </si>
  <si>
    <t>Calm</t>
  </si>
  <si>
    <t>Dutiful</t>
  </si>
  <si>
    <t>playful</t>
  </si>
  <si>
    <t>Energetic</t>
  </si>
  <si>
    <t>Helpful</t>
  </si>
  <si>
    <t>Active</t>
  </si>
  <si>
    <t>Respectful</t>
  </si>
  <si>
    <t>Shy</t>
  </si>
  <si>
    <t>Responsible</t>
  </si>
  <si>
    <t>He is regular but not puntual to school</t>
  </si>
  <si>
    <t>She is regular but not punctual to school</t>
  </si>
  <si>
    <t>He is regular and puntual to school</t>
  </si>
  <si>
    <t>She is regular and puntual to school</t>
  </si>
  <si>
    <t>Participates in class</t>
  </si>
  <si>
    <t>Dull in class</t>
  </si>
  <si>
    <t>Slow to learning</t>
  </si>
  <si>
    <t>Truant</t>
  </si>
  <si>
    <t>Does not participate in class</t>
  </si>
  <si>
    <t>Keep up the good work.</t>
  </si>
  <si>
    <t>Excellent perfomance. Keep it up.</t>
  </si>
  <si>
    <t>He is doing well but he should pay more attention</t>
  </si>
  <si>
    <t>Excellent performance! Keep it up</t>
  </si>
  <si>
    <t>He can do better than this. Sit up!</t>
  </si>
  <si>
    <t>A promising child</t>
  </si>
  <si>
    <t>I am impressed with your progress this term</t>
  </si>
  <si>
    <t>You have the potential to excel</t>
  </si>
  <si>
    <t>A good attempt</t>
  </si>
  <si>
    <t>Needs special attention at home</t>
  </si>
  <si>
    <t>A070</t>
  </si>
  <si>
    <t>A071</t>
  </si>
  <si>
    <t>A244</t>
  </si>
  <si>
    <t>A319</t>
  </si>
  <si>
    <t xml:space="preserve"> </t>
  </si>
  <si>
    <t>GHANAIAN LANGUAGE</t>
  </si>
  <si>
    <t>AWUAH KEKELI JERRY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</si>
</sst>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Times New Roman"/>
      <family val="1"/>
    </font>
    <font>
      <sz val="12"/>
      <color indexed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0" borderId="1" xfId="0" applyFont="1" applyBorder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vertical="center" wrapText="1"/>
    </xf>
    <xf numFmtId="0" fontId="7" fillId="0" borderId="0" xfId="0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textRotation="90"/>
    </xf>
    <xf numFmtId="0" fontId="0" fillId="0" borderId="1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4" fontId="0" fillId="0" borderId="1" xfId="0" applyNumberFormat="1" applyBorder="1" applyAlignment="1">
      <alignment horizont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textRotation="90"/>
    </xf>
    <xf numFmtId="1" fontId="0" fillId="0" borderId="0" xfId="0" applyNumberFormat="1"/>
    <xf numFmtId="49" fontId="0" fillId="0" borderId="0" xfId="0" applyNumberFormat="1"/>
    <xf numFmtId="49" fontId="8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textRotation="90"/>
    </xf>
    <xf numFmtId="49" fontId="0" fillId="0" borderId="0" xfId="0" applyNumberForma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2" fillId="0" borderId="0" xfId="0" applyFont="1" applyAlignment="1">
      <alignment horizontal="left" vertical="center" wrapText="1"/>
    </xf>
    <xf numFmtId="49" fontId="1" fillId="0" borderId="1" xfId="0" applyNumberFormat="1" applyFont="1" applyBorder="1" applyAlignment="1">
      <alignment horizontal="center"/>
    </xf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 textRotation="180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roject Work'!A1"/><Relationship Id="rId13" Type="http://schemas.openxmlformats.org/officeDocument/2006/relationships/hyperlink" Target="#'Interest Attitude'!A1"/><Relationship Id="rId3" Type="http://schemas.openxmlformats.org/officeDocument/2006/relationships/hyperlink" Target="#Attendance!A1"/><Relationship Id="rId7" Type="http://schemas.openxmlformats.org/officeDocument/2006/relationships/hyperlink" Target="#Examscore!A1"/><Relationship Id="rId12" Type="http://schemas.openxmlformats.org/officeDocument/2006/relationships/hyperlink" Target="#Conduct!A1"/><Relationship Id="rId2" Type="http://schemas.openxmlformats.org/officeDocument/2006/relationships/hyperlink" Target="#Subjects!A1"/><Relationship Id="rId1" Type="http://schemas.openxmlformats.org/officeDocument/2006/relationships/hyperlink" Target="#Student!A1"/><Relationship Id="rId6" Type="http://schemas.openxmlformats.org/officeDocument/2006/relationships/hyperlink" Target="#'Test 2'!A1"/><Relationship Id="rId11" Type="http://schemas.openxmlformats.org/officeDocument/2006/relationships/hyperlink" Target="#'Group Work'!A1"/><Relationship Id="rId5" Type="http://schemas.openxmlformats.org/officeDocument/2006/relationships/hyperlink" Target="#'Test 1'!A1"/><Relationship Id="rId10" Type="http://schemas.openxmlformats.org/officeDocument/2006/relationships/hyperlink" Target="#'Class Teachers'!A1"/><Relationship Id="rId4" Type="http://schemas.openxmlformats.org/officeDocument/2006/relationships/hyperlink" Target="#'General Remarks'!A1"/><Relationship Id="rId9" Type="http://schemas.openxmlformats.org/officeDocument/2006/relationships/hyperlink" Target="#'Teacher''s Remark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9525</xdr:rowOff>
    </xdr:from>
    <xdr:to>
      <xdr:col>4</xdr:col>
      <xdr:colOff>200025</xdr:colOff>
      <xdr:row>4</xdr:row>
      <xdr:rowOff>38100</xdr:rowOff>
    </xdr:to>
    <xdr:sp macro="[0]!Button1_Click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8250" y="3905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Student</a:t>
          </a:r>
        </a:p>
      </xdr:txBody>
    </xdr:sp>
    <xdr:clientData/>
  </xdr:twoCellAnchor>
  <xdr:twoCellAnchor>
    <xdr:from>
      <xdr:col>4</xdr:col>
      <xdr:colOff>285750</xdr:colOff>
      <xdr:row>2</xdr:row>
      <xdr:rowOff>0</xdr:rowOff>
    </xdr:from>
    <xdr:to>
      <xdr:col>6</xdr:col>
      <xdr:colOff>466725</xdr:colOff>
      <xdr:row>4</xdr:row>
      <xdr:rowOff>28575</xdr:rowOff>
    </xdr:to>
    <xdr:sp macro="[0]!Sheet16.Button2_Click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24150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Subjects</a:t>
          </a:r>
        </a:p>
      </xdr:txBody>
    </xdr:sp>
    <xdr:clientData/>
  </xdr:twoCellAnchor>
  <xdr:twoCellAnchor>
    <xdr:from>
      <xdr:col>6</xdr:col>
      <xdr:colOff>542925</xdr:colOff>
      <xdr:row>2</xdr:row>
      <xdr:rowOff>0</xdr:rowOff>
    </xdr:from>
    <xdr:to>
      <xdr:col>9</xdr:col>
      <xdr:colOff>114300</xdr:colOff>
      <xdr:row>4</xdr:row>
      <xdr:rowOff>28575</xdr:rowOff>
    </xdr:to>
    <xdr:sp macro="[0]!Sheet16.Button3_Click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00525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Attendance</a:t>
          </a:r>
        </a:p>
      </xdr:txBody>
    </xdr:sp>
    <xdr:clientData/>
  </xdr:twoCellAnchor>
  <xdr:twoCellAnchor>
    <xdr:from>
      <xdr:col>11</xdr:col>
      <xdr:colOff>419100</xdr:colOff>
      <xdr:row>5</xdr:row>
      <xdr:rowOff>19050</xdr:rowOff>
    </xdr:from>
    <xdr:to>
      <xdr:col>14</xdr:col>
      <xdr:colOff>495300</xdr:colOff>
      <xdr:row>7</xdr:row>
      <xdr:rowOff>47625</xdr:rowOff>
    </xdr:to>
    <xdr:sp macro="[0]!Sheet16.Button4_Click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24700" y="971550"/>
          <a:ext cx="190500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General Remarks</a:t>
          </a:r>
        </a:p>
      </xdr:txBody>
    </xdr:sp>
    <xdr:clientData/>
  </xdr:twoCellAnchor>
  <xdr:twoCellAnchor>
    <xdr:from>
      <xdr:col>2</xdr:col>
      <xdr:colOff>0</xdr:colOff>
      <xdr:row>4</xdr:row>
      <xdr:rowOff>180975</xdr:rowOff>
    </xdr:from>
    <xdr:to>
      <xdr:col>4</xdr:col>
      <xdr:colOff>180975</xdr:colOff>
      <xdr:row>7</xdr:row>
      <xdr:rowOff>19050</xdr:rowOff>
    </xdr:to>
    <xdr:sp macro="[0]!Sheet16.Button5_Click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9200" y="942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1</a:t>
          </a:r>
        </a:p>
      </xdr:txBody>
    </xdr:sp>
    <xdr:clientData/>
  </xdr:twoCellAnchor>
  <xdr:twoCellAnchor>
    <xdr:from>
      <xdr:col>4</xdr:col>
      <xdr:colOff>257175</xdr:colOff>
      <xdr:row>5</xdr:row>
      <xdr:rowOff>0</xdr:rowOff>
    </xdr:from>
    <xdr:to>
      <xdr:col>6</xdr:col>
      <xdr:colOff>438150</xdr:colOff>
      <xdr:row>7</xdr:row>
      <xdr:rowOff>28575</xdr:rowOff>
    </xdr:to>
    <xdr:sp macro="[0]!Sheet16.Button6_Click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95575" y="952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2</a:t>
          </a:r>
        </a:p>
      </xdr:txBody>
    </xdr:sp>
    <xdr:clientData/>
  </xdr:twoCellAnchor>
  <xdr:twoCellAnchor>
    <xdr:from>
      <xdr:col>6</xdr:col>
      <xdr:colOff>523875</xdr:colOff>
      <xdr:row>5</xdr:row>
      <xdr:rowOff>19050</xdr:rowOff>
    </xdr:from>
    <xdr:to>
      <xdr:col>9</xdr:col>
      <xdr:colOff>95250</xdr:colOff>
      <xdr:row>7</xdr:row>
      <xdr:rowOff>47625</xdr:rowOff>
    </xdr:to>
    <xdr:sp macro="[0]!Sheet16.Button7_Click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1475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Examscore</a:t>
          </a:r>
        </a:p>
      </xdr:txBody>
    </xdr:sp>
    <xdr:clientData/>
  </xdr:twoCellAnchor>
  <xdr:twoCellAnchor>
    <xdr:from>
      <xdr:col>9</xdr:col>
      <xdr:colOff>152400</xdr:colOff>
      <xdr:row>5</xdr:row>
      <xdr:rowOff>19050</xdr:rowOff>
    </xdr:from>
    <xdr:to>
      <xdr:col>11</xdr:col>
      <xdr:colOff>333375</xdr:colOff>
      <xdr:row>7</xdr:row>
      <xdr:rowOff>47625</xdr:rowOff>
    </xdr:to>
    <xdr:sp macro="[0]!Sheet16.Button8_Click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638800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Project Work</a:t>
          </a:r>
        </a:p>
      </xdr:txBody>
    </xdr:sp>
    <xdr:clientData/>
  </xdr:twoCellAnchor>
  <xdr:twoCellAnchor>
    <xdr:from>
      <xdr:col>7</xdr:col>
      <xdr:colOff>19050</xdr:colOff>
      <xdr:row>7</xdr:row>
      <xdr:rowOff>152400</xdr:rowOff>
    </xdr:from>
    <xdr:to>
      <xdr:col>10</xdr:col>
      <xdr:colOff>38100</xdr:colOff>
      <xdr:row>9</xdr:row>
      <xdr:rowOff>180975</xdr:rowOff>
    </xdr:to>
    <xdr:sp macro="[0]!Sheet16.Button11_Click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86250" y="1485900"/>
          <a:ext cx="184785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Teacher's Remarks</a:t>
          </a:r>
        </a:p>
      </xdr:txBody>
    </xdr:sp>
    <xdr:clientData/>
  </xdr:twoCellAnchor>
  <xdr:twoCellAnchor>
    <xdr:from>
      <xdr:col>4</xdr:col>
      <xdr:colOff>257175</xdr:colOff>
      <xdr:row>7</xdr:row>
      <xdr:rowOff>142875</xdr:rowOff>
    </xdr:from>
    <xdr:to>
      <xdr:col>6</xdr:col>
      <xdr:colOff>514350</xdr:colOff>
      <xdr:row>9</xdr:row>
      <xdr:rowOff>171450</xdr:rowOff>
    </xdr:to>
    <xdr:sp macro="[0]!Sheet16.Button10_Click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95575" y="1476375"/>
          <a:ext cx="14763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Class Teachers</a:t>
          </a:r>
        </a:p>
      </xdr:txBody>
    </xdr:sp>
    <xdr:clientData/>
  </xdr:twoCellAnchor>
  <xdr:twoCellAnchor>
    <xdr:from>
      <xdr:col>2</xdr:col>
      <xdr:colOff>0</xdr:colOff>
      <xdr:row>7</xdr:row>
      <xdr:rowOff>133350</xdr:rowOff>
    </xdr:from>
    <xdr:to>
      <xdr:col>4</xdr:col>
      <xdr:colOff>180975</xdr:colOff>
      <xdr:row>9</xdr:row>
      <xdr:rowOff>161925</xdr:rowOff>
    </xdr:to>
    <xdr:sp macro="[0]!Sheet16.Button9_Click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19200" y="14668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Group Work</a:t>
          </a:r>
        </a:p>
      </xdr:txBody>
    </xdr:sp>
    <xdr:clientData/>
  </xdr:twoCellAnchor>
  <xdr:twoCellAnchor>
    <xdr:from>
      <xdr:col>9</xdr:col>
      <xdr:colOff>190500</xdr:colOff>
      <xdr:row>1</xdr:row>
      <xdr:rowOff>180975</xdr:rowOff>
    </xdr:from>
    <xdr:to>
      <xdr:col>11</xdr:col>
      <xdr:colOff>371475</xdr:colOff>
      <xdr:row>4</xdr:row>
      <xdr:rowOff>19050</xdr:rowOff>
    </xdr:to>
    <xdr:sp macro="[0]!Sheet16.Button4_Click" textlink="">
      <xdr:nvSpPr>
        <xdr:cNvPr id="3" name="Rectangle: Rounded Corner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BC18FD-4C55-4A82-9E92-1EDBE27B3FB3}"/>
            </a:ext>
          </a:extLst>
        </xdr:cNvPr>
        <xdr:cNvSpPr/>
      </xdr:nvSpPr>
      <xdr:spPr>
        <a:xfrm>
          <a:off x="5676900" y="3714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Conduct</a:t>
          </a:r>
        </a:p>
      </xdr:txBody>
    </xdr:sp>
    <xdr:clientData/>
  </xdr:twoCellAnchor>
  <xdr:twoCellAnchor>
    <xdr:from>
      <xdr:col>11</xdr:col>
      <xdr:colOff>466725</xdr:colOff>
      <xdr:row>2</xdr:row>
      <xdr:rowOff>0</xdr:rowOff>
    </xdr:from>
    <xdr:to>
      <xdr:col>14</xdr:col>
      <xdr:colOff>571500</xdr:colOff>
      <xdr:row>4</xdr:row>
      <xdr:rowOff>28575</xdr:rowOff>
    </xdr:to>
    <xdr:sp macro="[0]!Sheet16.Button4_Click" textlink="">
      <xdr:nvSpPr>
        <xdr:cNvPr id="14" name="Rectangle: Rounded Corner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0BD338C-34AB-4FDA-AB2F-7F10C3871017}"/>
            </a:ext>
          </a:extLst>
        </xdr:cNvPr>
        <xdr:cNvSpPr/>
      </xdr:nvSpPr>
      <xdr:spPr>
        <a:xfrm>
          <a:off x="7172325" y="381000"/>
          <a:ext cx="19335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Interest</a:t>
          </a:r>
          <a:r>
            <a:rPr lang="en-US" sz="1600" b="1" baseline="0"/>
            <a:t> / Attitude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7ED96-CEB0-4DDC-B2D6-909C515D1516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6723E-B91F-4ED1-B4FA-6F822536AC88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1447799</xdr:colOff>
      <xdr:row>29</xdr:row>
      <xdr:rowOff>57149</xdr:rowOff>
    </xdr:from>
    <xdr:to>
      <xdr:col>2</xdr:col>
      <xdr:colOff>914399</xdr:colOff>
      <xdr:row>31</xdr:row>
      <xdr:rowOff>47624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7799" y="7238999"/>
          <a:ext cx="2428875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64591</xdr:colOff>
      <xdr:row>3</xdr:row>
      <xdr:rowOff>114300</xdr:rowOff>
    </xdr:from>
    <xdr:to>
      <xdr:col>1</xdr:col>
      <xdr:colOff>971550</xdr:colOff>
      <xdr:row>7</xdr:row>
      <xdr:rowOff>231560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EB1516B-0826-5176-CA0A-5B693A56F1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752"/>
        <a:stretch/>
      </xdr:blipFill>
      <xdr:spPr>
        <a:xfrm>
          <a:off x="1740991" y="857250"/>
          <a:ext cx="906959" cy="1107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3</xdr:col>
      <xdr:colOff>596320</xdr:colOff>
      <xdr:row>2</xdr:row>
      <xdr:rowOff>241443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22D0D0-D68C-BAA5-F6D8-811DCB19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"/>
          <a:ext cx="4730170" cy="5652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28575</xdr:rowOff>
    </xdr:from>
    <xdr:to>
      <xdr:col>4</xdr:col>
      <xdr:colOff>247650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943350" y="219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114300</xdr:rowOff>
    </xdr:from>
    <xdr:to>
      <xdr:col>5</xdr:col>
      <xdr:colOff>257175</xdr:colOff>
      <xdr:row>2</xdr:row>
      <xdr:rowOff>123825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57700" y="1143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52916</xdr:colOff>
      <xdr:row>115</xdr:row>
      <xdr:rowOff>169334</xdr:rowOff>
    </xdr:from>
    <xdr:to>
      <xdr:col>16</xdr:col>
      <xdr:colOff>1453091</xdr:colOff>
      <xdr:row>118</xdr:row>
      <xdr:rowOff>7409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297583" y="22267334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0</xdr:row>
      <xdr:rowOff>104775</xdr:rowOff>
    </xdr:from>
    <xdr:to>
      <xdr:col>5</xdr:col>
      <xdr:colOff>9525</xdr:colOff>
      <xdr:row>2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76825" y="1047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1</xdr:row>
      <xdr:rowOff>66675</xdr:rowOff>
    </xdr:from>
    <xdr:to>
      <xdr:col>14</xdr:col>
      <xdr:colOff>85725</xdr:colOff>
      <xdr:row>3</xdr:row>
      <xdr:rowOff>76200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753600" y="2495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1</xdr:row>
      <xdr:rowOff>28575</xdr:rowOff>
    </xdr:from>
    <xdr:to>
      <xdr:col>25</xdr:col>
      <xdr:colOff>238125</xdr:colOff>
      <xdr:row>3</xdr:row>
      <xdr:rowOff>38100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573530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38100</xdr:rowOff>
    </xdr:from>
    <xdr:to>
      <xdr:col>14</xdr:col>
      <xdr:colOff>219075</xdr:colOff>
      <xdr:row>3</xdr:row>
      <xdr:rowOff>47625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934575" y="2466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523875</xdr:colOff>
      <xdr:row>1</xdr:row>
      <xdr:rowOff>47625</xdr:rowOff>
    </xdr:from>
    <xdr:to>
      <xdr:col>14</xdr:col>
      <xdr:colOff>95250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73455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76200</xdr:rowOff>
    </xdr:from>
    <xdr:to>
      <xdr:col>14</xdr:col>
      <xdr:colOff>180975</xdr:colOff>
      <xdr:row>3</xdr:row>
      <xdr:rowOff>85725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858375" y="2505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4</xdr:col>
      <xdr:colOff>200025</xdr:colOff>
      <xdr:row>3</xdr:row>
      <xdr:rowOff>19050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924425" y="209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BU412"/>
  <sheetViews>
    <sheetView workbookViewId="0"/>
  </sheetViews>
  <sheetFormatPr defaultRowHeight="15" x14ac:dyDescent="0.25"/>
  <sheetData>
    <row r="1" spans="1:73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</row>
    <row r="2" spans="1:73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</row>
    <row r="3" spans="1:73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</row>
    <row r="4" spans="1:73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</row>
    <row r="5" spans="1:73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</row>
    <row r="6" spans="1:73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</row>
    <row r="7" spans="1:73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</row>
    <row r="8" spans="1:73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</row>
    <row r="9" spans="1:73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</row>
    <row r="10" spans="1:73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</row>
    <row r="11" spans="1:73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</row>
    <row r="12" spans="1:73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</row>
    <row r="13" spans="1:73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</row>
    <row r="14" spans="1:73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</row>
    <row r="15" spans="1:73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</row>
    <row r="16" spans="1:73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</row>
    <row r="17" spans="1:73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</row>
    <row r="18" spans="1:73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</row>
    <row r="19" spans="1:73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</row>
    <row r="20" spans="1:73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</row>
    <row r="21" spans="1:73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</row>
    <row r="22" spans="1:73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</row>
    <row r="23" spans="1:73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</row>
    <row r="24" spans="1:73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</row>
    <row r="25" spans="1:73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</row>
    <row r="26" spans="1:73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</row>
    <row r="27" spans="1:73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</row>
    <row r="28" spans="1:73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</row>
    <row r="29" spans="1:73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</row>
    <row r="30" spans="1:73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</row>
    <row r="31" spans="1:73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</row>
    <row r="32" spans="1:73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</row>
    <row r="33" spans="1:73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</row>
    <row r="34" spans="1:73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</row>
    <row r="35" spans="1:73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</row>
    <row r="36" spans="1:73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</row>
    <row r="37" spans="1:73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</row>
    <row r="38" spans="1:73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</row>
    <row r="39" spans="1:73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</row>
    <row r="40" spans="1:73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</row>
    <row r="41" spans="1:73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</row>
    <row r="42" spans="1:73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</row>
    <row r="43" spans="1:73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</row>
    <row r="44" spans="1:73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</row>
    <row r="45" spans="1:73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</row>
    <row r="46" spans="1:73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</row>
    <row r="47" spans="1:73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</row>
    <row r="48" spans="1:73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</row>
    <row r="49" spans="1:73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</row>
    <row r="50" spans="1:73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</row>
    <row r="51" spans="1:73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</row>
    <row r="52" spans="1:73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</row>
    <row r="53" spans="1:73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</row>
    <row r="54" spans="1:73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</row>
    <row r="55" spans="1:73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</row>
    <row r="56" spans="1:73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</row>
    <row r="57" spans="1:73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</row>
    <row r="58" spans="1:73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</row>
    <row r="59" spans="1:73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</row>
    <row r="60" spans="1:73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</row>
    <row r="61" spans="1:73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</row>
    <row r="62" spans="1:73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</row>
    <row r="63" spans="1:73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</row>
    <row r="64" spans="1:73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</row>
    <row r="65" spans="1:73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</row>
    <row r="66" spans="1:73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</row>
    <row r="67" spans="1:73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</row>
    <row r="68" spans="1:73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</row>
    <row r="69" spans="1:73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</row>
    <row r="70" spans="1:73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</row>
    <row r="71" spans="1:73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</row>
    <row r="72" spans="1:73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</row>
    <row r="73" spans="1:73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</row>
    <row r="74" spans="1:73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</row>
    <row r="75" spans="1:73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</row>
    <row r="76" spans="1:73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</row>
    <row r="77" spans="1:73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</row>
    <row r="78" spans="1:73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</row>
    <row r="79" spans="1:73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</row>
    <row r="80" spans="1:73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</row>
    <row r="81" spans="1:73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</row>
    <row r="82" spans="1:73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</row>
    <row r="83" spans="1:73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</row>
    <row r="84" spans="1:73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</row>
    <row r="85" spans="1:73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</row>
    <row r="86" spans="1:73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</row>
    <row r="87" spans="1:73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</row>
    <row r="88" spans="1:73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</row>
    <row r="89" spans="1:73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</row>
    <row r="90" spans="1:73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</row>
    <row r="91" spans="1:73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</row>
    <row r="92" spans="1:73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</row>
    <row r="93" spans="1:73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</row>
    <row r="94" spans="1:73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</row>
    <row r="95" spans="1:73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</row>
    <row r="96" spans="1:73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</row>
    <row r="97" spans="1:73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</row>
    <row r="98" spans="1:73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</row>
    <row r="99" spans="1:73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</row>
    <row r="100" spans="1:73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</row>
    <row r="101" spans="1:73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</row>
    <row r="102" spans="1:73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</row>
    <row r="103" spans="1:73" x14ac:dyDescent="0.25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</row>
    <row r="104" spans="1:73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</row>
    <row r="105" spans="1:73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</row>
    <row r="106" spans="1:73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</row>
    <row r="107" spans="1:73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</row>
    <row r="108" spans="1:73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</row>
    <row r="109" spans="1:73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</row>
    <row r="110" spans="1:73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</row>
    <row r="111" spans="1:73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</row>
    <row r="112" spans="1:73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</row>
    <row r="113" spans="1:73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</row>
    <row r="114" spans="1:73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</row>
    <row r="115" spans="1:73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</row>
    <row r="116" spans="1:73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</row>
    <row r="117" spans="1:73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</row>
    <row r="118" spans="1:73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</row>
    <row r="119" spans="1:73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</row>
    <row r="120" spans="1:73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</row>
    <row r="121" spans="1:73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</row>
    <row r="122" spans="1:73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</row>
    <row r="123" spans="1:73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</row>
    <row r="124" spans="1:73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</row>
    <row r="125" spans="1:73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</row>
    <row r="126" spans="1:73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</row>
    <row r="127" spans="1:73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</row>
    <row r="128" spans="1:73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</row>
    <row r="129" spans="1:73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</row>
    <row r="130" spans="1:73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</row>
    <row r="131" spans="1:73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</row>
    <row r="132" spans="1:73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</row>
    <row r="133" spans="1:73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</row>
    <row r="134" spans="1:73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</row>
    <row r="135" spans="1:73" x14ac:dyDescent="0.2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</row>
    <row r="136" spans="1:73" x14ac:dyDescent="0.2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</row>
    <row r="137" spans="1:73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</row>
    <row r="138" spans="1:73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</row>
    <row r="139" spans="1:73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</row>
    <row r="140" spans="1:73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</row>
    <row r="141" spans="1:73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</row>
    <row r="142" spans="1:73" x14ac:dyDescent="0.2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</row>
    <row r="143" spans="1:73" x14ac:dyDescent="0.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</row>
    <row r="144" spans="1:73" x14ac:dyDescent="0.2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</row>
    <row r="145" spans="1:73" x14ac:dyDescent="0.2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</row>
    <row r="146" spans="1:73" x14ac:dyDescent="0.2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</row>
    <row r="147" spans="1:73" x14ac:dyDescent="0.2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</row>
    <row r="148" spans="1:73" x14ac:dyDescent="0.2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</row>
    <row r="149" spans="1:73" x14ac:dyDescent="0.2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</row>
    <row r="150" spans="1:73" x14ac:dyDescent="0.2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</row>
    <row r="151" spans="1:73" x14ac:dyDescent="0.2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</row>
    <row r="152" spans="1:73" x14ac:dyDescent="0.2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</row>
    <row r="153" spans="1:73" x14ac:dyDescent="0.2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</row>
    <row r="154" spans="1:73" x14ac:dyDescent="0.2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</row>
    <row r="155" spans="1:73" x14ac:dyDescent="0.2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</row>
    <row r="156" spans="1:73" x14ac:dyDescent="0.2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</row>
    <row r="157" spans="1:73" x14ac:dyDescent="0.2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</row>
    <row r="158" spans="1:73" x14ac:dyDescent="0.2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</row>
    <row r="159" spans="1:73" x14ac:dyDescent="0.2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</row>
    <row r="160" spans="1:73" x14ac:dyDescent="0.2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</row>
    <row r="161" spans="1:73" x14ac:dyDescent="0.2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</row>
    <row r="162" spans="1:73" x14ac:dyDescent="0.2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</row>
    <row r="163" spans="1:73" x14ac:dyDescent="0.2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</row>
    <row r="164" spans="1:73" x14ac:dyDescent="0.2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</row>
    <row r="165" spans="1:73" x14ac:dyDescent="0.2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</row>
    <row r="166" spans="1:73" x14ac:dyDescent="0.2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</row>
    <row r="167" spans="1:73" x14ac:dyDescent="0.2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</row>
    <row r="168" spans="1:73" x14ac:dyDescent="0.2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</row>
    <row r="169" spans="1:73" x14ac:dyDescent="0.2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</row>
    <row r="170" spans="1:73" x14ac:dyDescent="0.2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</row>
    <row r="171" spans="1:73" x14ac:dyDescent="0.2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</row>
    <row r="172" spans="1:73" x14ac:dyDescent="0.2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</row>
    <row r="173" spans="1:73" x14ac:dyDescent="0.2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</row>
    <row r="174" spans="1:73" x14ac:dyDescent="0.2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</row>
    <row r="175" spans="1:73" x14ac:dyDescent="0.2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</row>
    <row r="176" spans="1:73" x14ac:dyDescent="0.2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</row>
    <row r="177" spans="1:73" x14ac:dyDescent="0.2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</row>
    <row r="178" spans="1:73" x14ac:dyDescent="0.2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</row>
    <row r="179" spans="1:73" x14ac:dyDescent="0.2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</row>
    <row r="180" spans="1:73" x14ac:dyDescent="0.2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</row>
    <row r="181" spans="1:73" x14ac:dyDescent="0.2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</row>
    <row r="182" spans="1:73" x14ac:dyDescent="0.2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</row>
    <row r="183" spans="1:73" x14ac:dyDescent="0.2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</row>
    <row r="184" spans="1:73" x14ac:dyDescent="0.2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</row>
    <row r="185" spans="1:73" x14ac:dyDescent="0.2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</row>
    <row r="186" spans="1:73" x14ac:dyDescent="0.2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</row>
    <row r="187" spans="1:73" x14ac:dyDescent="0.2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</row>
    <row r="188" spans="1:73" x14ac:dyDescent="0.2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</row>
    <row r="189" spans="1:73" x14ac:dyDescent="0.2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</row>
    <row r="190" spans="1:73" x14ac:dyDescent="0.2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</row>
    <row r="191" spans="1:73" x14ac:dyDescent="0.2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</row>
    <row r="192" spans="1:73" x14ac:dyDescent="0.2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</row>
    <row r="193" spans="1:73" x14ac:dyDescent="0.2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</row>
    <row r="194" spans="1:73" x14ac:dyDescent="0.2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</row>
    <row r="195" spans="1:73" x14ac:dyDescent="0.2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</row>
    <row r="196" spans="1:73" x14ac:dyDescent="0.2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</row>
    <row r="197" spans="1:73" x14ac:dyDescent="0.2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</row>
    <row r="198" spans="1:73" x14ac:dyDescent="0.2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</row>
    <row r="199" spans="1:73" x14ac:dyDescent="0.2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</row>
    <row r="200" spans="1:73" x14ac:dyDescent="0.2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</row>
    <row r="201" spans="1:73" x14ac:dyDescent="0.2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</row>
    <row r="202" spans="1:73" x14ac:dyDescent="0.2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</row>
    <row r="203" spans="1:73" x14ac:dyDescent="0.2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</row>
    <row r="204" spans="1:73" x14ac:dyDescent="0.2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</row>
    <row r="205" spans="1:73" x14ac:dyDescent="0.2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</row>
    <row r="206" spans="1:73" x14ac:dyDescent="0.2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</row>
    <row r="207" spans="1:73" x14ac:dyDescent="0.2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</row>
    <row r="208" spans="1:73" x14ac:dyDescent="0.2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</row>
    <row r="209" spans="1:73" x14ac:dyDescent="0.2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</row>
    <row r="210" spans="1:73" x14ac:dyDescent="0.2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</row>
    <row r="211" spans="1:73" x14ac:dyDescent="0.2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</row>
    <row r="212" spans="1:73" x14ac:dyDescent="0.2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</row>
    <row r="213" spans="1:73" x14ac:dyDescent="0.2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</row>
    <row r="214" spans="1:73" x14ac:dyDescent="0.2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</row>
    <row r="215" spans="1:73" x14ac:dyDescent="0.2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</row>
    <row r="216" spans="1:73" x14ac:dyDescent="0.2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</row>
    <row r="217" spans="1:73" x14ac:dyDescent="0.2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</row>
    <row r="218" spans="1:73" x14ac:dyDescent="0.2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</row>
    <row r="219" spans="1:73" x14ac:dyDescent="0.2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</row>
    <row r="220" spans="1:73" x14ac:dyDescent="0.2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</row>
    <row r="221" spans="1:73" x14ac:dyDescent="0.2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</row>
    <row r="222" spans="1:73" x14ac:dyDescent="0.2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</row>
    <row r="223" spans="1:73" x14ac:dyDescent="0.2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</row>
    <row r="224" spans="1:73" x14ac:dyDescent="0.2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</row>
    <row r="225" spans="1:73" x14ac:dyDescent="0.2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</row>
    <row r="226" spans="1:73" x14ac:dyDescent="0.2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</row>
    <row r="227" spans="1:73" x14ac:dyDescent="0.2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</row>
    <row r="228" spans="1:73" x14ac:dyDescent="0.2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</row>
    <row r="229" spans="1:73" x14ac:dyDescent="0.2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</row>
    <row r="230" spans="1:73" x14ac:dyDescent="0.2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</row>
    <row r="231" spans="1:73" x14ac:dyDescent="0.2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</row>
    <row r="232" spans="1:73" x14ac:dyDescent="0.2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</row>
    <row r="233" spans="1:73" x14ac:dyDescent="0.2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</row>
    <row r="234" spans="1:73" x14ac:dyDescent="0.2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</row>
    <row r="235" spans="1:73" x14ac:dyDescent="0.2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</row>
    <row r="236" spans="1:73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</row>
    <row r="237" spans="1:73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</row>
    <row r="238" spans="1:73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</row>
    <row r="239" spans="1:73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</row>
    <row r="240" spans="1:73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</row>
    <row r="241" spans="1:73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</row>
    <row r="242" spans="1:73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</row>
    <row r="243" spans="1:73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</row>
    <row r="244" spans="1:73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</row>
    <row r="245" spans="1:73" x14ac:dyDescent="0.2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</row>
    <row r="246" spans="1:73" x14ac:dyDescent="0.2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</row>
    <row r="247" spans="1:73" x14ac:dyDescent="0.2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</row>
    <row r="248" spans="1:73" x14ac:dyDescent="0.2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</row>
    <row r="249" spans="1:73" x14ac:dyDescent="0.2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</row>
    <row r="250" spans="1:73" x14ac:dyDescent="0.2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</row>
    <row r="251" spans="1:73" x14ac:dyDescent="0.2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</row>
    <row r="252" spans="1:73" x14ac:dyDescent="0.2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</row>
    <row r="253" spans="1:73" x14ac:dyDescent="0.2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</row>
    <row r="254" spans="1:73" x14ac:dyDescent="0.2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</row>
    <row r="255" spans="1:73" x14ac:dyDescent="0.2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</row>
    <row r="256" spans="1:73" x14ac:dyDescent="0.2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</row>
    <row r="257" spans="1:73" x14ac:dyDescent="0.2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</row>
    <row r="258" spans="1:73" x14ac:dyDescent="0.2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</row>
    <row r="259" spans="1:73" x14ac:dyDescent="0.2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</row>
    <row r="260" spans="1:73" x14ac:dyDescent="0.2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</row>
    <row r="261" spans="1:73" x14ac:dyDescent="0.2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</row>
    <row r="262" spans="1:73" x14ac:dyDescent="0.2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</row>
    <row r="263" spans="1:73" x14ac:dyDescent="0.2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</row>
    <row r="264" spans="1:73" x14ac:dyDescent="0.2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</row>
    <row r="265" spans="1:73" x14ac:dyDescent="0.2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</row>
    <row r="266" spans="1:73" x14ac:dyDescent="0.2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</row>
    <row r="267" spans="1:73" x14ac:dyDescent="0.2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</row>
    <row r="268" spans="1:73" x14ac:dyDescent="0.2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</row>
    <row r="269" spans="1:73" x14ac:dyDescent="0.2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</row>
    <row r="270" spans="1:73" x14ac:dyDescent="0.2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</row>
    <row r="271" spans="1:73" x14ac:dyDescent="0.2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</row>
    <row r="272" spans="1:73" x14ac:dyDescent="0.2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</row>
    <row r="273" spans="1:73" x14ac:dyDescent="0.2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</row>
    <row r="274" spans="1:73" x14ac:dyDescent="0.2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</row>
    <row r="275" spans="1:73" x14ac:dyDescent="0.2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</row>
    <row r="276" spans="1:73" x14ac:dyDescent="0.2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</row>
    <row r="277" spans="1:73" x14ac:dyDescent="0.2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</row>
    <row r="278" spans="1:73" x14ac:dyDescent="0.2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</row>
    <row r="279" spans="1:73" x14ac:dyDescent="0.2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</row>
    <row r="280" spans="1:73" x14ac:dyDescent="0.2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</row>
    <row r="281" spans="1:73" x14ac:dyDescent="0.2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</row>
    <row r="282" spans="1:73" x14ac:dyDescent="0.2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</row>
    <row r="283" spans="1:73" x14ac:dyDescent="0.2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</row>
    <row r="284" spans="1:73" x14ac:dyDescent="0.2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</row>
    <row r="285" spans="1:73" x14ac:dyDescent="0.2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</row>
    <row r="286" spans="1:73" x14ac:dyDescent="0.2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</row>
    <row r="287" spans="1:73" x14ac:dyDescent="0.2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</row>
    <row r="288" spans="1:73" x14ac:dyDescent="0.2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</row>
    <row r="289" spans="1:73" x14ac:dyDescent="0.2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</row>
    <row r="290" spans="1:73" x14ac:dyDescent="0.2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</row>
    <row r="291" spans="1:73" x14ac:dyDescent="0.2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</row>
    <row r="292" spans="1:73" x14ac:dyDescent="0.2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</row>
    <row r="293" spans="1:73" x14ac:dyDescent="0.2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</row>
    <row r="294" spans="1:73" x14ac:dyDescent="0.2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</row>
    <row r="295" spans="1:73" x14ac:dyDescent="0.2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</row>
    <row r="296" spans="1:73" x14ac:dyDescent="0.2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</row>
    <row r="297" spans="1:73" x14ac:dyDescent="0.2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</row>
    <row r="298" spans="1:73" x14ac:dyDescent="0.2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</row>
    <row r="299" spans="1:73" x14ac:dyDescent="0.2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</row>
    <row r="300" spans="1:73" x14ac:dyDescent="0.2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</row>
    <row r="301" spans="1:73" x14ac:dyDescent="0.2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</row>
    <row r="302" spans="1:73" x14ac:dyDescent="0.2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</row>
    <row r="303" spans="1:73" x14ac:dyDescent="0.2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</row>
    <row r="304" spans="1:73" x14ac:dyDescent="0.2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</row>
    <row r="305" spans="1:73" x14ac:dyDescent="0.2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</row>
    <row r="306" spans="1:73" x14ac:dyDescent="0.2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</row>
    <row r="307" spans="1:73" x14ac:dyDescent="0.2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</row>
    <row r="308" spans="1:73" x14ac:dyDescent="0.2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</row>
    <row r="309" spans="1:73" x14ac:dyDescent="0.2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</row>
    <row r="310" spans="1:73" x14ac:dyDescent="0.2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</row>
    <row r="311" spans="1:73" x14ac:dyDescent="0.2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</row>
    <row r="312" spans="1:73" x14ac:dyDescent="0.2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</row>
    <row r="313" spans="1:73" x14ac:dyDescent="0.25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</row>
    <row r="314" spans="1:73" x14ac:dyDescent="0.25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</row>
    <row r="315" spans="1:73" x14ac:dyDescent="0.25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</row>
    <row r="316" spans="1:73" x14ac:dyDescent="0.25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</row>
    <row r="317" spans="1:73" x14ac:dyDescent="0.25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</row>
    <row r="318" spans="1:73" x14ac:dyDescent="0.25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</row>
    <row r="319" spans="1:73" x14ac:dyDescent="0.25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</row>
    <row r="320" spans="1:73" x14ac:dyDescent="0.25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</row>
    <row r="321" spans="1:73" x14ac:dyDescent="0.25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</row>
    <row r="322" spans="1:73" x14ac:dyDescent="0.25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</row>
    <row r="323" spans="1:73" x14ac:dyDescent="0.25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</row>
    <row r="324" spans="1:73" x14ac:dyDescent="0.25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</row>
    <row r="325" spans="1:73" x14ac:dyDescent="0.25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</row>
    <row r="326" spans="1:73" x14ac:dyDescent="0.25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</row>
    <row r="327" spans="1:73" x14ac:dyDescent="0.25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</row>
    <row r="328" spans="1:73" x14ac:dyDescent="0.25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</row>
    <row r="329" spans="1:73" x14ac:dyDescent="0.25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</row>
    <row r="330" spans="1:73" x14ac:dyDescent="0.25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</row>
    <row r="331" spans="1:73" x14ac:dyDescent="0.25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</row>
    <row r="332" spans="1:73" x14ac:dyDescent="0.25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</row>
    <row r="333" spans="1:73" x14ac:dyDescent="0.25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</row>
    <row r="334" spans="1:73" x14ac:dyDescent="0.25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</row>
    <row r="335" spans="1:73" x14ac:dyDescent="0.25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</row>
    <row r="336" spans="1:73" x14ac:dyDescent="0.25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</row>
    <row r="337" spans="1:73" x14ac:dyDescent="0.25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</row>
    <row r="338" spans="1:73" x14ac:dyDescent="0.25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</row>
    <row r="339" spans="1:73" x14ac:dyDescent="0.25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</row>
    <row r="340" spans="1:73" x14ac:dyDescent="0.25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</row>
    <row r="341" spans="1:73" x14ac:dyDescent="0.25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</row>
    <row r="342" spans="1:73" x14ac:dyDescent="0.25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</row>
    <row r="343" spans="1:73" x14ac:dyDescent="0.25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</row>
    <row r="344" spans="1:73" x14ac:dyDescent="0.25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</row>
    <row r="345" spans="1:73" x14ac:dyDescent="0.25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</row>
    <row r="346" spans="1:73" x14ac:dyDescent="0.25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</row>
    <row r="347" spans="1:73" x14ac:dyDescent="0.25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</row>
    <row r="348" spans="1:73" x14ac:dyDescent="0.25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</row>
    <row r="349" spans="1:73" x14ac:dyDescent="0.25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</row>
    <row r="350" spans="1:73" x14ac:dyDescent="0.25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</row>
    <row r="351" spans="1:73" x14ac:dyDescent="0.25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</row>
    <row r="352" spans="1:73" x14ac:dyDescent="0.25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</row>
    <row r="353" spans="1:73" x14ac:dyDescent="0.25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</row>
    <row r="354" spans="1:73" x14ac:dyDescent="0.25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</row>
    <row r="355" spans="1:73" x14ac:dyDescent="0.25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</row>
    <row r="356" spans="1:73" x14ac:dyDescent="0.25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</row>
    <row r="357" spans="1:73" x14ac:dyDescent="0.25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</row>
    <row r="358" spans="1:73" x14ac:dyDescent="0.25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</row>
    <row r="359" spans="1:73" x14ac:dyDescent="0.25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</row>
    <row r="360" spans="1:73" x14ac:dyDescent="0.25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</row>
    <row r="361" spans="1:73" x14ac:dyDescent="0.25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</row>
    <row r="362" spans="1:73" x14ac:dyDescent="0.25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</row>
    <row r="363" spans="1:73" x14ac:dyDescent="0.25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</row>
    <row r="364" spans="1:73" x14ac:dyDescent="0.25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</row>
    <row r="365" spans="1:73" x14ac:dyDescent="0.25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</row>
    <row r="366" spans="1:73" x14ac:dyDescent="0.25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</row>
    <row r="367" spans="1:73" x14ac:dyDescent="0.25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</row>
    <row r="368" spans="1:73" x14ac:dyDescent="0.25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</row>
    <row r="369" spans="1:73" x14ac:dyDescent="0.25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</row>
    <row r="370" spans="1:73" x14ac:dyDescent="0.25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</row>
    <row r="371" spans="1:73" x14ac:dyDescent="0.25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</row>
    <row r="372" spans="1:73" x14ac:dyDescent="0.25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</row>
    <row r="373" spans="1:73" x14ac:dyDescent="0.25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</row>
    <row r="374" spans="1:73" x14ac:dyDescent="0.25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</row>
    <row r="375" spans="1:73" x14ac:dyDescent="0.25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</row>
    <row r="376" spans="1:73" x14ac:dyDescent="0.25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</row>
    <row r="377" spans="1:73" x14ac:dyDescent="0.25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</row>
    <row r="378" spans="1:73" x14ac:dyDescent="0.25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</row>
    <row r="379" spans="1:73" x14ac:dyDescent="0.25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</row>
    <row r="380" spans="1:73" x14ac:dyDescent="0.25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</row>
    <row r="381" spans="1:73" x14ac:dyDescent="0.25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</row>
    <row r="382" spans="1:73" x14ac:dyDescent="0.25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</row>
    <row r="383" spans="1:73" x14ac:dyDescent="0.25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</row>
    <row r="384" spans="1:73" x14ac:dyDescent="0.25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</row>
    <row r="385" spans="1:73" x14ac:dyDescent="0.25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</row>
    <row r="386" spans="1:73" x14ac:dyDescent="0.25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</row>
    <row r="387" spans="1:73" x14ac:dyDescent="0.25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</row>
    <row r="388" spans="1:73" x14ac:dyDescent="0.25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</row>
    <row r="389" spans="1:73" x14ac:dyDescent="0.25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</row>
    <row r="390" spans="1:73" x14ac:dyDescent="0.25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</row>
    <row r="391" spans="1:73" x14ac:dyDescent="0.25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</row>
    <row r="392" spans="1:73" x14ac:dyDescent="0.25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</row>
    <row r="393" spans="1:73" x14ac:dyDescent="0.25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</row>
    <row r="394" spans="1:73" x14ac:dyDescent="0.25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</row>
    <row r="395" spans="1:73" x14ac:dyDescent="0.25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</row>
    <row r="396" spans="1:73" x14ac:dyDescent="0.25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</row>
    <row r="397" spans="1:73" x14ac:dyDescent="0.25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</row>
    <row r="398" spans="1:73" x14ac:dyDescent="0.25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</row>
    <row r="399" spans="1:73" x14ac:dyDescent="0.25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</row>
    <row r="400" spans="1:73" x14ac:dyDescent="0.25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</row>
    <row r="401" spans="1:73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</row>
    <row r="402" spans="1:73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</row>
    <row r="403" spans="1:73" x14ac:dyDescent="0.25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</row>
    <row r="404" spans="1:73" x14ac:dyDescent="0.25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</row>
    <row r="405" spans="1:73" x14ac:dyDescent="0.25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</row>
    <row r="406" spans="1:73" x14ac:dyDescent="0.25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</row>
    <row r="407" spans="1:73" x14ac:dyDescent="0.25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</row>
    <row r="408" spans="1:73" x14ac:dyDescent="0.25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</row>
    <row r="409" spans="1:73" x14ac:dyDescent="0.25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</row>
    <row r="410" spans="1:73" x14ac:dyDescent="0.25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</row>
    <row r="411" spans="1:73" x14ac:dyDescent="0.25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</row>
    <row r="412" spans="1:73" x14ac:dyDescent="0.25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1AA39-0EA3-4916-8384-37725710652A}">
  <sheetPr codeName="Sheet15"/>
  <dimension ref="C5:C28"/>
  <sheetViews>
    <sheetView topLeftCell="B1" workbookViewId="0">
      <selection activeCell="C20" sqref="C20"/>
    </sheetView>
  </sheetViews>
  <sheetFormatPr defaultRowHeight="15" x14ac:dyDescent="0.25"/>
  <cols>
    <col min="3" max="3" width="73.140625" customWidth="1"/>
  </cols>
  <sheetData>
    <row r="5" spans="3:3" ht="15.75" x14ac:dyDescent="0.25">
      <c r="C5" s="9" t="s">
        <v>169</v>
      </c>
    </row>
    <row r="6" spans="3:3" x14ac:dyDescent="0.25">
      <c r="C6" s="10" t="s">
        <v>170</v>
      </c>
    </row>
    <row r="7" spans="3:3" ht="20.25" customHeight="1" x14ac:dyDescent="0.25">
      <c r="C7" s="10" t="s">
        <v>171</v>
      </c>
    </row>
    <row r="8" spans="3:3" x14ac:dyDescent="0.25">
      <c r="C8" s="10" t="s">
        <v>172</v>
      </c>
    </row>
    <row r="9" spans="3:3" ht="15.75" x14ac:dyDescent="0.25">
      <c r="C9" s="9" t="s">
        <v>173</v>
      </c>
    </row>
    <row r="10" spans="3:3" ht="15.75" x14ac:dyDescent="0.25">
      <c r="C10" s="9" t="s">
        <v>174</v>
      </c>
    </row>
    <row r="11" spans="3:3" ht="15.75" x14ac:dyDescent="0.25">
      <c r="C11" s="9" t="s">
        <v>175</v>
      </c>
    </row>
    <row r="12" spans="3:3" ht="15.75" x14ac:dyDescent="0.25">
      <c r="C12" s="9" t="s">
        <v>176</v>
      </c>
    </row>
    <row r="13" spans="3:3" ht="15.75" x14ac:dyDescent="0.25">
      <c r="C13" s="9" t="s">
        <v>177</v>
      </c>
    </row>
    <row r="14" spans="3:3" ht="15.75" x14ac:dyDescent="0.25">
      <c r="C14" s="9" t="s">
        <v>178</v>
      </c>
    </row>
    <row r="15" spans="3:3" ht="15.75" x14ac:dyDescent="0.25">
      <c r="C15" s="9" t="s">
        <v>179</v>
      </c>
    </row>
    <row r="16" spans="3:3" ht="15.75" x14ac:dyDescent="0.25">
      <c r="C16" s="9" t="s">
        <v>180</v>
      </c>
    </row>
    <row r="17" spans="3:3" ht="15.75" x14ac:dyDescent="0.25">
      <c r="C17" s="9"/>
    </row>
    <row r="18" spans="3:3" ht="15.75" x14ac:dyDescent="0.25">
      <c r="C18" s="9"/>
    </row>
    <row r="19" spans="3:3" ht="15.75" x14ac:dyDescent="0.25">
      <c r="C19" s="9"/>
    </row>
    <row r="20" spans="3:3" ht="15.75" x14ac:dyDescent="0.25">
      <c r="C20" s="9"/>
    </row>
    <row r="21" spans="3:3" ht="15.75" x14ac:dyDescent="0.25">
      <c r="C21" s="9"/>
    </row>
    <row r="22" spans="3:3" ht="15.75" x14ac:dyDescent="0.25">
      <c r="C22" s="9"/>
    </row>
    <row r="23" spans="3:3" ht="15.75" x14ac:dyDescent="0.25">
      <c r="C23" s="9"/>
    </row>
    <row r="24" spans="3:3" ht="15.75" x14ac:dyDescent="0.25">
      <c r="C24" s="9"/>
    </row>
    <row r="25" spans="3:3" ht="15.75" x14ac:dyDescent="0.25">
      <c r="C25" s="9"/>
    </row>
    <row r="26" spans="3:3" ht="15.75" x14ac:dyDescent="0.25">
      <c r="C26" s="9"/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E0C2-F50D-431B-9799-938B6CD02E92}">
  <sheetPr codeName="Sheet17"/>
  <dimension ref="C6:C28"/>
  <sheetViews>
    <sheetView workbookViewId="0"/>
  </sheetViews>
  <sheetFormatPr defaultRowHeight="15" x14ac:dyDescent="0.25"/>
  <cols>
    <col min="3" max="3" width="73.140625" customWidth="1"/>
  </cols>
  <sheetData>
    <row r="6" spans="3:3" ht="15.75" x14ac:dyDescent="0.25">
      <c r="C6" s="9" t="s">
        <v>181</v>
      </c>
    </row>
    <row r="7" spans="3:3" ht="20.25" customHeight="1" x14ac:dyDescent="0.25">
      <c r="C7" s="10" t="s">
        <v>182</v>
      </c>
    </row>
    <row r="8" spans="3:3" ht="15.75" x14ac:dyDescent="0.25">
      <c r="C8" s="9" t="s">
        <v>183</v>
      </c>
    </row>
    <row r="9" spans="3:3" ht="15.75" x14ac:dyDescent="0.25">
      <c r="C9" s="9" t="s">
        <v>184</v>
      </c>
    </row>
    <row r="10" spans="3:3" ht="15.75" x14ac:dyDescent="0.25">
      <c r="C10" s="9" t="s">
        <v>185</v>
      </c>
    </row>
    <row r="11" spans="3:3" ht="15.75" x14ac:dyDescent="0.25">
      <c r="C11" s="9" t="s">
        <v>186</v>
      </c>
    </row>
    <row r="12" spans="3:3" ht="15.75" x14ac:dyDescent="0.25">
      <c r="C12" s="9" t="s">
        <v>187</v>
      </c>
    </row>
    <row r="13" spans="3:3" ht="15.75" x14ac:dyDescent="0.25">
      <c r="C13" s="9" t="s">
        <v>188</v>
      </c>
    </row>
    <row r="14" spans="3:3" ht="15.75" x14ac:dyDescent="0.25">
      <c r="C14" s="9" t="s">
        <v>189</v>
      </c>
    </row>
    <row r="15" spans="3:3" ht="15.75" x14ac:dyDescent="0.25">
      <c r="C15" s="9"/>
    </row>
    <row r="16" spans="3:3" ht="15.75" x14ac:dyDescent="0.25">
      <c r="C16" s="9"/>
    </row>
    <row r="17" spans="3:3" ht="15.75" x14ac:dyDescent="0.25">
      <c r="C17" s="9"/>
    </row>
    <row r="18" spans="3:3" ht="15.75" x14ac:dyDescent="0.25">
      <c r="C18" s="9"/>
    </row>
    <row r="19" spans="3:3" ht="15.75" x14ac:dyDescent="0.25">
      <c r="C19" s="9"/>
    </row>
    <row r="20" spans="3:3" ht="15.75" x14ac:dyDescent="0.25">
      <c r="C20" s="9"/>
    </row>
    <row r="21" spans="3:3" ht="15.75" x14ac:dyDescent="0.25">
      <c r="C21" s="9"/>
    </row>
    <row r="22" spans="3:3" ht="15.75" x14ac:dyDescent="0.25">
      <c r="C22" s="9"/>
    </row>
    <row r="23" spans="3:3" ht="15.75" x14ac:dyDescent="0.25">
      <c r="C23" s="9"/>
    </row>
    <row r="24" spans="3:3" ht="15.75" x14ac:dyDescent="0.25">
      <c r="C24" s="9"/>
    </row>
    <row r="25" spans="3:3" ht="15.75" x14ac:dyDescent="0.25">
      <c r="C25" s="9"/>
    </row>
    <row r="26" spans="3:3" ht="15.75" x14ac:dyDescent="0.25">
      <c r="C26" s="9"/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5"/>
  <sheetViews>
    <sheetView zoomScaleNormal="100" workbookViewId="0">
      <selection activeCell="C13" sqref="C13"/>
    </sheetView>
  </sheetViews>
  <sheetFormatPr defaultRowHeight="15" x14ac:dyDescent="0.25"/>
  <cols>
    <col min="1" max="1" width="25.140625" customWidth="1"/>
    <col min="2" max="2" width="19.28515625" customWidth="1"/>
    <col min="3" max="3" width="17.5703125" customWidth="1"/>
    <col min="4" max="4" width="16.85546875" customWidth="1"/>
    <col min="5" max="5" width="11" customWidth="1"/>
    <col min="6" max="7" width="3.140625" customWidth="1"/>
    <col min="8" max="8" width="22.85546875" customWidth="1"/>
    <col min="9" max="9" width="9.140625" customWidth="1"/>
  </cols>
  <sheetData>
    <row r="1" spans="1:8" ht="20.100000000000001" customHeight="1" x14ac:dyDescent="0.25"/>
    <row r="2" spans="1:8" ht="20.100000000000001" customHeight="1" x14ac:dyDescent="0.25"/>
    <row r="3" spans="1:8" ht="20.100000000000001" customHeight="1" x14ac:dyDescent="0.25"/>
    <row r="4" spans="1:8" ht="20.100000000000001" customHeight="1" x14ac:dyDescent="0.25"/>
    <row r="5" spans="1:8" ht="20.100000000000001" customHeight="1" x14ac:dyDescent="0.25">
      <c r="A5" s="6"/>
    </row>
    <row r="6" spans="1:8" ht="20.100000000000001" customHeight="1" x14ac:dyDescent="0.25"/>
    <row r="7" spans="1:8" ht="20.100000000000001" customHeight="1" x14ac:dyDescent="0.25"/>
    <row r="8" spans="1:8" ht="20.100000000000001" customHeight="1" x14ac:dyDescent="0.25"/>
    <row r="9" spans="1:8" ht="20.100000000000001" customHeight="1" x14ac:dyDescent="0.35">
      <c r="A9" s="7" t="s">
        <v>162</v>
      </c>
    </row>
    <row r="10" spans="1:8" ht="20.100000000000001" customHeight="1" x14ac:dyDescent="0.25"/>
    <row r="11" spans="1:8" ht="20.100000000000001" customHeight="1" x14ac:dyDescent="0.25">
      <c r="A11" s="6" t="s">
        <v>9</v>
      </c>
      <c r="B11" s="3" t="s">
        <v>48</v>
      </c>
      <c r="C11" s="3"/>
      <c r="D11" s="3"/>
    </row>
    <row r="12" spans="1:8" ht="20.100000000000001" customHeight="1" x14ac:dyDescent="0.25">
      <c r="A12" s="6" t="s">
        <v>10</v>
      </c>
      <c r="B12" s="46" t="e">
        <f>VLOOKUP(B11,'Grades Summary'!A2:AR117,2,0)</f>
        <v>#N/A</v>
      </c>
      <c r="C12" s="46"/>
      <c r="D12" s="46"/>
      <c r="E12" s="46"/>
      <c r="F12" s="46"/>
      <c r="G12" s="46"/>
      <c r="H12" s="46"/>
    </row>
    <row r="13" spans="1:8" ht="20.100000000000001" customHeight="1" x14ac:dyDescent="0.25">
      <c r="A13" s="6" t="s">
        <v>11</v>
      </c>
      <c r="B13" s="3" t="s">
        <v>163</v>
      </c>
      <c r="C13" s="3"/>
      <c r="D13" s="3"/>
    </row>
    <row r="14" spans="1:8" ht="20.100000000000001" customHeight="1" x14ac:dyDescent="0.25">
      <c r="A14" s="6" t="s">
        <v>12</v>
      </c>
      <c r="B14" s="8" t="s">
        <v>164</v>
      </c>
      <c r="C14" s="8"/>
      <c r="D14" s="8"/>
    </row>
    <row r="15" spans="1:8" ht="20.100000000000001" customHeight="1" x14ac:dyDescent="0.25">
      <c r="A15" s="6"/>
    </row>
    <row r="16" spans="1:8" ht="20.100000000000001" customHeight="1" x14ac:dyDescent="0.25"/>
    <row r="17" spans="1:8" ht="20.100000000000001" customHeight="1" x14ac:dyDescent="0.25">
      <c r="A17" s="4" t="s">
        <v>6</v>
      </c>
      <c r="B17" s="4" t="s">
        <v>50</v>
      </c>
      <c r="C17" s="4" t="s">
        <v>51</v>
      </c>
      <c r="D17" s="4" t="s">
        <v>49</v>
      </c>
      <c r="E17" s="4" t="s">
        <v>7</v>
      </c>
      <c r="F17" s="47" t="s">
        <v>52</v>
      </c>
      <c r="G17" s="48"/>
      <c r="H17" s="4" t="s">
        <v>8</v>
      </c>
    </row>
    <row r="18" spans="1:8" ht="20.100000000000001" customHeight="1" x14ac:dyDescent="0.25">
      <c r="A18" s="2" t="str">
        <f>Subjects!C1</f>
        <v>ENGLISH LANGUAGE</v>
      </c>
      <c r="B18" s="5" t="e">
        <f>VLOOKUP($B$11,ClassScore!$A$2:$V$99,12,0)</f>
        <v>#N/A</v>
      </c>
      <c r="C18" s="5" t="e">
        <f>VLOOKUP($B$11,Examscore!$A$2:$V$98,12,0)</f>
        <v>#N/A</v>
      </c>
      <c r="D18" s="5" t="e">
        <f>VLOOKUP($B$11,'Grades Summary'!$A$2:$AR$117,3,0)</f>
        <v>#N/A</v>
      </c>
      <c r="E18" s="5" t="e">
        <f>VLOOKUP($B$11,'Grades Summary'!$A$2:$AR$117,21,0)</f>
        <v>#N/A</v>
      </c>
      <c r="F18" s="5" t="e">
        <f>VLOOKUP($B$11,'Grades Summary'!$A$2:$BM$117,41,0)</f>
        <v>#N/A</v>
      </c>
      <c r="G18" s="5" t="e">
        <f>VLOOKUP($B$11,'Grades Summary'!$A$2:$BM$117,42,0)</f>
        <v>#N/A</v>
      </c>
      <c r="H18" s="5" t="e">
        <f>IF(D18=0,"--",IF(D18&gt;=85,"Highest",IF(D18&gt;=80,"Higher",IF(D18&gt;=70,"High",IF(D18&gt;=65,"High Average",IF(D18&gt;=60,"Average",IF(D18&gt;=55,"Low Average",IF(D18&gt;=50,"Low",IF(D18&gt;=40,"Lower","Lowest")))))))))</f>
        <v>#N/A</v>
      </c>
    </row>
    <row r="19" spans="1:8" ht="20.100000000000001" customHeight="1" x14ac:dyDescent="0.25">
      <c r="A19" s="2" t="str">
        <f>Subjects!C2</f>
        <v>SOCIAL STUDIES</v>
      </c>
      <c r="B19" s="5" t="e">
        <f>VLOOKUP($B$11,ClassScore!$A$2:$V$99,13,0)</f>
        <v>#N/A</v>
      </c>
      <c r="C19" s="5" t="e">
        <f>VLOOKUP($B$11,Examscore!$A$2:$V$98,13,0)</f>
        <v>#N/A</v>
      </c>
      <c r="D19" s="5" t="e">
        <f>VLOOKUP($B$11,'Grades Summary'!$A$2:$AR$117,4,0)</f>
        <v>#N/A</v>
      </c>
      <c r="E19" s="5" t="e">
        <f>VLOOKUP($B$11,'Grades Summary'!$A$2:$AR$117,22,0)</f>
        <v>#N/A</v>
      </c>
      <c r="F19" s="5" t="e">
        <f>VLOOKUP($B$11,'Grades Summary'!$A$2:$BM$117,43,0)</f>
        <v>#N/A</v>
      </c>
      <c r="G19" s="5" t="e">
        <f>VLOOKUP($B$11,'Grades Summary'!$A$2:$BM$117,44,0)</f>
        <v>#N/A</v>
      </c>
      <c r="H19" s="5" t="e">
        <f t="shared" ref="H19:H26" si="0">IF(D19=0,"--",IF(D19&gt;=85,"Highest",IF(D19&gt;=80,"Higher",IF(D19&gt;=70,"High",IF(D19&gt;=65,"High Average",IF(D19&gt;=60,"Average",IF(D19&gt;=55,"Low Average",IF(D19&gt;=50,"Low",IF(D19&gt;=40,"Lower","Lowest")))))))))</f>
        <v>#N/A</v>
      </c>
    </row>
    <row r="20" spans="1:8" ht="20.100000000000001" customHeight="1" x14ac:dyDescent="0.25">
      <c r="A20" s="2" t="str">
        <f>Subjects!C3</f>
        <v>REL. &amp; MORAL EDU.</v>
      </c>
      <c r="B20" s="5" t="e">
        <f>VLOOKUP($B$11,ClassScore!$A$2:$V$99,14,0)</f>
        <v>#N/A</v>
      </c>
      <c r="C20" s="5" t="e">
        <f>VLOOKUP($B$11,Examscore!$A$2:$V$98,14,0)</f>
        <v>#N/A</v>
      </c>
      <c r="D20" s="5" t="e">
        <f>VLOOKUP($B$11,'Grades Summary'!$A$2:$AR$117,5,0)</f>
        <v>#N/A</v>
      </c>
      <c r="E20" s="5" t="e">
        <f>VLOOKUP($B$11,'Grades Summary'!$A$2:$AR$117,23,0)</f>
        <v>#N/A</v>
      </c>
      <c r="F20" s="5" t="e">
        <f>VLOOKUP($B$11,'Grades Summary'!$A$2:$BM$117,45,0)</f>
        <v>#N/A</v>
      </c>
      <c r="G20" s="5" t="e">
        <f>VLOOKUP($B$11,'Grades Summary'!$A$2:$BM$117,46,0)</f>
        <v>#N/A</v>
      </c>
      <c r="H20" s="5" t="e">
        <f t="shared" si="0"/>
        <v>#N/A</v>
      </c>
    </row>
    <row r="21" spans="1:8" ht="20.100000000000001" customHeight="1" x14ac:dyDescent="0.25">
      <c r="A21" s="2" t="str">
        <f>Subjects!C4</f>
        <v>MATHEMATICS</v>
      </c>
      <c r="B21" s="5" t="e">
        <f>VLOOKUP($B$11,ClassScore!$A$2:$V$99,15,0)</f>
        <v>#N/A</v>
      </c>
      <c r="C21" s="5" t="e">
        <f>VLOOKUP($B$11,Examscore!$A$2:$V$98,15,0)</f>
        <v>#N/A</v>
      </c>
      <c r="D21" s="5" t="e">
        <f>VLOOKUP($B$11,'Grades Summary'!$A$2:$AR$117,6,0)</f>
        <v>#N/A</v>
      </c>
      <c r="E21" s="5" t="e">
        <f>VLOOKUP($B$11,'Grades Summary'!$A$2:$AR$117,24,0)</f>
        <v>#N/A</v>
      </c>
      <c r="F21" s="5" t="e">
        <f>VLOOKUP($B$11,'Grades Summary'!$A$2:$BM$117,47,0)</f>
        <v>#N/A</v>
      </c>
      <c r="G21" s="5" t="e">
        <f>VLOOKUP($B$11,'Grades Summary'!$A$2:$BM$117,48,0)</f>
        <v>#N/A</v>
      </c>
      <c r="H21" s="5" t="e">
        <f t="shared" si="0"/>
        <v>#N/A</v>
      </c>
    </row>
    <row r="22" spans="1:8" ht="20.100000000000001" customHeight="1" x14ac:dyDescent="0.25">
      <c r="A22" s="2" t="str">
        <f>Subjects!C5</f>
        <v>INTEGRATED SCIENCE</v>
      </c>
      <c r="B22" s="5" t="e">
        <f>VLOOKUP($B$11,ClassScore!$A$2:$V$99,16,0)</f>
        <v>#N/A</v>
      </c>
      <c r="C22" s="5" t="e">
        <f>VLOOKUP($B$11,Examscore!$A$2:$V$98,16,0)</f>
        <v>#N/A</v>
      </c>
      <c r="D22" s="5" t="e">
        <f>VLOOKUP($B$11,'Grades Summary'!$A$2:$AR$117,7,0)</f>
        <v>#N/A</v>
      </c>
      <c r="E22" s="5" t="e">
        <f>VLOOKUP($B$11,'Grades Summary'!$A$2:$AR$117,25,0)</f>
        <v>#N/A</v>
      </c>
      <c r="F22" s="5" t="e">
        <f>VLOOKUP($B$11,'Grades Summary'!$A$2:$BM$117,49,0)</f>
        <v>#N/A</v>
      </c>
      <c r="G22" s="5" t="e">
        <f>VLOOKUP($B$11,'Grades Summary'!$A$2:$BM$117,50,0)</f>
        <v>#N/A</v>
      </c>
      <c r="H22" s="5" t="e">
        <f t="shared" si="0"/>
        <v>#N/A</v>
      </c>
    </row>
    <row r="23" spans="1:8" ht="20.100000000000001" customHeight="1" x14ac:dyDescent="0.25">
      <c r="A23" s="2" t="str">
        <f>Subjects!C6</f>
        <v>COMPUTING</v>
      </c>
      <c r="B23" s="5" t="e">
        <f>VLOOKUP($B$11,ClassScore!$A$2:$V$99,17,0)</f>
        <v>#N/A</v>
      </c>
      <c r="C23" s="5" t="e">
        <f>VLOOKUP($B$11,Examscore!$A$2:$V$98,17,0)</f>
        <v>#N/A</v>
      </c>
      <c r="D23" s="5" t="e">
        <f>VLOOKUP($B$11,'Grades Summary'!$A$2:$AR$117,8,0)</f>
        <v>#N/A</v>
      </c>
      <c r="E23" s="5" t="e">
        <f>VLOOKUP($B$11,'Grades Summary'!$A$2:$AR$117,26,0)</f>
        <v>#N/A</v>
      </c>
      <c r="F23" s="5" t="e">
        <f>VLOOKUP($B$11,'Grades Summary'!$A$2:$BM$117,51,0)</f>
        <v>#N/A</v>
      </c>
      <c r="G23" s="5" t="e">
        <f>VLOOKUP($B$11,'Grades Summary'!$A$2:$BM$117,52,0)</f>
        <v>#N/A</v>
      </c>
      <c r="H23" s="5" t="e">
        <f t="shared" si="0"/>
        <v>#N/A</v>
      </c>
    </row>
    <row r="24" spans="1:8" ht="20.100000000000001" customHeight="1" x14ac:dyDescent="0.25">
      <c r="A24" s="2" t="str">
        <f>Subjects!C7</f>
        <v>FRENCH</v>
      </c>
      <c r="B24" s="5" t="e">
        <f>VLOOKUP($B$11,ClassScore!$A$2:$V$99,18,0)</f>
        <v>#N/A</v>
      </c>
      <c r="C24" s="5" t="e">
        <f>VLOOKUP($B$11,Examscore!$A$2:$V$98,18,0)</f>
        <v>#N/A</v>
      </c>
      <c r="D24" s="5" t="e">
        <f>VLOOKUP($B$11,'Grades Summary'!$A$2:$AR$117,9,0)</f>
        <v>#N/A</v>
      </c>
      <c r="E24" s="5" t="e">
        <f>VLOOKUP($B$11,'Grades Summary'!$A$2:$AR$117,27,0)</f>
        <v>#N/A</v>
      </c>
      <c r="F24" s="5" t="e">
        <f>VLOOKUP($B$11,'Grades Summary'!$A$2:$BM$117,53,0)</f>
        <v>#N/A</v>
      </c>
      <c r="G24" s="5" t="e">
        <f>VLOOKUP($B$11,'Grades Summary'!$A$2:$BM$117,54,0)</f>
        <v>#N/A</v>
      </c>
      <c r="H24" s="5" t="e">
        <f t="shared" si="0"/>
        <v>#N/A</v>
      </c>
    </row>
    <row r="25" spans="1:8" ht="20.100000000000001" customHeight="1" x14ac:dyDescent="0.25">
      <c r="A25" s="2" t="str">
        <f>Subjects!C9</f>
        <v>CAREER TECHNOLOGY</v>
      </c>
      <c r="B25" s="5" t="e">
        <f>VLOOKUP($B$11,ClassScore!$A$2:$V$99,19,0)</f>
        <v>#N/A</v>
      </c>
      <c r="C25" s="5" t="e">
        <f>VLOOKUP($B$11,Examscore!$A$2:$V$98,19,0)</f>
        <v>#N/A</v>
      </c>
      <c r="D25" s="5" t="e">
        <f>VLOOKUP($B$11,'Grades Summary'!$A$2:$AR$117,10,0)</f>
        <v>#N/A</v>
      </c>
      <c r="E25" s="5" t="e">
        <f>VLOOKUP($B$11,'Grades Summary'!$A$2:$AR$117,28,0)</f>
        <v>#N/A</v>
      </c>
      <c r="F25" s="5" t="e">
        <f>VLOOKUP($B$11,'Grades Summary'!$A$2:$BM$117,55,0)</f>
        <v>#N/A</v>
      </c>
      <c r="G25" s="5" t="e">
        <f>VLOOKUP($B$11,'Grades Summary'!$A$2:$BM$117,56,0)</f>
        <v>#N/A</v>
      </c>
      <c r="H25" s="5" t="e">
        <f t="shared" si="0"/>
        <v>#N/A</v>
      </c>
    </row>
    <row r="26" spans="1:8" ht="20.100000000000001" customHeight="1" x14ac:dyDescent="0.25">
      <c r="A26" s="2" t="str">
        <f>Subjects!C10</f>
        <v>CREATIVE ARTS &amp; DESIGN</v>
      </c>
      <c r="B26" s="5" t="e">
        <f>VLOOKUP($B$11,ClassScore!$A$2:$V$99,20,0)</f>
        <v>#N/A</v>
      </c>
      <c r="C26" s="5" t="e">
        <f>VLOOKUP($B$11,Examscore!$A$2:$V$98,20,0)</f>
        <v>#N/A</v>
      </c>
      <c r="D26" s="5" t="e">
        <f>VLOOKUP($B$11,'Grades Summary'!$A$2:$AR$117,11,0)</f>
        <v>#N/A</v>
      </c>
      <c r="E26" s="5" t="e">
        <f>VLOOKUP($B$11,'Grades Summary'!$A$2:$AR$117,29,0)</f>
        <v>#N/A</v>
      </c>
      <c r="F26" s="5" t="e">
        <f>VLOOKUP($B$11,'Grades Summary'!$A$2:$BM$117,57,0)</f>
        <v>#N/A</v>
      </c>
      <c r="G26" s="5" t="e">
        <f>VLOOKUP($B$11,'Grades Summary'!$A$2:$BM$117,58,0)</f>
        <v>#N/A</v>
      </c>
      <c r="H26" s="5" t="e">
        <f t="shared" si="0"/>
        <v>#N/A</v>
      </c>
    </row>
    <row r="27" spans="1:8" ht="20.100000000000001" customHeight="1" x14ac:dyDescent="0.25">
      <c r="A27" s="1"/>
      <c r="B27" s="18"/>
      <c r="C27" s="18"/>
      <c r="D27" s="18"/>
      <c r="E27" s="18"/>
      <c r="F27" s="18"/>
      <c r="G27" s="18"/>
      <c r="H27" s="18"/>
    </row>
    <row r="28" spans="1:8" ht="20.100000000000001" customHeight="1" x14ac:dyDescent="0.25">
      <c r="A28" s="1" t="s">
        <v>44</v>
      </c>
      <c r="E28" s="19" t="e">
        <f>VLOOKUP(B11,'Grades Summary'!A2:AR67,30,0)</f>
        <v>#N/A</v>
      </c>
      <c r="F28" s="19"/>
      <c r="G28" s="19"/>
    </row>
    <row r="29" spans="1:8" ht="20.100000000000001" customHeight="1" x14ac:dyDescent="0.25">
      <c r="A29" s="1" t="s">
        <v>45</v>
      </c>
      <c r="E29" s="19" t="e">
        <f>VLOOKUP(B11,'Grades Summary'!A2:AR67,31,0)</f>
        <v>#N/A</v>
      </c>
      <c r="F29" s="19"/>
      <c r="G29" s="19"/>
      <c r="H29" s="18"/>
    </row>
    <row r="30" spans="1:8" ht="20.100000000000001" customHeight="1" x14ac:dyDescent="0.25"/>
    <row r="31" spans="1:8" ht="20.100000000000001" customHeight="1" x14ac:dyDescent="0.25">
      <c r="A31" s="11" t="s">
        <v>14</v>
      </c>
    </row>
    <row r="32" spans="1:8" ht="20.100000000000001" customHeight="1" x14ac:dyDescent="0.25"/>
    <row r="33" spans="1:8" ht="20.100000000000001" customHeight="1" x14ac:dyDescent="0.25">
      <c r="A33" s="11" t="s">
        <v>25</v>
      </c>
      <c r="B33" s="11" t="e">
        <f>VLOOKUP(B11,'Grades Summary'!A2:AL67,32,0)</f>
        <v>#N/A</v>
      </c>
      <c r="C33" s="11"/>
      <c r="D33" s="11"/>
    </row>
    <row r="34" spans="1:8" ht="23.1" customHeight="1" x14ac:dyDescent="0.25">
      <c r="A34" s="11" t="s">
        <v>13</v>
      </c>
      <c r="B34" s="11" t="e">
        <f>VLOOKUP(B11,'Grades Summary'!A2:AL67,33,0)</f>
        <v>#N/A</v>
      </c>
      <c r="C34" s="11"/>
      <c r="D34" s="11"/>
      <c r="E34" s="11"/>
      <c r="F34" s="11"/>
      <c r="G34" s="11"/>
      <c r="H34" s="11"/>
    </row>
    <row r="35" spans="1:8" ht="23.1" customHeight="1" x14ac:dyDescent="0.25">
      <c r="E35" t="s">
        <v>46</v>
      </c>
      <c r="H35" t="e">
        <f>VLOOKUP(B11,'Grades Summary'!A2:AR67,38,0)</f>
        <v>#N/A</v>
      </c>
    </row>
  </sheetData>
  <mergeCells count="2">
    <mergeCell ref="B12:H12"/>
    <mergeCell ref="F17:G1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'Grades Summary'!$A$2:$A$117</xm:f>
          </x14:formula1>
          <xm:sqref>B11:D11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4"/>
  <sheetViews>
    <sheetView workbookViewId="0"/>
  </sheetViews>
  <sheetFormatPr defaultRowHeight="15" x14ac:dyDescent="0.25"/>
  <cols>
    <col min="2" max="2" width="49" customWidth="1"/>
  </cols>
  <sheetData>
    <row r="2" spans="2:2" x14ac:dyDescent="0.25">
      <c r="B2" t="s">
        <v>104</v>
      </c>
    </row>
    <row r="3" spans="2:2" x14ac:dyDescent="0.25">
      <c r="B3" t="s">
        <v>105</v>
      </c>
    </row>
    <row r="4" spans="2:2" x14ac:dyDescent="0.25">
      <c r="B4" t="s">
        <v>106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M179"/>
  <sheetViews>
    <sheetView tabSelected="1" topLeftCell="A40" zoomScale="86" zoomScaleNormal="86" workbookViewId="0">
      <selection activeCell="AH49" sqref="AH49"/>
    </sheetView>
  </sheetViews>
  <sheetFormatPr defaultRowHeight="15" x14ac:dyDescent="0.25"/>
  <cols>
    <col min="1" max="1" width="24.5703125" customWidth="1"/>
    <col min="2" max="2" width="56.85546875" customWidth="1"/>
    <col min="3" max="3" width="11.7109375" customWidth="1"/>
    <col min="4" max="4" width="9.140625" style="12"/>
    <col min="13" max="13" width="12.42578125" customWidth="1"/>
    <col min="14" max="14" width="11.7109375" style="12" customWidth="1"/>
    <col min="15" max="15" width="12.5703125" customWidth="1"/>
    <col min="16" max="16" width="13.85546875" customWidth="1"/>
    <col min="17" max="18" width="12.42578125" customWidth="1"/>
    <col min="19" max="19" width="14.5703125" customWidth="1"/>
    <col min="20" max="20" width="16.42578125" customWidth="1"/>
    <col min="21" max="21" width="12.5703125" customWidth="1"/>
    <col min="22" max="22" width="13.7109375" customWidth="1"/>
    <col min="24" max="24" width="9.140625" style="12"/>
    <col min="33" max="33" width="11.42578125" customWidth="1"/>
    <col min="34" max="34" width="15" customWidth="1"/>
    <col min="35" max="36" width="21.5703125" customWidth="1"/>
    <col min="37" max="37" width="26.42578125" customWidth="1"/>
    <col min="38" max="38" width="50.42578125" customWidth="1"/>
    <col min="39" max="39" width="56.85546875" customWidth="1"/>
    <col min="43" max="43" width="21.42578125" customWidth="1"/>
    <col min="48" max="48" width="10" customWidth="1"/>
    <col min="50" max="51" width="9.140625" customWidth="1"/>
    <col min="67" max="67" width="9.140625" style="27"/>
  </cols>
  <sheetData>
    <row r="1" spans="1:91" ht="249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5" t="s">
        <v>28</v>
      </c>
      <c r="N1" s="5" t="s">
        <v>29</v>
      </c>
      <c r="O1" s="5" t="s">
        <v>30</v>
      </c>
      <c r="P1" s="5" t="s">
        <v>31</v>
      </c>
      <c r="Q1" s="5" t="s">
        <v>32</v>
      </c>
      <c r="R1" s="5" t="s">
        <v>67</v>
      </c>
      <c r="S1" s="5" t="s">
        <v>33</v>
      </c>
      <c r="T1" s="5" t="s">
        <v>68</v>
      </c>
      <c r="U1" s="5" t="s">
        <v>69</v>
      </c>
      <c r="V1" s="5" t="s">
        <v>70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71</v>
      </c>
      <c r="AC1" s="5" t="s">
        <v>72</v>
      </c>
      <c r="AD1" s="5" t="s">
        <v>73</v>
      </c>
      <c r="AE1" s="5" t="s">
        <v>74</v>
      </c>
      <c r="AF1" s="5" t="s">
        <v>75</v>
      </c>
      <c r="AG1" s="38" t="s">
        <v>36</v>
      </c>
      <c r="AH1" s="4" t="s">
        <v>35</v>
      </c>
      <c r="AI1" s="5" t="s">
        <v>27</v>
      </c>
      <c r="AJ1" s="5" t="s">
        <v>100</v>
      </c>
      <c r="AK1" s="5" t="s">
        <v>101</v>
      </c>
      <c r="AL1" s="5" t="s">
        <v>99</v>
      </c>
      <c r="AM1" s="4" t="s">
        <v>5</v>
      </c>
      <c r="AN1" s="14" t="s">
        <v>61</v>
      </c>
      <c r="AO1" s="14" t="s">
        <v>34</v>
      </c>
      <c r="AP1" s="14" t="s">
        <v>7</v>
      </c>
      <c r="AQ1" s="14" t="s">
        <v>47</v>
      </c>
      <c r="AR1" s="15"/>
      <c r="AS1" s="14"/>
      <c r="AT1" s="16" t="str">
        <f>Subjects!C1</f>
        <v>ENGLISH LANGUAGE</v>
      </c>
      <c r="AU1" s="16" t="s">
        <v>53</v>
      </c>
      <c r="AV1" s="16" t="str">
        <f>Subjects!C2</f>
        <v>SOCIAL STUDIES</v>
      </c>
      <c r="AW1" s="16" t="s">
        <v>54</v>
      </c>
      <c r="AX1" s="16" t="str">
        <f>Subjects!C3</f>
        <v>REL. &amp; MORAL EDU.</v>
      </c>
      <c r="AY1" s="16" t="s">
        <v>55</v>
      </c>
      <c r="AZ1" s="16" t="str">
        <f>Subjects!C4</f>
        <v>MATHEMATICS</v>
      </c>
      <c r="BA1" s="16" t="s">
        <v>56</v>
      </c>
      <c r="BB1" s="16" t="str">
        <f>Subjects!C5</f>
        <v>INTEGRATED SCIENCE</v>
      </c>
      <c r="BC1" s="16" t="s">
        <v>63</v>
      </c>
      <c r="BD1" s="16" t="str">
        <f>Subjects!C6</f>
        <v>COMPUTING</v>
      </c>
      <c r="BE1" s="16" t="s">
        <v>86</v>
      </c>
      <c r="BF1" s="16" t="str">
        <f>Subjects!C7</f>
        <v>FRENCH</v>
      </c>
      <c r="BG1" s="16" t="s">
        <v>57</v>
      </c>
      <c r="BH1" s="16" t="str">
        <f>Subjects!C8</f>
        <v>GH. LANG. (AKUAPEM TWI)</v>
      </c>
      <c r="BI1" s="16" t="s">
        <v>58</v>
      </c>
      <c r="BJ1" s="16" t="str">
        <f>Subjects!C9</f>
        <v>CAREER TECHNOLOGY</v>
      </c>
      <c r="BK1" s="16" t="s">
        <v>87</v>
      </c>
      <c r="BL1" s="16" t="str">
        <f>Subjects!C10</f>
        <v>CREATIVE ARTS &amp; DESIGN</v>
      </c>
      <c r="BM1" s="16" t="s">
        <v>88</v>
      </c>
      <c r="BN1" s="25"/>
      <c r="BO1" s="29" t="s">
        <v>49</v>
      </c>
      <c r="BP1" s="25" t="s">
        <v>60</v>
      </c>
      <c r="BQ1" s="25" t="s">
        <v>59</v>
      </c>
      <c r="BS1" s="16" t="str">
        <f>ClassScore!M1</f>
        <v>50ENGLISH.C</v>
      </c>
      <c r="BT1" s="16" t="str">
        <f>ClassScore!N1</f>
        <v>50SOCIAL.C</v>
      </c>
      <c r="BU1" s="16" t="str">
        <f>ClassScore!O1</f>
        <v>50RME.C</v>
      </c>
      <c r="BV1" s="16" t="str">
        <f>ClassScore!P1</f>
        <v>50MATHS.C</v>
      </c>
      <c r="BW1" s="16" t="str">
        <f>ClassScore!Q1</f>
        <v>50SCI.C</v>
      </c>
      <c r="BX1" s="16" t="str">
        <f>ClassScore!R1</f>
        <v>50COM.C</v>
      </c>
      <c r="BY1" s="16" t="str">
        <f>ClassScore!S1</f>
        <v>50FRE.C</v>
      </c>
      <c r="BZ1" s="16" t="str">
        <f>ClassScore!T1</f>
        <v>50GAN.C</v>
      </c>
      <c r="CA1" s="16" t="str">
        <f>ClassScore!U1</f>
        <v>50CTECH.C</v>
      </c>
      <c r="CB1" s="16" t="str">
        <f>ClassScore!V1</f>
        <v>CART.C</v>
      </c>
      <c r="CC1" s="16"/>
      <c r="CD1" s="16" t="str">
        <f>Examscore!M1</f>
        <v>50ENG</v>
      </c>
      <c r="CE1" s="16" t="str">
        <f>Examscore!N1</f>
        <v>50SOCIAL</v>
      </c>
      <c r="CF1" s="16" t="str">
        <f>Examscore!O1</f>
        <v>50REL. &amp; MO</v>
      </c>
      <c r="CG1" s="16" t="str">
        <f>Examscore!P1</f>
        <v>50MATHS</v>
      </c>
      <c r="CH1" s="16" t="str">
        <f>Examscore!Q1</f>
        <v>50SCIENCE</v>
      </c>
      <c r="CI1" s="16" t="str">
        <f>Examscore!R1</f>
        <v>50COM</v>
      </c>
      <c r="CJ1" s="16" t="str">
        <f>Examscore!S1</f>
        <v>50FRE</v>
      </c>
      <c r="CK1" s="16" t="str">
        <f>Examscore!T1</f>
        <v>50GAN</v>
      </c>
      <c r="CL1" s="16" t="str">
        <f>Examscore!U1</f>
        <v>50CTECH</v>
      </c>
      <c r="CM1" s="16" t="str">
        <f>Examscore!V1</f>
        <v>50CART</v>
      </c>
    </row>
    <row r="2" spans="1:91" ht="15.75" x14ac:dyDescent="0.25">
      <c r="A2" s="5">
        <f>Student!A2</f>
        <v>4056</v>
      </c>
      <c r="B2" s="21" t="str">
        <f>Student!B2</f>
        <v xml:space="preserve">AGBENOR  ALFRED </v>
      </c>
      <c r="C2" s="28">
        <f>ClassScore!M2+Examscore!M2</f>
        <v>72</v>
      </c>
      <c r="D2" s="28">
        <f>ClassScore!N2+Examscore!N2</f>
        <v>35</v>
      </c>
      <c r="E2" s="28">
        <f>ClassScore!O2+Examscore!O2</f>
        <v>71.5</v>
      </c>
      <c r="F2" s="28">
        <f>ClassScore!P2+Examscore!P2</f>
        <v>56</v>
      </c>
      <c r="G2" s="28">
        <f>ClassScore!Q2+Examscore!Q2</f>
        <v>60</v>
      </c>
      <c r="H2" s="28">
        <f>ClassScore!R2+Examscore!R2</f>
        <v>37</v>
      </c>
      <c r="I2" s="28">
        <f>ClassScore!S2+Examscore!S2</f>
        <v>37</v>
      </c>
      <c r="J2" s="28">
        <f>ClassScore!T2+Examscore!T2</f>
        <v>50</v>
      </c>
      <c r="K2" s="28">
        <f>ClassScore!U2+Examscore!U2</f>
        <v>63</v>
      </c>
      <c r="L2" s="28">
        <f>ClassScore!V2+Examscore!V2</f>
        <v>72.5</v>
      </c>
      <c r="M2" s="5" t="str">
        <f>IF(C2=0,"--",IF(C2&gt;=85,"Highest",IF(C2&gt;=80,"Higher",IF(C2&gt;=70,"High",IF(C2&gt;=65,"High Average",IF(C2&gt;=60,"Average",IF(C2&gt;=55,"Low Average",IF(C2&gt;=50,"Low",IF(C2&gt;=40,"Lower","Lowest")))))))))</f>
        <v>High</v>
      </c>
      <c r="N2" s="5" t="str">
        <f t="shared" ref="N2:V2" si="0">IF(D2=0,"--",IF(D2&gt;=85,"Highest",IF(D2&gt;=80,"Higher",IF(D2&gt;=70,"High",IF(D2&gt;=65,"High Average",IF(D2&gt;=60,"Average",IF(D2&gt;=55,"Low Average",IF(D2&gt;=50,"Low",IF(D2&gt;=40,"Lower","Lowest")))))))))</f>
        <v>Lowest</v>
      </c>
      <c r="O2" s="5" t="str">
        <f t="shared" si="0"/>
        <v>High</v>
      </c>
      <c r="P2" s="5" t="str">
        <f t="shared" si="0"/>
        <v>Low Average</v>
      </c>
      <c r="Q2" s="5" t="str">
        <f t="shared" si="0"/>
        <v>Average</v>
      </c>
      <c r="R2" s="5" t="str">
        <f t="shared" si="0"/>
        <v>Lowest</v>
      </c>
      <c r="S2" s="5" t="str">
        <f t="shared" si="0"/>
        <v>Lowest</v>
      </c>
      <c r="T2" s="5" t="str">
        <f t="shared" si="0"/>
        <v>Low</v>
      </c>
      <c r="U2" s="5" t="str">
        <f t="shared" si="0"/>
        <v>Average</v>
      </c>
      <c r="V2" s="5" t="str">
        <f t="shared" si="0"/>
        <v>High</v>
      </c>
      <c r="W2" s="5">
        <f t="shared" ref="W2" si="1">VLOOKUP(C2,$AO$1:$AP$18,2)</f>
        <v>3</v>
      </c>
      <c r="X2" s="5">
        <f t="shared" ref="X2" si="2">VLOOKUP(D2,$AO$1:$AP$18,2)</f>
        <v>9</v>
      </c>
      <c r="Y2" s="5">
        <f t="shared" ref="Y2" si="3">VLOOKUP(E2,$AO$1:$AP$18,2)</f>
        <v>3</v>
      </c>
      <c r="Z2" s="5">
        <f t="shared" ref="Z2" si="4">VLOOKUP(F2,$AO$1:$AP$18,2)</f>
        <v>6</v>
      </c>
      <c r="AA2" s="5">
        <f t="shared" ref="AA2" si="5">VLOOKUP(G2,$AO$1:$AP$18,2)</f>
        <v>5</v>
      </c>
      <c r="AB2" s="5">
        <f t="shared" ref="AB2" si="6">VLOOKUP(H2,$AO$1:$AP$18,2)</f>
        <v>9</v>
      </c>
      <c r="AC2" s="5">
        <f t="shared" ref="AC2" si="7">VLOOKUP(I2,$AO$1:$AP$18,2)</f>
        <v>9</v>
      </c>
      <c r="AD2" s="5">
        <f t="shared" ref="AD2" si="8">VLOOKUP(J2,$AO$1:$AP$18,2)</f>
        <v>7</v>
      </c>
      <c r="AE2" s="5">
        <f t="shared" ref="AE2" si="9">VLOOKUP(K2,$AO$1:$AP$18,2)</f>
        <v>5</v>
      </c>
      <c r="AF2" s="5">
        <f t="shared" ref="AF2" si="10">VLOOKUP(L2,$AO$1:$AP$18,2)</f>
        <v>3</v>
      </c>
      <c r="AG2" s="34">
        <f>SUM(C2,D2,F2,G2)+LARGE((E2,H2,I2,J2,K2,L2),1)+LARGE((E2,H2,I2,J2,K2,L2),2)</f>
        <v>367</v>
      </c>
      <c r="AH2" s="5">
        <f>SUM(W2,X2,Z2,AA2)+SMALL((Y2,AB2,AC2,AD2,AE2,AF2),1)+SMALL((Y2,AB2,AC2,AD2,AE2,AF2),2)</f>
        <v>29</v>
      </c>
      <c r="AI2" s="15" t="str">
        <f>'Teacher''s Remarks'!M3</f>
        <v>PATIENCE AFUA MENSAH</v>
      </c>
      <c r="AJ2" s="15" t="str">
        <f>'Teacher''s Remarks'!N3</f>
        <v>Active</v>
      </c>
      <c r="AK2" s="15" t="str">
        <f>'Teacher''s Remarks'!O3</f>
        <v>He is regular and puntual to school</v>
      </c>
      <c r="AL2" s="15" t="s">
        <v>204</v>
      </c>
      <c r="AM2" s="13" t="str">
        <f>B2</f>
        <v xml:space="preserve">AGBENOR  ALFRED </v>
      </c>
      <c r="AN2" s="14">
        <f>Attendance!B2</f>
        <v>66</v>
      </c>
      <c r="AO2" s="14">
        <v>0</v>
      </c>
      <c r="AP2" s="17" t="s">
        <v>37</v>
      </c>
      <c r="AQ2" s="22">
        <f ca="1">TODAY()</f>
        <v>45764</v>
      </c>
      <c r="AR2" s="15"/>
      <c r="AT2" s="12">
        <f t="shared" ref="AT2:AT33" si="11">RANK(C2,$C$2:$C$117)</f>
        <v>3</v>
      </c>
      <c r="AU2" t="str">
        <f>IF(OR(VALUE(RIGHT(AT2,5))={11,12,13}),"th",IF(OR(VALUE(RIGHT(AT2))={1,2,3}),CHOOSE(RIGHT(AT2),"st","nd","rd"),"th"))</f>
        <v>rd</v>
      </c>
      <c r="AV2">
        <f t="shared" ref="AV2:AV33" si="12">RANK(D2,$D$2:$D$117)</f>
        <v>55</v>
      </c>
      <c r="AW2" t="str">
        <f>IF(OR(VALUE(RIGHT(AV2,5))={11,12,13}),"th",IF(OR(VALUE(RIGHT(AV2))={1,2,3}),CHOOSE(RIGHT(AV2),"st","nd","rd"),"th"))</f>
        <v>th</v>
      </c>
      <c r="AX2">
        <f t="shared" ref="AX2:AX33" si="13">RANK(E2,$E$2:$E$117)</f>
        <v>11</v>
      </c>
      <c r="AY2" t="str">
        <f>IF(OR(VALUE(RIGHT(AX2,5))={11,12,13}),"th",IF(OR(VALUE(RIGHT(AX2))={1,2,3}),CHOOSE(RIGHT(AX2),"st","nd","rd"),"th"))</f>
        <v>th</v>
      </c>
      <c r="AZ2">
        <f t="shared" ref="AZ2:AZ33" si="14">RANK(F2,$F$2:$F$117)</f>
        <v>3</v>
      </c>
      <c r="BA2" t="str">
        <f>IF(OR(VALUE(RIGHT(AZ2,5))={11,12,13}),"th",IF(OR(VALUE(RIGHT(AZ2))={1,2,3}),CHOOSE(RIGHT(AZ2),"st","nd","rd"),"th"))</f>
        <v>rd</v>
      </c>
      <c r="BB2">
        <f t="shared" ref="BB2:BB33" si="15">RANK(G2,$G$2:$G$117)</f>
        <v>10</v>
      </c>
      <c r="BC2" t="str">
        <f>IF(OR(VALUE(RIGHT(BB2,5))={11,12,13}),"th",IF(OR(VALUE(RIGHT(BB2))={1,2,3}),CHOOSE(RIGHT(BB2),"st","nd","rd"),"th"))</f>
        <v>th</v>
      </c>
      <c r="BD2">
        <f t="shared" ref="BD2:BD33" si="16">RANK(H2,$H$2:$H$117)</f>
        <v>29</v>
      </c>
      <c r="BE2" t="str">
        <f>IF(OR(VALUE(RIGHT(BD2,5))={11,12,13}),"th",IF(OR(VALUE(RIGHT(BD2))={1,2,3}),CHOOSE(RIGHT(BD2),"st","nd","rd"),"th"))</f>
        <v>th</v>
      </c>
      <c r="BF2">
        <f t="shared" ref="BF2:BF33" si="17">RANK(I2,$I$2:$I$117)</f>
        <v>33</v>
      </c>
      <c r="BG2" t="str">
        <f>IF(OR(VALUE(RIGHT(BF2,5))={11,12,13}),"th",IF(OR(VALUE(RIGHT(BF2))={1,2,3}),CHOOSE(RIGHT(BF2),"st","nd","rd"),"th"))</f>
        <v>rd</v>
      </c>
      <c r="BH2">
        <f t="shared" ref="BH2:BH33" si="18">RANK(J2,$J$2:$J$117)</f>
        <v>14</v>
      </c>
      <c r="BI2" t="str" cm="1">
        <f t="array" ref="BI2">IF(OR(VALUE(RIGHT(BH2,5))={11,12,13}),"th",IF(OR(VALUE(RIGHT(BH2))={1,2,3}),CHOOSE(RIGHT(BH2),"st","nd","rd"),"th"))</f>
        <v>th</v>
      </c>
      <c r="BJ2">
        <f t="shared" ref="BJ2:BJ33" si="19">RANK(K2,$K$2:$K$117)</f>
        <v>4</v>
      </c>
      <c r="BK2" t="str" cm="1">
        <f t="array" ref="BK2">IF(OR(VALUE(RIGHT(BJ2,5))={11,12,13}),"th",IF(OR(VALUE(RIGHT(BJ2))={1,2,3}),CHOOSE(RIGHT(BJ2),"st","nd","rd"),"th"))</f>
        <v>th</v>
      </c>
      <c r="BL2">
        <f t="shared" ref="BL2:BL33" si="20">RANK(L2,$L$2:$L$117)</f>
        <v>4</v>
      </c>
      <c r="BM2" t="str">
        <f>IF(OR(VALUE(RIGHT(BL2,5))={11,12,13}),"th",IF(OR(VALUE(RIGHT(BL2))={1,2,3}),CHOOSE(RIGHT(BL2),"st","nd","rd"),"th"))</f>
        <v>th</v>
      </c>
      <c r="BO2" s="30">
        <f>SUM(C2:L2)</f>
        <v>554</v>
      </c>
      <c r="BP2">
        <f t="shared" ref="BP2:BP33" si="21">RANK(BO2,$BO$2:$BO$117)</f>
        <v>8</v>
      </c>
      <c r="BQ2" t="str">
        <f>IF(OR(VALUE(RIGHT(BP2,5))={11,12,13}),"th",IF(OR(VALUE(RIGHT(BP2))={1,2,3}),CHOOSE(RIGHT(BP2),"st","nd","rd"),"th"))</f>
        <v>th</v>
      </c>
      <c r="BS2" s="27">
        <f>ClassScore!M2</f>
        <v>44</v>
      </c>
      <c r="BT2" s="27">
        <f>ClassScore!N2</f>
        <v>7</v>
      </c>
      <c r="BU2" s="27">
        <f>ClassScore!O2</f>
        <v>34.5</v>
      </c>
      <c r="BV2" s="27">
        <f>ClassScore!P2</f>
        <v>43.5</v>
      </c>
      <c r="BW2" s="27">
        <f>ClassScore!Q2</f>
        <v>39.5</v>
      </c>
      <c r="BX2" s="27">
        <f>ClassScore!R2</f>
        <v>27.5</v>
      </c>
      <c r="BY2" s="27">
        <f>ClassScore!S2</f>
        <v>15</v>
      </c>
      <c r="BZ2" s="27">
        <f>ClassScore!T2</f>
        <v>24.5</v>
      </c>
      <c r="CA2" s="27">
        <f>ClassScore!U2</f>
        <v>32.5</v>
      </c>
      <c r="CB2" s="27">
        <f>ClassScore!V2</f>
        <v>44</v>
      </c>
      <c r="CD2" s="27">
        <f>Examscore!M2</f>
        <v>28</v>
      </c>
      <c r="CE2" s="27">
        <f>Examscore!N2</f>
        <v>28</v>
      </c>
      <c r="CF2" s="27">
        <f>Examscore!O2</f>
        <v>37</v>
      </c>
      <c r="CG2" s="27">
        <f>Examscore!P2</f>
        <v>12.5</v>
      </c>
      <c r="CH2" s="27">
        <f>Examscore!Q2</f>
        <v>20.5</v>
      </c>
      <c r="CI2" s="27">
        <f>Examscore!R2</f>
        <v>9.5</v>
      </c>
      <c r="CJ2" s="27">
        <f>Examscore!S2</f>
        <v>22</v>
      </c>
      <c r="CK2" s="27">
        <f>Examscore!T2</f>
        <v>25.5</v>
      </c>
      <c r="CL2" s="27">
        <f>Examscore!U2</f>
        <v>30.5</v>
      </c>
      <c r="CM2" s="27">
        <f>Examscore!V2</f>
        <v>28.5</v>
      </c>
    </row>
    <row r="3" spans="1:91" ht="15.75" x14ac:dyDescent="0.25">
      <c r="A3" s="5">
        <f>Student!A3</f>
        <v>567</v>
      </c>
      <c r="B3" s="21" t="str">
        <f>Student!B3</f>
        <v xml:space="preserve">AGBENU JORDAN </v>
      </c>
      <c r="C3" s="28">
        <f>ClassScore!M3+Examscore!M3</f>
        <v>51.5</v>
      </c>
      <c r="D3" s="28">
        <f>ClassScore!N3+Examscore!N3</f>
        <v>51</v>
      </c>
      <c r="E3" s="28">
        <f>ClassScore!O3+Examscore!O3</f>
        <v>56.5</v>
      </c>
      <c r="F3" s="28">
        <f>ClassScore!P3+Examscore!P3</f>
        <v>51</v>
      </c>
      <c r="G3" s="28">
        <f>ClassScore!Q3+Examscore!Q3</f>
        <v>48.5</v>
      </c>
      <c r="H3" s="28">
        <f>ClassScore!R3+Examscore!R3</f>
        <v>34.5</v>
      </c>
      <c r="I3" s="28">
        <f>ClassScore!S3+Examscore!S3</f>
        <v>48</v>
      </c>
      <c r="J3" s="28">
        <f>ClassScore!T3+Examscore!T3</f>
        <v>35.5</v>
      </c>
      <c r="K3" s="28">
        <f>ClassScore!U3+Examscore!U3</f>
        <v>41</v>
      </c>
      <c r="L3" s="28">
        <f>ClassScore!V3+Examscore!V3</f>
        <v>67.5</v>
      </c>
      <c r="M3" s="5" t="str">
        <f t="shared" ref="M3:M65" si="22">IF(C3=0,"--",IF(C3&gt;=85,"Highest",IF(C3&gt;=80,"Higher",IF(C3&gt;=70,"High",IF(C3&gt;=65,"High Average",IF(C3&gt;=60,"Average",IF(C3&gt;=55,"Low Average",IF(C3&gt;=50,"Low",IF(C3&gt;=40,"Lower","Lowest")))))))))</f>
        <v>Low</v>
      </c>
      <c r="N3" s="5" t="str">
        <f t="shared" ref="N3:N65" si="23">IF(D3=0,"--",IF(D3&gt;=85,"Highest",IF(D3&gt;=80,"Higher",IF(D3&gt;=70,"High",IF(D3&gt;=65,"High Average",IF(D3&gt;=60,"Average",IF(D3&gt;=55,"Low Average",IF(D3&gt;=50,"Low",IF(D3&gt;=40,"Lower","Lowest")))))))))</f>
        <v>Low</v>
      </c>
      <c r="O3" s="5" t="str">
        <f t="shared" ref="O3:O65" si="24">IF(E3=0,"--",IF(E3&gt;=85,"Highest",IF(E3&gt;=80,"Higher",IF(E3&gt;=70,"High",IF(E3&gt;=65,"High Average",IF(E3&gt;=60,"Average",IF(E3&gt;=55,"Low Average",IF(E3&gt;=50,"Low",IF(E3&gt;=40,"Lower","Lowest")))))))))</f>
        <v>Low Average</v>
      </c>
      <c r="P3" s="5" t="str">
        <f t="shared" ref="P3:P65" si="25">IF(F3=0,"--",IF(F3&gt;=85,"Highest",IF(F3&gt;=80,"Higher",IF(F3&gt;=70,"High",IF(F3&gt;=65,"High Average",IF(F3&gt;=60,"Average",IF(F3&gt;=55,"Low Average",IF(F3&gt;=50,"Low",IF(F3&gt;=40,"Lower","Lowest")))))))))</f>
        <v>Low</v>
      </c>
      <c r="Q3" s="5" t="str">
        <f t="shared" ref="Q3:Q65" si="26">IF(G3=0,"--",IF(G3&gt;=85,"Highest",IF(G3&gt;=80,"Higher",IF(G3&gt;=70,"High",IF(G3&gt;=65,"High Average",IF(G3&gt;=60,"Average",IF(G3&gt;=55,"Low Average",IF(G3&gt;=50,"Low",IF(G3&gt;=40,"Lower","Lowest")))))))))</f>
        <v>Lower</v>
      </c>
      <c r="R3" s="5" t="str">
        <f t="shared" ref="R3:R65" si="27">IF(H3=0,"--",IF(H3&gt;=85,"Highest",IF(H3&gt;=80,"Higher",IF(H3&gt;=70,"High",IF(H3&gt;=65,"High Average",IF(H3&gt;=60,"Average",IF(H3&gt;=55,"Low Average",IF(H3&gt;=50,"Low",IF(H3&gt;=40,"Lower","Lowest")))))))))</f>
        <v>Lowest</v>
      </c>
      <c r="S3" s="5" t="str">
        <f t="shared" ref="S3:S65" si="28">IF(I3=0,"--",IF(I3&gt;=85,"Highest",IF(I3&gt;=80,"Higher",IF(I3&gt;=70,"High",IF(I3&gt;=65,"High Average",IF(I3&gt;=60,"Average",IF(I3&gt;=55,"Low Average",IF(I3&gt;=50,"Low",IF(I3&gt;=40,"Lower","Lowest")))))))))</f>
        <v>Lower</v>
      </c>
      <c r="T3" s="5" t="str">
        <f t="shared" ref="T3:T65" si="29">IF(J3=0,"--",IF(J3&gt;=85,"Highest",IF(J3&gt;=80,"Higher",IF(J3&gt;=70,"High",IF(J3&gt;=65,"High Average",IF(J3&gt;=60,"Average",IF(J3&gt;=55,"Low Average",IF(J3&gt;=50,"Low",IF(J3&gt;=40,"Lower","Lowest")))))))))</f>
        <v>Lowest</v>
      </c>
      <c r="U3" s="5" t="str">
        <f t="shared" ref="U3:U65" si="30">IF(K3=0,"--",IF(K3&gt;=85,"Highest",IF(K3&gt;=80,"Higher",IF(K3&gt;=70,"High",IF(K3&gt;=65,"High Average",IF(K3&gt;=60,"Average",IF(K3&gt;=55,"Low Average",IF(K3&gt;=50,"Low",IF(K3&gt;=40,"Lower","Lowest")))))))))</f>
        <v>Lower</v>
      </c>
      <c r="V3" s="5" t="str">
        <f t="shared" ref="V3:V65" si="31">IF(L3=0,"--",IF(L3&gt;=85,"Highest",IF(L3&gt;=80,"Higher",IF(L3&gt;=70,"High",IF(L3&gt;=65,"High Average",IF(L3&gt;=60,"Average",IF(L3&gt;=55,"Low Average",IF(L3&gt;=50,"Low",IF(L3&gt;=40,"Lower","Lowest")))))))))</f>
        <v>High Average</v>
      </c>
      <c r="W3" s="5">
        <f t="shared" ref="W3:W65" si="32">VLOOKUP(C3,$AO$1:$AP$18,2)</f>
        <v>7</v>
      </c>
      <c r="X3" s="5">
        <f t="shared" ref="X3:X65" si="33">VLOOKUP(D3,$AO$1:$AP$18,2)</f>
        <v>7</v>
      </c>
      <c r="Y3" s="5">
        <f t="shared" ref="Y3:Y65" si="34">VLOOKUP(E3,$AO$1:$AP$18,2)</f>
        <v>6</v>
      </c>
      <c r="Z3" s="5">
        <f t="shared" ref="Z3:Z65" si="35">VLOOKUP(F3,$AO$1:$AP$18,2)</f>
        <v>7</v>
      </c>
      <c r="AA3" s="5">
        <f t="shared" ref="AA3:AA65" si="36">VLOOKUP(G3,$AO$1:$AP$18,2)</f>
        <v>8</v>
      </c>
      <c r="AB3" s="5">
        <f t="shared" ref="AB3:AB65" si="37">VLOOKUP(H3,$AO$1:$AP$18,2)</f>
        <v>9</v>
      </c>
      <c r="AC3" s="5">
        <f t="shared" ref="AC3:AC65" si="38">VLOOKUP(I3,$AO$1:$AP$18,2)</f>
        <v>8</v>
      </c>
      <c r="AD3" s="5">
        <f t="shared" ref="AD3:AD65" si="39">VLOOKUP(J3,$AO$1:$AP$18,2)</f>
        <v>9</v>
      </c>
      <c r="AE3" s="5">
        <f t="shared" ref="AE3:AE65" si="40">VLOOKUP(K3,$AO$1:$AP$18,2)</f>
        <v>8</v>
      </c>
      <c r="AF3" s="5">
        <f t="shared" ref="AF3:AF65" si="41">VLOOKUP(L3,$AO$1:$AP$18,2)</f>
        <v>4</v>
      </c>
      <c r="AG3" s="34">
        <f>SUM(C3,D3,F3,G3)+LARGE((E3,H3,I3,J3,K3,L3),1)+LARGE((E3,H3,I3,J3,K3,L3),2)</f>
        <v>326</v>
      </c>
      <c r="AH3" s="5">
        <f>SUM(W3,X3,Z3,AA3)+SMALL((Y3,AB3,AC3,AD3,AE3,AF3),1)+SMALL((Y3,AB3,AC3,AD3,AE3,AF3),2)</f>
        <v>39</v>
      </c>
      <c r="AI3" s="15" t="str">
        <f>'Teacher''s Remarks'!M4</f>
        <v>PATIENCE AFUA MENSAH</v>
      </c>
      <c r="AJ3" s="15" t="str">
        <f>'Teacher''s Remarks'!N4</f>
        <v>Hardworking</v>
      </c>
      <c r="AK3" s="15" t="str">
        <f>'Teacher''s Remarks'!O4</f>
        <v>He is regular and puntual to school</v>
      </c>
      <c r="AL3" s="15" t="str">
        <f>'Teacher''s Remarks'!P4</f>
        <v>He can do better than this. Sit up!</v>
      </c>
      <c r="AM3" s="13" t="str">
        <f t="shared" ref="AM3:AM64" si="42">B3</f>
        <v xml:space="preserve">AGBENU JORDAN </v>
      </c>
      <c r="AN3" s="14">
        <f>Attendance!B3</f>
        <v>60</v>
      </c>
      <c r="AO3" s="14">
        <v>1</v>
      </c>
      <c r="AP3" s="14">
        <v>9</v>
      </c>
      <c r="AQ3" s="22">
        <f t="shared" ref="AQ3:AQ65" ca="1" si="43">TODAY()</f>
        <v>45764</v>
      </c>
      <c r="AR3" s="15"/>
      <c r="AT3" s="12">
        <f t="shared" si="11"/>
        <v>43</v>
      </c>
      <c r="AU3" t="str">
        <f>IF(OR(VALUE(RIGHT(AT3,5))={11,12,13}),"th",IF(OR(VALUE(RIGHT(AT3))={1,2,3}),CHOOSE(RIGHT(AT3),"st","nd","rd"),"th"))</f>
        <v>rd</v>
      </c>
      <c r="AV3">
        <f t="shared" si="12"/>
        <v>37</v>
      </c>
      <c r="AW3" t="str">
        <f>IF(OR(VALUE(RIGHT(AV3,5))={11,12,13}),"th",IF(OR(VALUE(RIGHT(AV3))={1,2,3}),CHOOSE(RIGHT(AV3),"st","nd","rd"),"th"))</f>
        <v>th</v>
      </c>
      <c r="AX3">
        <f t="shared" si="13"/>
        <v>33</v>
      </c>
      <c r="AY3" t="str">
        <f>IF(OR(VALUE(RIGHT(AX3,5))={11,12,13}),"th",IF(OR(VALUE(RIGHT(AX3))={1,2,3}),CHOOSE(RIGHT(AX3),"st","nd","rd"),"th"))</f>
        <v>rd</v>
      </c>
      <c r="AZ3">
        <f t="shared" si="14"/>
        <v>11</v>
      </c>
      <c r="BA3" t="str">
        <f>IF(OR(VALUE(RIGHT(AZ3,5))={11,12,13}),"th",IF(OR(VALUE(RIGHT(AZ3))={1,2,3}),CHOOSE(RIGHT(AZ3),"st","nd","rd"),"th"))</f>
        <v>th</v>
      </c>
      <c r="BB3">
        <f t="shared" si="15"/>
        <v>31</v>
      </c>
      <c r="BC3" t="str">
        <f>IF(OR(VALUE(RIGHT(BB3,5))={11,12,13}),"th",IF(OR(VALUE(RIGHT(BB3))={1,2,3}),CHOOSE(RIGHT(BB3),"st","nd","rd"),"th"))</f>
        <v>st</v>
      </c>
      <c r="BD3">
        <f t="shared" si="16"/>
        <v>31</v>
      </c>
      <c r="BE3" t="str">
        <f>IF(OR(VALUE(RIGHT(BD3,5))={11,12,13}),"th",IF(OR(VALUE(RIGHT(BD3))={1,2,3}),CHOOSE(RIGHT(BD3),"st","nd","rd"),"th"))</f>
        <v>st</v>
      </c>
      <c r="BF3">
        <f t="shared" si="17"/>
        <v>14</v>
      </c>
      <c r="BG3" t="str">
        <f>IF(OR(VALUE(RIGHT(BF3,5))={11,12,13}),"th",IF(OR(VALUE(RIGHT(BF3))={1,2,3}),CHOOSE(RIGHT(BF3),"st","nd","rd"),"th"))</f>
        <v>th</v>
      </c>
      <c r="BH3">
        <f t="shared" si="18"/>
        <v>29</v>
      </c>
      <c r="BI3" t="str">
        <f>IF(OR(VALUE(RIGHT(BH3,5))={11,12,13}),"th",IF(OR(VALUE(RIGHT(BH3))={1,2,3}),CHOOSE(RIGHT(BH3),"st","nd","rd"),"th"))</f>
        <v>th</v>
      </c>
      <c r="BJ3">
        <f t="shared" si="19"/>
        <v>33</v>
      </c>
      <c r="BK3" t="str" cm="1">
        <f t="array" ref="BK3">IF(OR(VALUE(RIGHT(BJ3,5))={11,12,13}),"th",IF(OR(VALUE(RIGHT(BJ3))={1,2,3}),CHOOSE(RIGHT(BJ3),"st","nd","rd"),"th"))</f>
        <v>rd</v>
      </c>
      <c r="BL3">
        <f t="shared" si="20"/>
        <v>7</v>
      </c>
      <c r="BM3" t="str">
        <f>IF(OR(VALUE(RIGHT(BL3,5))={11,12,13}),"th",IF(OR(VALUE(RIGHT(BL3))={1,2,3}),CHOOSE(RIGHT(BL3),"st","nd","rd"),"th"))</f>
        <v>th</v>
      </c>
      <c r="BO3" s="30">
        <f t="shared" ref="BO3:BO65" si="44">SUM(C3:L3)</f>
        <v>485</v>
      </c>
      <c r="BP3">
        <f t="shared" si="21"/>
        <v>26</v>
      </c>
      <c r="BQ3" t="str">
        <f>IF(OR(VALUE(RIGHT(BP3,5))={11,12,13}),"th",IF(OR(VALUE(RIGHT(BP3))={1,2,3}),CHOOSE(RIGHT(BP3),"st","nd","rd"),"th"))</f>
        <v>th</v>
      </c>
      <c r="BS3" s="27">
        <f>ClassScore!M3</f>
        <v>31</v>
      </c>
      <c r="BT3" s="27">
        <f>ClassScore!N3</f>
        <v>30.5</v>
      </c>
      <c r="BU3" s="27">
        <f>ClassScore!O3</f>
        <v>31</v>
      </c>
      <c r="BV3" s="27">
        <f>ClassScore!P3</f>
        <v>36</v>
      </c>
      <c r="BW3" s="27">
        <f>ClassScore!Q3</f>
        <v>37.5</v>
      </c>
      <c r="BX3" s="27">
        <f>ClassScore!R3</f>
        <v>27.5</v>
      </c>
      <c r="BY3" s="27">
        <f>ClassScore!S3</f>
        <v>27</v>
      </c>
      <c r="BZ3" s="27">
        <f>ClassScore!T3</f>
        <v>23</v>
      </c>
      <c r="CA3" s="27">
        <f>ClassScore!U3</f>
        <v>21.5</v>
      </c>
      <c r="CB3" s="27">
        <f>ClassScore!V3</f>
        <v>45</v>
      </c>
      <c r="CD3" s="27">
        <f>Examscore!M3</f>
        <v>20.5</v>
      </c>
      <c r="CE3" s="27">
        <f>Examscore!N3</f>
        <v>20.5</v>
      </c>
      <c r="CF3" s="27">
        <f>Examscore!O3</f>
        <v>25.5</v>
      </c>
      <c r="CG3" s="27">
        <f>Examscore!P3</f>
        <v>15</v>
      </c>
      <c r="CH3" s="27">
        <f>Examscore!Q3</f>
        <v>11</v>
      </c>
      <c r="CI3" s="27">
        <f>Examscore!R3</f>
        <v>7</v>
      </c>
      <c r="CJ3" s="27">
        <f>Examscore!S3</f>
        <v>21</v>
      </c>
      <c r="CK3" s="27">
        <f>Examscore!T3</f>
        <v>12.5</v>
      </c>
      <c r="CL3" s="27">
        <f>Examscore!U3</f>
        <v>19.5</v>
      </c>
      <c r="CM3" s="27">
        <f>Examscore!V3</f>
        <v>22.5</v>
      </c>
    </row>
    <row r="4" spans="1:91" ht="15.75" x14ac:dyDescent="0.25">
      <c r="A4" s="5">
        <f>Student!A4</f>
        <v>749</v>
      </c>
      <c r="B4" s="21" t="str">
        <f>Student!B4</f>
        <v>AGBO PRINCE</v>
      </c>
      <c r="C4" s="28">
        <f>ClassScore!M4+Examscore!M4</f>
        <v>47</v>
      </c>
      <c r="D4" s="28">
        <f>ClassScore!N4+Examscore!N4</f>
        <v>47.5</v>
      </c>
      <c r="E4" s="28">
        <f>ClassScore!O4+Examscore!O4</f>
        <v>74.5</v>
      </c>
      <c r="F4" s="28">
        <f>ClassScore!P4+Examscore!P4</f>
        <v>49.5</v>
      </c>
      <c r="G4" s="28">
        <f>ClassScore!Q4+Examscore!Q4</f>
        <v>57.5</v>
      </c>
      <c r="H4" s="28">
        <f>ClassScore!R4+Examscore!R4</f>
        <v>51</v>
      </c>
      <c r="I4" s="28">
        <f>ClassScore!S4+Examscore!S4</f>
        <v>47</v>
      </c>
      <c r="J4" s="28">
        <f>ClassScore!T4+Examscore!T4</f>
        <v>40.5</v>
      </c>
      <c r="K4" s="28">
        <f>ClassScore!U4+Examscore!U4</f>
        <v>45.5</v>
      </c>
      <c r="L4" s="28">
        <f>ClassScore!V4+Examscore!V4</f>
        <v>56</v>
      </c>
      <c r="M4" s="5" t="str">
        <f t="shared" si="22"/>
        <v>Lower</v>
      </c>
      <c r="N4" s="5" t="str">
        <f t="shared" si="23"/>
        <v>Lower</v>
      </c>
      <c r="O4" s="5" t="str">
        <f t="shared" si="24"/>
        <v>High</v>
      </c>
      <c r="P4" s="5" t="str">
        <f t="shared" si="25"/>
        <v>Lower</v>
      </c>
      <c r="Q4" s="5" t="str">
        <f t="shared" si="26"/>
        <v>Low Average</v>
      </c>
      <c r="R4" s="5" t="str">
        <f t="shared" si="27"/>
        <v>Low</v>
      </c>
      <c r="S4" s="5" t="str">
        <f t="shared" si="28"/>
        <v>Lower</v>
      </c>
      <c r="T4" s="5" t="str">
        <f t="shared" si="29"/>
        <v>Lower</v>
      </c>
      <c r="U4" s="5" t="str">
        <f t="shared" si="30"/>
        <v>Lower</v>
      </c>
      <c r="V4" s="5" t="str">
        <f t="shared" si="31"/>
        <v>Low Average</v>
      </c>
      <c r="W4" s="5">
        <f t="shared" si="32"/>
        <v>8</v>
      </c>
      <c r="X4" s="5">
        <f t="shared" si="33"/>
        <v>8</v>
      </c>
      <c r="Y4" s="5">
        <f t="shared" si="34"/>
        <v>3</v>
      </c>
      <c r="Z4" s="5">
        <f t="shared" si="35"/>
        <v>8</v>
      </c>
      <c r="AA4" s="5">
        <f t="shared" si="36"/>
        <v>6</v>
      </c>
      <c r="AB4" s="5">
        <f t="shared" si="37"/>
        <v>7</v>
      </c>
      <c r="AC4" s="5">
        <f t="shared" si="38"/>
        <v>8</v>
      </c>
      <c r="AD4" s="5">
        <f t="shared" si="39"/>
        <v>8</v>
      </c>
      <c r="AE4" s="5">
        <f t="shared" si="40"/>
        <v>8</v>
      </c>
      <c r="AF4" s="5">
        <f t="shared" si="41"/>
        <v>6</v>
      </c>
      <c r="AG4" s="34">
        <f>SUM(C4,D4,F4,G4)+LARGE((E4,H4,I4,J4,K4,L4),1)+LARGE((E4,H4,I4,J4,K4,L4),2)</f>
        <v>332</v>
      </c>
      <c r="AH4" s="5">
        <f>SUM(W4,X4,Z4,AA4)+SMALL((Y4,AB4,AC4,AD4,AE4,AF4),1)+SMALL((Y4,AB4,AC4,AD4,AE4,AF4),2)</f>
        <v>39</v>
      </c>
      <c r="AI4" s="15" t="str">
        <f>'Teacher''s Remarks'!M5</f>
        <v>PATIENCE AFUA MENSAH</v>
      </c>
      <c r="AJ4" s="15" t="str">
        <f>'Teacher''s Remarks'!N19</f>
        <v>Friendly</v>
      </c>
      <c r="AK4" s="15" t="str">
        <f>'Teacher''s Remarks'!O5</f>
        <v>Slow to learning</v>
      </c>
      <c r="AL4" s="15" t="str">
        <f>'Teacher''s Remarks'!P5</f>
        <v>He can do better than this. Sit up!</v>
      </c>
      <c r="AM4" s="13" t="str">
        <f t="shared" si="42"/>
        <v>AGBO PRINCE</v>
      </c>
      <c r="AN4" s="14">
        <f>Attendance!B4</f>
        <v>51</v>
      </c>
      <c r="AO4" s="14">
        <v>40</v>
      </c>
      <c r="AP4" s="14">
        <v>8</v>
      </c>
      <c r="AQ4" s="22">
        <f t="shared" ca="1" si="43"/>
        <v>45764</v>
      </c>
      <c r="AR4" s="15"/>
      <c r="AT4" s="12">
        <f t="shared" si="11"/>
        <v>51</v>
      </c>
      <c r="AU4" t="str">
        <f>IF(OR(VALUE(RIGHT(AT4,5))={11,12,13}),"th",IF(OR(VALUE(RIGHT(AT4))={1,2,3}),CHOOSE(RIGHT(AT4),"st","nd","rd"),"th"))</f>
        <v>st</v>
      </c>
      <c r="AV4">
        <f t="shared" si="12"/>
        <v>49</v>
      </c>
      <c r="AW4" t="str">
        <f>IF(OR(VALUE(RIGHT(AV4,5))={11,12,13}),"th",IF(OR(VALUE(RIGHT(AV4))={1,2,3}),CHOOSE(RIGHT(AV4),"st","nd","rd"),"th"))</f>
        <v>th</v>
      </c>
      <c r="AX4">
        <f t="shared" si="13"/>
        <v>6</v>
      </c>
      <c r="AY4" t="str">
        <f>IF(OR(VALUE(RIGHT(AX4,5))={11,12,13}),"th",IF(OR(VALUE(RIGHT(AX4))={1,2,3}),CHOOSE(RIGHT(AX4),"st","nd","rd"),"th"))</f>
        <v>th</v>
      </c>
      <c r="AZ4">
        <f t="shared" si="14"/>
        <v>19</v>
      </c>
      <c r="BA4" t="str">
        <f>IF(OR(VALUE(RIGHT(AZ4,5))={11,12,13}),"th",IF(OR(VALUE(RIGHT(AZ4))={1,2,3}),CHOOSE(RIGHT(AZ4),"st","nd","rd"),"th"))</f>
        <v>th</v>
      </c>
      <c r="BB4">
        <f t="shared" si="15"/>
        <v>16</v>
      </c>
      <c r="BC4" t="str">
        <f>IF(OR(VALUE(RIGHT(BB4,5))={11,12,13}),"th",IF(OR(VALUE(RIGHT(BB4))={1,2,3}),CHOOSE(RIGHT(BB4),"st","nd","rd"),"th"))</f>
        <v>th</v>
      </c>
      <c r="BD4">
        <f t="shared" si="16"/>
        <v>3</v>
      </c>
      <c r="BE4" t="str">
        <f>IF(OR(VALUE(RIGHT(BD4,5))={11,12,13}),"th",IF(OR(VALUE(RIGHT(BD4))={1,2,3}),CHOOSE(RIGHT(BD4),"st","nd","rd"),"th"))</f>
        <v>rd</v>
      </c>
      <c r="BF4">
        <f t="shared" si="17"/>
        <v>15</v>
      </c>
      <c r="BG4" t="str">
        <f>IF(OR(VALUE(RIGHT(BF4,5))={11,12,13}),"th",IF(OR(VALUE(RIGHT(BF4))={1,2,3}),CHOOSE(RIGHT(BF4),"st","nd","rd"),"th"))</f>
        <v>th</v>
      </c>
      <c r="BH4">
        <f t="shared" si="18"/>
        <v>20</v>
      </c>
      <c r="BI4" t="str">
        <f>IF(OR(VALUE(RIGHT(BH4,5))={11,12,13}),"th",IF(OR(VALUE(RIGHT(BH4))={1,2,3}),CHOOSE(RIGHT(BH4),"st","nd","rd"),"th"))</f>
        <v>th</v>
      </c>
      <c r="BJ4">
        <f t="shared" si="19"/>
        <v>24</v>
      </c>
      <c r="BK4" t="str" cm="1">
        <f t="array" ref="BK4">IF(OR(VALUE(RIGHT(BJ4,5))={11,12,13}),"th",IF(OR(VALUE(RIGHT(BJ4))={1,2,3}),CHOOSE(RIGHT(BJ4),"st","nd","rd"),"th"))</f>
        <v>th</v>
      </c>
      <c r="BL4">
        <f t="shared" si="20"/>
        <v>28</v>
      </c>
      <c r="BM4" t="str">
        <f>IF(OR(VALUE(RIGHT(BL4,5))={11,12,13}),"th",IF(OR(VALUE(RIGHT(BL4))={1,2,3}),CHOOSE(RIGHT(BL4),"st","nd","rd"),"th"))</f>
        <v>th</v>
      </c>
      <c r="BO4" s="30">
        <f t="shared" si="44"/>
        <v>516</v>
      </c>
      <c r="BP4">
        <f t="shared" si="21"/>
        <v>15</v>
      </c>
      <c r="BQ4" t="str">
        <f>IF(OR(VALUE(RIGHT(BP4,5))={11,12,13}),"th",IF(OR(VALUE(RIGHT(BP4))={1,2,3}),CHOOSE(RIGHT(BP4),"st","nd","rd"),"th"))</f>
        <v>th</v>
      </c>
      <c r="BS4" s="27">
        <f>ClassScore!M4</f>
        <v>34</v>
      </c>
      <c r="BT4" s="27">
        <f>ClassScore!N4</f>
        <v>34.5</v>
      </c>
      <c r="BU4" s="27">
        <f>ClassScore!O4</f>
        <v>35</v>
      </c>
      <c r="BV4" s="27">
        <f>ClassScore!P4</f>
        <v>43</v>
      </c>
      <c r="BW4" s="27">
        <f>ClassScore!Q4</f>
        <v>41.5</v>
      </c>
      <c r="BX4" s="27">
        <f>ClassScore!R4</f>
        <v>37.5</v>
      </c>
      <c r="BY4" s="27">
        <f>ClassScore!S4</f>
        <v>25</v>
      </c>
      <c r="BZ4" s="27">
        <f>ClassScore!T4</f>
        <v>26</v>
      </c>
      <c r="CA4" s="27">
        <f>ClassScore!U4</f>
        <v>24.5</v>
      </c>
      <c r="CB4" s="27">
        <f>ClassScore!V4</f>
        <v>43</v>
      </c>
      <c r="CD4" s="27">
        <f>Examscore!M4</f>
        <v>13</v>
      </c>
      <c r="CE4" s="27">
        <f>Examscore!N4</f>
        <v>13</v>
      </c>
      <c r="CF4" s="27">
        <f>Examscore!O4</f>
        <v>39.5</v>
      </c>
      <c r="CG4" s="27">
        <f>Examscore!P4</f>
        <v>6.5</v>
      </c>
      <c r="CH4" s="27">
        <f>Examscore!Q4</f>
        <v>16</v>
      </c>
      <c r="CI4" s="27">
        <f>Examscore!R4</f>
        <v>13.5</v>
      </c>
      <c r="CJ4" s="27">
        <f>Examscore!S4</f>
        <v>22</v>
      </c>
      <c r="CK4" s="27">
        <f>Examscore!T4</f>
        <v>14.5</v>
      </c>
      <c r="CL4" s="27">
        <f>Examscore!U4</f>
        <v>21</v>
      </c>
      <c r="CM4" s="27">
        <f>Examscore!V4</f>
        <v>13</v>
      </c>
    </row>
    <row r="5" spans="1:91" ht="15.75" x14ac:dyDescent="0.25">
      <c r="A5" s="5">
        <f>Student!A5</f>
        <v>2050</v>
      </c>
      <c r="B5" s="21" t="str">
        <f>Student!B5</f>
        <v xml:space="preserve">AGBOTSE EBENEZER </v>
      </c>
      <c r="C5" s="28">
        <f>ClassScore!M5+Examscore!M5</f>
        <v>53</v>
      </c>
      <c r="D5" s="28">
        <f>ClassScore!N5+Examscore!N5</f>
        <v>62.5</v>
      </c>
      <c r="E5" s="28">
        <f>ClassScore!O5+Examscore!O5</f>
        <v>54</v>
      </c>
      <c r="F5" s="28">
        <f>ClassScore!P5+Examscore!P5</f>
        <v>52.5</v>
      </c>
      <c r="G5" s="28">
        <f>ClassScore!Q5+Examscore!Q5</f>
        <v>46.5</v>
      </c>
      <c r="H5" s="28">
        <f>ClassScore!R5+Examscore!R5</f>
        <v>34</v>
      </c>
      <c r="I5" s="28">
        <f>ClassScore!S5+Examscore!S5</f>
        <v>43.5</v>
      </c>
      <c r="J5" s="28">
        <f>ClassScore!T5+Examscore!T5</f>
        <v>31.5</v>
      </c>
      <c r="K5" s="28">
        <f>ClassScore!U5+Examscore!U5</f>
        <v>40.5</v>
      </c>
      <c r="L5" s="28">
        <f>ClassScore!V5+Examscore!V5</f>
        <v>54.5</v>
      </c>
      <c r="M5" s="5" t="str">
        <f t="shared" si="22"/>
        <v>Low</v>
      </c>
      <c r="N5" s="5" t="str">
        <f t="shared" si="23"/>
        <v>Average</v>
      </c>
      <c r="O5" s="5" t="str">
        <f t="shared" si="24"/>
        <v>Low</v>
      </c>
      <c r="P5" s="5" t="str">
        <f t="shared" si="25"/>
        <v>Low</v>
      </c>
      <c r="Q5" s="5" t="str">
        <f t="shared" si="26"/>
        <v>Lower</v>
      </c>
      <c r="R5" s="5" t="str">
        <f t="shared" si="27"/>
        <v>Lowest</v>
      </c>
      <c r="S5" s="5" t="str">
        <f t="shared" si="28"/>
        <v>Lower</v>
      </c>
      <c r="T5" s="5" t="str">
        <f t="shared" si="29"/>
        <v>Lowest</v>
      </c>
      <c r="U5" s="5" t="str">
        <f t="shared" si="30"/>
        <v>Lower</v>
      </c>
      <c r="V5" s="5" t="str">
        <f t="shared" si="31"/>
        <v>Low</v>
      </c>
      <c r="W5" s="5">
        <f t="shared" si="32"/>
        <v>7</v>
      </c>
      <c r="X5" s="5">
        <f t="shared" si="33"/>
        <v>5</v>
      </c>
      <c r="Y5" s="5">
        <f t="shared" si="34"/>
        <v>7</v>
      </c>
      <c r="Z5" s="5">
        <f t="shared" si="35"/>
        <v>7</v>
      </c>
      <c r="AA5" s="5">
        <f t="shared" si="36"/>
        <v>8</v>
      </c>
      <c r="AB5" s="5">
        <f t="shared" si="37"/>
        <v>9</v>
      </c>
      <c r="AC5" s="5">
        <f t="shared" si="38"/>
        <v>8</v>
      </c>
      <c r="AD5" s="5">
        <f t="shared" si="39"/>
        <v>9</v>
      </c>
      <c r="AE5" s="5">
        <f t="shared" si="40"/>
        <v>8</v>
      </c>
      <c r="AF5" s="5">
        <f t="shared" si="41"/>
        <v>7</v>
      </c>
      <c r="AG5" s="34">
        <f>SUM(C5,D5,F5,G5)+LARGE((E5,H5,I5,J5,K5,L5),1)+LARGE((E5,H5,I5,J5,K5,L5),2)</f>
        <v>323</v>
      </c>
      <c r="AH5" s="5">
        <f>SUM(W5,X5,Z5,AA5)+SMALL((Y5,AB5,AC5,AD5,AE5,AF5),1)+SMALL((Y5,AB5,AC5,AD5,AE5,AF5),2)</f>
        <v>41</v>
      </c>
      <c r="AI5" s="15" t="str">
        <f>'Teacher''s Remarks'!M6</f>
        <v>PATIENCE AFUA MENSAH</v>
      </c>
      <c r="AJ5" s="15" t="str">
        <f>'Teacher''s Remarks'!N6</f>
        <v>Dutiful</v>
      </c>
      <c r="AK5" s="15" t="str">
        <f>'Teacher''s Remarks'!O6</f>
        <v>He is regular and puntual to school</v>
      </c>
      <c r="AL5" s="15" t="str">
        <f>'Teacher''s Remarks'!P6</f>
        <v>He can do better than this. Sit up!</v>
      </c>
      <c r="AM5" s="13" t="str">
        <f t="shared" si="42"/>
        <v xml:space="preserve">AGBOTSE EBENEZER </v>
      </c>
      <c r="AN5" s="14">
        <f>Attendance!B5</f>
        <v>47</v>
      </c>
      <c r="AO5" s="14">
        <v>50</v>
      </c>
      <c r="AP5" s="14">
        <v>7</v>
      </c>
      <c r="AQ5" s="22">
        <f t="shared" ca="1" si="43"/>
        <v>45764</v>
      </c>
      <c r="AR5" s="15"/>
      <c r="AT5" s="12">
        <f t="shared" si="11"/>
        <v>39</v>
      </c>
      <c r="AU5" t="str">
        <f>IF(OR(VALUE(RIGHT(AT5,5))={11,12,13}),"th",IF(OR(VALUE(RIGHT(AT5))={1,2,3}),CHOOSE(RIGHT(AT5),"st","nd","rd"),"th"))</f>
        <v>th</v>
      </c>
      <c r="AV5">
        <f t="shared" si="12"/>
        <v>10</v>
      </c>
      <c r="AW5" t="str">
        <f>IF(OR(VALUE(RIGHT(AV5,5))={11,12,13}),"th",IF(OR(VALUE(RIGHT(AV5))={1,2,3}),CHOOSE(RIGHT(AV5),"st","nd","rd"),"th"))</f>
        <v>th</v>
      </c>
      <c r="AX5">
        <f t="shared" si="13"/>
        <v>38</v>
      </c>
      <c r="AY5" t="str">
        <f>IF(OR(VALUE(RIGHT(AX5,5))={11,12,13}),"th",IF(OR(VALUE(RIGHT(AX5))={1,2,3}),CHOOSE(RIGHT(AX5),"st","nd","rd"),"th"))</f>
        <v>th</v>
      </c>
      <c r="AZ5">
        <f t="shared" si="14"/>
        <v>10</v>
      </c>
      <c r="BA5" t="str">
        <f>IF(OR(VALUE(RIGHT(AZ5,5))={11,12,13}),"th",IF(OR(VALUE(RIGHT(AZ5))={1,2,3}),CHOOSE(RIGHT(AZ5),"st","nd","rd"),"th"))</f>
        <v>th</v>
      </c>
      <c r="BB5">
        <f t="shared" si="15"/>
        <v>40</v>
      </c>
      <c r="BC5" t="str">
        <f>IF(OR(VALUE(RIGHT(BB5,5))={11,12,13}),"th",IF(OR(VALUE(RIGHT(BB5))={1,2,3}),CHOOSE(RIGHT(BB5),"st","nd","rd"),"th"))</f>
        <v>th</v>
      </c>
      <c r="BD5">
        <f t="shared" si="16"/>
        <v>34</v>
      </c>
      <c r="BE5" t="str">
        <f>IF(OR(VALUE(RIGHT(BD5,5))={11,12,13}),"th",IF(OR(VALUE(RIGHT(BD5))={1,2,3}),CHOOSE(RIGHT(BD5),"st","nd","rd"),"th"))</f>
        <v>th</v>
      </c>
      <c r="BF5">
        <f t="shared" si="17"/>
        <v>20</v>
      </c>
      <c r="BG5" t="str">
        <f>IF(OR(VALUE(RIGHT(BF5,5))={11,12,13}),"th",IF(OR(VALUE(RIGHT(BF5))={1,2,3}),CHOOSE(RIGHT(BF5),"st","nd","rd"),"th"))</f>
        <v>th</v>
      </c>
      <c r="BH5">
        <f t="shared" si="18"/>
        <v>41</v>
      </c>
      <c r="BI5" t="str">
        <f>IF(OR(VALUE(RIGHT(BH5,5))={11,12,13}),"th",IF(OR(VALUE(RIGHT(BH5))={1,2,3}),CHOOSE(RIGHT(BH5),"st","nd","rd"),"th"))</f>
        <v>st</v>
      </c>
      <c r="BJ5">
        <f t="shared" si="19"/>
        <v>34</v>
      </c>
      <c r="BK5" t="str" cm="1">
        <f t="array" ref="BK5">IF(OR(VALUE(RIGHT(BJ5,5))={11,12,13}),"th",IF(OR(VALUE(RIGHT(BJ5))={1,2,3}),CHOOSE(RIGHT(BJ5),"st","nd","rd"),"th"))</f>
        <v>th</v>
      </c>
      <c r="BL5">
        <f t="shared" si="20"/>
        <v>32</v>
      </c>
      <c r="BM5" t="str">
        <f>IF(OR(VALUE(RIGHT(BL5,5))={11,12,13}),"th",IF(OR(VALUE(RIGHT(BL5))={1,2,3}),CHOOSE(RIGHT(BL5),"st","nd","rd"),"th"))</f>
        <v>nd</v>
      </c>
      <c r="BO5" s="30">
        <f t="shared" si="44"/>
        <v>472.5</v>
      </c>
      <c r="BP5">
        <f t="shared" si="21"/>
        <v>33</v>
      </c>
      <c r="BQ5" t="str">
        <f>IF(OR(VALUE(RIGHT(BP5,5))={11,12,13}),"th",IF(OR(VALUE(RIGHT(BP5))={1,2,3}),CHOOSE(RIGHT(BP5),"st","nd","rd"),"th"))</f>
        <v>rd</v>
      </c>
      <c r="BS5" s="27">
        <f>ClassScore!M5</f>
        <v>32</v>
      </c>
      <c r="BT5" s="27">
        <f>ClassScore!N5</f>
        <v>41.5</v>
      </c>
      <c r="BU5" s="27">
        <f>ClassScore!O5</f>
        <v>23</v>
      </c>
      <c r="BV5" s="27">
        <f>ClassScore!P5</f>
        <v>39.5</v>
      </c>
      <c r="BW5" s="27">
        <f>ClassScore!Q5</f>
        <v>31</v>
      </c>
      <c r="BX5" s="27">
        <f>ClassScore!R5</f>
        <v>25</v>
      </c>
      <c r="BY5" s="27">
        <f>ClassScore!S5</f>
        <v>26.5</v>
      </c>
      <c r="BZ5" s="27">
        <f>ClassScore!T5</f>
        <v>23</v>
      </c>
      <c r="CA5" s="27">
        <f>ClassScore!U5</f>
        <v>20.5</v>
      </c>
      <c r="CB5" s="27">
        <f>ClassScore!V5</f>
        <v>39.5</v>
      </c>
      <c r="CD5" s="27">
        <f>Examscore!M5</f>
        <v>21</v>
      </c>
      <c r="CE5" s="27">
        <f>Examscore!N5</f>
        <v>21</v>
      </c>
      <c r="CF5" s="27">
        <f>Examscore!O5</f>
        <v>31</v>
      </c>
      <c r="CG5" s="27">
        <f>Examscore!P5</f>
        <v>13</v>
      </c>
      <c r="CH5" s="27">
        <f>Examscore!Q5</f>
        <v>15.5</v>
      </c>
      <c r="CI5" s="27">
        <f>Examscore!R5</f>
        <v>9</v>
      </c>
      <c r="CJ5" s="27">
        <f>Examscore!S5</f>
        <v>17</v>
      </c>
      <c r="CK5" s="27">
        <f>Examscore!T5</f>
        <v>8.5</v>
      </c>
      <c r="CL5" s="27">
        <f>Examscore!U5</f>
        <v>20</v>
      </c>
      <c r="CM5" s="27">
        <f>Examscore!V5</f>
        <v>15</v>
      </c>
    </row>
    <row r="6" spans="1:91" ht="15.75" x14ac:dyDescent="0.25">
      <c r="A6" s="5">
        <f>Student!A6</f>
        <v>696</v>
      </c>
      <c r="B6" s="21" t="str">
        <f>Student!B6</f>
        <v xml:space="preserve">APPIAH EMMANUEL </v>
      </c>
      <c r="C6" s="28">
        <f>ClassScore!M6+Examscore!M6</f>
        <v>56.5</v>
      </c>
      <c r="D6" s="28">
        <f>ClassScore!N6+Examscore!N6</f>
        <v>51</v>
      </c>
      <c r="E6" s="28">
        <f>ClassScore!O6+Examscore!O6</f>
        <v>56.5</v>
      </c>
      <c r="F6" s="28">
        <f>ClassScore!P6+Examscore!P6</f>
        <v>21.5</v>
      </c>
      <c r="G6" s="28">
        <f>ClassScore!Q6+Examscore!Q6</f>
        <v>42.5</v>
      </c>
      <c r="H6" s="28">
        <f>ClassScore!R6+Examscore!R6</f>
        <v>33.5</v>
      </c>
      <c r="I6" s="28">
        <f>ClassScore!S6+Examscore!S6</f>
        <v>46.5</v>
      </c>
      <c r="J6" s="28">
        <f>ClassScore!T6+Examscore!T6</f>
        <v>28</v>
      </c>
      <c r="K6" s="28">
        <f>ClassScore!U6+Examscore!U6</f>
        <v>37.5</v>
      </c>
      <c r="L6" s="28">
        <f>ClassScore!V6+Examscore!V6</f>
        <v>57.5</v>
      </c>
      <c r="M6" s="5" t="str">
        <f t="shared" si="22"/>
        <v>Low Average</v>
      </c>
      <c r="N6" s="5" t="str">
        <f t="shared" si="23"/>
        <v>Low</v>
      </c>
      <c r="O6" s="5" t="str">
        <f t="shared" si="24"/>
        <v>Low Average</v>
      </c>
      <c r="P6" s="5" t="str">
        <f t="shared" si="25"/>
        <v>Lowest</v>
      </c>
      <c r="Q6" s="5" t="str">
        <f t="shared" si="26"/>
        <v>Lower</v>
      </c>
      <c r="R6" s="5" t="str">
        <f t="shared" si="27"/>
        <v>Lowest</v>
      </c>
      <c r="S6" s="5" t="str">
        <f t="shared" si="28"/>
        <v>Lower</v>
      </c>
      <c r="T6" s="5" t="str">
        <f t="shared" si="29"/>
        <v>Lowest</v>
      </c>
      <c r="U6" s="5" t="str">
        <f t="shared" si="30"/>
        <v>Lowest</v>
      </c>
      <c r="V6" s="5" t="str">
        <f t="shared" si="31"/>
        <v>Low Average</v>
      </c>
      <c r="W6" s="5">
        <f t="shared" si="32"/>
        <v>6</v>
      </c>
      <c r="X6" s="5">
        <f t="shared" si="33"/>
        <v>7</v>
      </c>
      <c r="Y6" s="5">
        <f t="shared" si="34"/>
        <v>6</v>
      </c>
      <c r="Z6" s="5">
        <f t="shared" si="35"/>
        <v>9</v>
      </c>
      <c r="AA6" s="5">
        <f t="shared" si="36"/>
        <v>8</v>
      </c>
      <c r="AB6" s="5">
        <f t="shared" si="37"/>
        <v>9</v>
      </c>
      <c r="AC6" s="5">
        <f t="shared" si="38"/>
        <v>8</v>
      </c>
      <c r="AD6" s="5">
        <f t="shared" si="39"/>
        <v>9</v>
      </c>
      <c r="AE6" s="5">
        <f t="shared" si="40"/>
        <v>9</v>
      </c>
      <c r="AF6" s="5">
        <f t="shared" si="41"/>
        <v>6</v>
      </c>
      <c r="AG6" s="34">
        <f>SUM(C6,D6,F6,G6)+LARGE((E6,H6,I6,J6,K6,L6),1)+LARGE((E6,H6,I6,J6,K6,L6),2)</f>
        <v>285.5</v>
      </c>
      <c r="AH6" s="5">
        <f>SUM(W6,X6,Z6,AA6)+SMALL((Y6,AB6,AC6,AD6,AE6,AF6),1)+SMALL((Y6,AB6,AC6,AD6,AE6,AF6),2)</f>
        <v>42</v>
      </c>
      <c r="AI6" s="15" t="str">
        <f>'Teacher''s Remarks'!M7</f>
        <v>PATIENCE AFUA MENSAH</v>
      </c>
      <c r="AJ6" s="15" t="str">
        <f>'Teacher''s Remarks'!N7</f>
        <v>Hardworking</v>
      </c>
      <c r="AK6" s="15" t="str">
        <f>'Teacher''s Remarks'!O7</f>
        <v>Participates in class</v>
      </c>
      <c r="AL6" s="15" t="str">
        <f>'Teacher''s Remarks'!P7</f>
        <v>He can do better than this. Sit up!</v>
      </c>
      <c r="AM6" s="13" t="str">
        <f t="shared" si="42"/>
        <v xml:space="preserve">APPIAH EMMANUEL </v>
      </c>
      <c r="AN6" s="14">
        <f>Attendance!B6</f>
        <v>48</v>
      </c>
      <c r="AO6" s="14">
        <v>55</v>
      </c>
      <c r="AP6" s="14">
        <v>6</v>
      </c>
      <c r="AQ6" s="22">
        <f t="shared" ca="1" si="43"/>
        <v>45764</v>
      </c>
      <c r="AR6" s="15"/>
      <c r="AT6" s="12">
        <f t="shared" si="11"/>
        <v>26</v>
      </c>
      <c r="AU6" t="str">
        <f>IF(OR(VALUE(RIGHT(AT6,5))={11,12,13}),"th",IF(OR(VALUE(RIGHT(AT6))={1,2,3}),CHOOSE(RIGHT(AT6),"st","nd","rd"),"th"))</f>
        <v>th</v>
      </c>
      <c r="AV6">
        <f t="shared" si="12"/>
        <v>37</v>
      </c>
      <c r="AW6" t="str">
        <f>IF(OR(VALUE(RIGHT(AV6,5))={11,12,13}),"th",IF(OR(VALUE(RIGHT(AV6))={1,2,3}),CHOOSE(RIGHT(AV6),"st","nd","rd"),"th"))</f>
        <v>th</v>
      </c>
      <c r="AX6">
        <f t="shared" si="13"/>
        <v>33</v>
      </c>
      <c r="AY6" t="str">
        <f>IF(OR(VALUE(RIGHT(AX6,5))={11,12,13}),"th",IF(OR(VALUE(RIGHT(AX6))={1,2,3}),CHOOSE(RIGHT(AX6),"st","nd","rd"),"th"))</f>
        <v>rd</v>
      </c>
      <c r="AZ6">
        <f t="shared" si="14"/>
        <v>51</v>
      </c>
      <c r="BA6" t="str">
        <f>IF(OR(VALUE(RIGHT(AZ6,5))={11,12,13}),"th",IF(OR(VALUE(RIGHT(AZ6))={1,2,3}),CHOOSE(RIGHT(AZ6),"st","nd","rd"),"th"))</f>
        <v>st</v>
      </c>
      <c r="BB6">
        <f t="shared" si="15"/>
        <v>47</v>
      </c>
      <c r="BC6" t="str">
        <f>IF(OR(VALUE(RIGHT(BB6,5))={11,12,13}),"th",IF(OR(VALUE(RIGHT(BB6))={1,2,3}),CHOOSE(RIGHT(BB6),"st","nd","rd"),"th"))</f>
        <v>th</v>
      </c>
      <c r="BD6">
        <f t="shared" si="16"/>
        <v>37</v>
      </c>
      <c r="BE6" t="str">
        <f>IF(OR(VALUE(RIGHT(BD6,5))={11,12,13}),"th",IF(OR(VALUE(RIGHT(BD6))={1,2,3}),CHOOSE(RIGHT(BD6),"st","nd","rd"),"th"))</f>
        <v>th</v>
      </c>
      <c r="BF6">
        <f t="shared" si="17"/>
        <v>16</v>
      </c>
      <c r="BG6" t="str">
        <f>IF(OR(VALUE(RIGHT(BF6,5))={11,12,13}),"th",IF(OR(VALUE(RIGHT(BF6))={1,2,3}),CHOOSE(RIGHT(BF6),"st","nd","rd"),"th"))</f>
        <v>th</v>
      </c>
      <c r="BH6">
        <f t="shared" si="18"/>
        <v>45</v>
      </c>
      <c r="BI6" t="str">
        <f>IF(OR(VALUE(RIGHT(BH6,5))={11,12,13}),"th",IF(OR(VALUE(RIGHT(BH6))={1,2,3}),CHOOSE(RIGHT(BH6),"st","nd","rd"),"th"))</f>
        <v>th</v>
      </c>
      <c r="BJ6">
        <f t="shared" si="19"/>
        <v>43</v>
      </c>
      <c r="BK6" t="str" cm="1">
        <f t="array" ref="BK6">IF(OR(VALUE(RIGHT(BJ6,5))={11,12,13}),"th",IF(OR(VALUE(RIGHT(BJ6))={1,2,3}),CHOOSE(RIGHT(BJ6),"st","nd","rd"),"th"))</f>
        <v>rd</v>
      </c>
      <c r="BL6">
        <f t="shared" si="20"/>
        <v>19</v>
      </c>
      <c r="BM6" t="str">
        <f>IF(OR(VALUE(RIGHT(BL6,5))={11,12,13}),"th",IF(OR(VALUE(RIGHT(BL6))={1,2,3}),CHOOSE(RIGHT(BL6),"st","nd","rd"),"th"))</f>
        <v>th</v>
      </c>
      <c r="BO6" s="30">
        <f t="shared" si="44"/>
        <v>431</v>
      </c>
      <c r="BP6">
        <f t="shared" si="21"/>
        <v>42</v>
      </c>
      <c r="BQ6" t="str">
        <f>IF(OR(VALUE(RIGHT(BP6,5))={11,12,13}),"th",IF(OR(VALUE(RIGHT(BP6))={1,2,3}),CHOOSE(RIGHT(BP6),"st","nd","rd"),"th"))</f>
        <v>nd</v>
      </c>
      <c r="BS6" s="27">
        <f>ClassScore!M6</f>
        <v>39.5</v>
      </c>
      <c r="BT6" s="27">
        <f>ClassScore!N6</f>
        <v>34</v>
      </c>
      <c r="BU6" s="27">
        <f>ClassScore!O6</f>
        <v>32.5</v>
      </c>
      <c r="BV6" s="27">
        <f>ClassScore!P6</f>
        <v>15.5</v>
      </c>
      <c r="BW6" s="27">
        <f>ClassScore!Q6</f>
        <v>31</v>
      </c>
      <c r="BX6" s="27">
        <f>ClassScore!R6</f>
        <v>26.5</v>
      </c>
      <c r="BY6" s="27">
        <f>ClassScore!S6</f>
        <v>25.5</v>
      </c>
      <c r="BZ6" s="27">
        <f>ClassScore!T6</f>
        <v>12</v>
      </c>
      <c r="CA6" s="27">
        <f>ClassScore!U6</f>
        <v>16</v>
      </c>
      <c r="CB6" s="27">
        <f>ClassScore!V6</f>
        <v>39.5</v>
      </c>
      <c r="CD6" s="27">
        <f>Examscore!M6</f>
        <v>17</v>
      </c>
      <c r="CE6" s="27">
        <f>Examscore!N6</f>
        <v>17</v>
      </c>
      <c r="CF6" s="27">
        <f>Examscore!O6</f>
        <v>24</v>
      </c>
      <c r="CG6" s="27">
        <f>Examscore!P6</f>
        <v>6</v>
      </c>
      <c r="CH6" s="27">
        <f>Examscore!Q6</f>
        <v>11.5</v>
      </c>
      <c r="CI6" s="27">
        <f>Examscore!R6</f>
        <v>7</v>
      </c>
      <c r="CJ6" s="27">
        <f>Examscore!S6</f>
        <v>21</v>
      </c>
      <c r="CK6" s="27">
        <f>Examscore!T6</f>
        <v>16</v>
      </c>
      <c r="CL6" s="27">
        <f>Examscore!U6</f>
        <v>21.5</v>
      </c>
      <c r="CM6" s="27">
        <f>Examscore!V6</f>
        <v>18</v>
      </c>
    </row>
    <row r="7" spans="1:91" ht="15.75" x14ac:dyDescent="0.25">
      <c r="A7" s="5">
        <f>Student!A7</f>
        <v>435</v>
      </c>
      <c r="B7" s="21" t="str">
        <f>Student!B7</f>
        <v xml:space="preserve">ASARE RICHMOND </v>
      </c>
      <c r="C7" s="28">
        <f>ClassScore!M7+Examscore!M7</f>
        <v>54</v>
      </c>
      <c r="D7" s="28">
        <f>ClassScore!N7+Examscore!N7</f>
        <v>54</v>
      </c>
      <c r="E7" s="28">
        <f>ClassScore!O7+Examscore!O7</f>
        <v>63.5</v>
      </c>
      <c r="F7" s="28">
        <f>ClassScore!P7+Examscore!P7</f>
        <v>44</v>
      </c>
      <c r="G7" s="28">
        <f>ClassScore!Q7+Examscore!Q7</f>
        <v>48.5</v>
      </c>
      <c r="H7" s="28">
        <f>ClassScore!R7+Examscore!R7</f>
        <v>31</v>
      </c>
      <c r="I7" s="28">
        <f>ClassScore!S7+Examscore!S7</f>
        <v>42.5</v>
      </c>
      <c r="J7" s="28">
        <f>ClassScore!T7+Examscore!T7</f>
        <v>34.5</v>
      </c>
      <c r="K7" s="28">
        <f>ClassScore!U7+Examscore!U7</f>
        <v>37.5</v>
      </c>
      <c r="L7" s="28">
        <f>ClassScore!V7+Examscore!V7</f>
        <v>57.5</v>
      </c>
      <c r="M7" s="5" t="str">
        <f t="shared" si="22"/>
        <v>Low</v>
      </c>
      <c r="N7" s="5" t="str">
        <f t="shared" si="23"/>
        <v>Low</v>
      </c>
      <c r="O7" s="5" t="str">
        <f t="shared" si="24"/>
        <v>Average</v>
      </c>
      <c r="P7" s="5" t="str">
        <f t="shared" si="25"/>
        <v>Lower</v>
      </c>
      <c r="Q7" s="5" t="str">
        <f t="shared" si="26"/>
        <v>Lower</v>
      </c>
      <c r="R7" s="5" t="str">
        <f t="shared" si="27"/>
        <v>Lowest</v>
      </c>
      <c r="S7" s="5" t="str">
        <f t="shared" si="28"/>
        <v>Lower</v>
      </c>
      <c r="T7" s="5" t="str">
        <f t="shared" si="29"/>
        <v>Lowest</v>
      </c>
      <c r="U7" s="5" t="str">
        <f t="shared" si="30"/>
        <v>Lowest</v>
      </c>
      <c r="V7" s="5" t="str">
        <f t="shared" si="31"/>
        <v>Low Average</v>
      </c>
      <c r="W7" s="5">
        <f t="shared" si="32"/>
        <v>7</v>
      </c>
      <c r="X7" s="5">
        <f t="shared" si="33"/>
        <v>7</v>
      </c>
      <c r="Y7" s="5">
        <f t="shared" si="34"/>
        <v>5</v>
      </c>
      <c r="Z7" s="5">
        <f t="shared" si="35"/>
        <v>8</v>
      </c>
      <c r="AA7" s="5">
        <f t="shared" si="36"/>
        <v>8</v>
      </c>
      <c r="AB7" s="5">
        <f t="shared" si="37"/>
        <v>9</v>
      </c>
      <c r="AC7" s="5">
        <f t="shared" si="38"/>
        <v>8</v>
      </c>
      <c r="AD7" s="5">
        <f t="shared" si="39"/>
        <v>9</v>
      </c>
      <c r="AE7" s="5">
        <f t="shared" si="40"/>
        <v>9</v>
      </c>
      <c r="AF7" s="5">
        <f t="shared" si="41"/>
        <v>6</v>
      </c>
      <c r="AG7" s="34">
        <f>SUM(C7,D7,F7,G7)+LARGE((E7,H7,I7,J7,K7,L7),1)+LARGE((E7,H7,I7,J7,K7,L7),2)</f>
        <v>321.5</v>
      </c>
      <c r="AH7" s="5">
        <f>SUM(W7,X7,Z7,AA7)+SMALL((Y7,AB7,AC7,AD7,AE7,AF7),1)+SMALL((Y7,AB7,AC7,AD7,AE7,AF7),2)</f>
        <v>41</v>
      </c>
      <c r="AI7" s="15" t="str">
        <f>'Teacher''s Remarks'!M8</f>
        <v>PATIENCE AFUA MENSAH</v>
      </c>
      <c r="AJ7" s="15" t="str">
        <f>'Teacher''s Remarks'!N8</f>
        <v>playful</v>
      </c>
      <c r="AK7" s="15" t="str">
        <f>'Teacher''s Remarks'!O8</f>
        <v>Does not participate in class</v>
      </c>
      <c r="AL7" s="15" t="str">
        <f>'Teacher''s Remarks'!P8</f>
        <v>He can do better than this. Sit up!</v>
      </c>
      <c r="AM7" s="13" t="str">
        <f t="shared" si="42"/>
        <v xml:space="preserve">ASARE RICHMOND </v>
      </c>
      <c r="AN7" s="14">
        <f>Attendance!B7</f>
        <v>64</v>
      </c>
      <c r="AO7" s="14">
        <v>60</v>
      </c>
      <c r="AP7" s="14">
        <v>5</v>
      </c>
      <c r="AQ7" s="22">
        <f t="shared" ca="1" si="43"/>
        <v>45764</v>
      </c>
      <c r="AR7" s="15"/>
      <c r="AT7" s="12">
        <f t="shared" si="11"/>
        <v>34</v>
      </c>
      <c r="AU7" t="str">
        <f>IF(OR(VALUE(RIGHT(AT7,5))={11,12,13}),"th",IF(OR(VALUE(RIGHT(AT7))={1,2,3}),CHOOSE(RIGHT(AT7),"st","nd","rd"),"th"))</f>
        <v>th</v>
      </c>
      <c r="AV7">
        <f t="shared" si="12"/>
        <v>30</v>
      </c>
      <c r="AW7" t="str">
        <f>IF(OR(VALUE(RIGHT(AV7,5))={11,12,13}),"th",IF(OR(VALUE(RIGHT(AV7))={1,2,3}),CHOOSE(RIGHT(AV7),"st","nd","rd"),"th"))</f>
        <v>th</v>
      </c>
      <c r="AX7">
        <f t="shared" si="13"/>
        <v>24</v>
      </c>
      <c r="AY7" t="str">
        <f>IF(OR(VALUE(RIGHT(AX7,5))={11,12,13}),"th",IF(OR(VALUE(RIGHT(AX7))={1,2,3}),CHOOSE(RIGHT(AX7),"st","nd","rd"),"th"))</f>
        <v>th</v>
      </c>
      <c r="AZ7">
        <f t="shared" si="14"/>
        <v>24</v>
      </c>
      <c r="BA7" t="str">
        <f>IF(OR(VALUE(RIGHT(AZ7,5))={11,12,13}),"th",IF(OR(VALUE(RIGHT(AZ7))={1,2,3}),CHOOSE(RIGHT(AZ7),"st","nd","rd"),"th"))</f>
        <v>th</v>
      </c>
      <c r="BB7">
        <f t="shared" si="15"/>
        <v>31</v>
      </c>
      <c r="BC7" t="str">
        <f>IF(OR(VALUE(RIGHT(BB7,5))={11,12,13}),"th",IF(OR(VALUE(RIGHT(BB7))={1,2,3}),CHOOSE(RIGHT(BB7),"st","nd","rd"),"th"))</f>
        <v>st</v>
      </c>
      <c r="BD7">
        <f t="shared" si="16"/>
        <v>45</v>
      </c>
      <c r="BE7" t="str">
        <f>IF(OR(VALUE(RIGHT(BD7,5))={11,12,13}),"th",IF(OR(VALUE(RIGHT(BD7))={1,2,3}),CHOOSE(RIGHT(BD7),"st","nd","rd"),"th"))</f>
        <v>th</v>
      </c>
      <c r="BF7">
        <f t="shared" si="17"/>
        <v>24</v>
      </c>
      <c r="BG7" t="str">
        <f>IF(OR(VALUE(RIGHT(BF7,5))={11,12,13}),"th",IF(OR(VALUE(RIGHT(BF7))={1,2,3}),CHOOSE(RIGHT(BF7),"st","nd","rd"),"th"))</f>
        <v>th</v>
      </c>
      <c r="BH7">
        <f t="shared" si="18"/>
        <v>32</v>
      </c>
      <c r="BI7" t="str">
        <f>IF(OR(VALUE(RIGHT(BH7,5))={11,12,13}),"th",IF(OR(VALUE(RIGHT(BH7))={1,2,3}),CHOOSE(RIGHT(BH7),"st","nd","rd"),"th"))</f>
        <v>nd</v>
      </c>
      <c r="BJ7">
        <f t="shared" si="19"/>
        <v>43</v>
      </c>
      <c r="BK7" t="str" cm="1">
        <f t="array" ref="BK7">IF(OR(VALUE(RIGHT(BJ7,5))={11,12,13}),"th",IF(OR(VALUE(RIGHT(BJ7))={1,2,3}),CHOOSE(RIGHT(BJ7),"st","nd","rd"),"th"))</f>
        <v>rd</v>
      </c>
      <c r="BL7">
        <f t="shared" si="20"/>
        <v>19</v>
      </c>
      <c r="BM7" t="str">
        <f>IF(OR(VALUE(RIGHT(BL7,5))={11,12,13}),"th",IF(OR(VALUE(RIGHT(BL7))={1,2,3}),CHOOSE(RIGHT(BL7),"st","nd","rd"),"th"))</f>
        <v>th</v>
      </c>
      <c r="BO7" s="30">
        <f t="shared" si="44"/>
        <v>467</v>
      </c>
      <c r="BP7">
        <f t="shared" si="21"/>
        <v>34</v>
      </c>
      <c r="BQ7" t="str">
        <f>IF(OR(VALUE(RIGHT(BP7,5))={11,12,13}),"th",IF(OR(VALUE(RIGHT(BP7))={1,2,3}),CHOOSE(RIGHT(BP7),"st","nd","rd"),"th"))</f>
        <v>th</v>
      </c>
      <c r="BS7" s="27">
        <f>ClassScore!M7</f>
        <v>37</v>
      </c>
      <c r="BT7" s="27">
        <f>ClassScore!N7</f>
        <v>37</v>
      </c>
      <c r="BU7" s="27">
        <f>ClassScore!O7</f>
        <v>36</v>
      </c>
      <c r="BV7" s="27">
        <f>ClassScore!P7</f>
        <v>32</v>
      </c>
      <c r="BW7" s="27">
        <f>ClassScore!Q7</f>
        <v>34</v>
      </c>
      <c r="BX7" s="27">
        <f>ClassScore!R7</f>
        <v>25</v>
      </c>
      <c r="BY7" s="27">
        <f>ClassScore!S7</f>
        <v>20.5</v>
      </c>
      <c r="BZ7" s="27">
        <f>ClassScore!T7</f>
        <v>16.5</v>
      </c>
      <c r="CA7" s="27">
        <f>ClassScore!U7</f>
        <v>16.5</v>
      </c>
      <c r="CB7" s="27">
        <f>ClassScore!V7</f>
        <v>39.5</v>
      </c>
      <c r="CD7" s="27">
        <f>Examscore!M7</f>
        <v>17</v>
      </c>
      <c r="CE7" s="27">
        <f>Examscore!N7</f>
        <v>17</v>
      </c>
      <c r="CF7" s="27">
        <f>Examscore!O7</f>
        <v>27.5</v>
      </c>
      <c r="CG7" s="27">
        <f>Examscore!P7</f>
        <v>12</v>
      </c>
      <c r="CH7" s="27">
        <f>Examscore!Q7</f>
        <v>14.5</v>
      </c>
      <c r="CI7" s="27">
        <f>Examscore!R7</f>
        <v>6</v>
      </c>
      <c r="CJ7" s="27">
        <f>Examscore!S7</f>
        <v>22</v>
      </c>
      <c r="CK7" s="27">
        <f>Examscore!T7</f>
        <v>18</v>
      </c>
      <c r="CL7" s="27">
        <f>Examscore!U7</f>
        <v>21</v>
      </c>
      <c r="CM7" s="27">
        <f>Examscore!V7</f>
        <v>18</v>
      </c>
    </row>
    <row r="8" spans="1:91" ht="15.75" x14ac:dyDescent="0.25">
      <c r="A8" s="5">
        <f>Student!A8</f>
        <v>4240</v>
      </c>
      <c r="B8" s="21" t="str">
        <f>Student!B8</f>
        <v xml:space="preserve">ASIAMAH JOSEPH </v>
      </c>
      <c r="C8" s="28">
        <f>ClassScore!M8+Examscore!M8</f>
        <v>41</v>
      </c>
      <c r="D8" s="28">
        <f>ClassScore!N8+Examscore!N8</f>
        <v>41.5</v>
      </c>
      <c r="E8" s="28">
        <f>ClassScore!O8+Examscore!O8</f>
        <v>43.5</v>
      </c>
      <c r="F8" s="28">
        <f>ClassScore!P8+Examscore!P8</f>
        <v>20</v>
      </c>
      <c r="G8" s="28">
        <f>ClassScore!Q8+Examscore!Q8</f>
        <v>43.5</v>
      </c>
      <c r="H8" s="28">
        <f>ClassScore!R8+Examscore!R8</f>
        <v>34</v>
      </c>
      <c r="I8" s="28">
        <f>ClassScore!S8+Examscore!S8</f>
        <v>27</v>
      </c>
      <c r="J8" s="28">
        <f>ClassScore!T8+Examscore!T8</f>
        <v>26.5</v>
      </c>
      <c r="K8" s="28">
        <f>ClassScore!U8+Examscore!U8</f>
        <v>38</v>
      </c>
      <c r="L8" s="28">
        <f>ClassScore!V8+Examscore!V8</f>
        <v>38.5</v>
      </c>
      <c r="M8" s="5" t="str">
        <f t="shared" si="22"/>
        <v>Lower</v>
      </c>
      <c r="N8" s="5" t="str">
        <f t="shared" si="23"/>
        <v>Lower</v>
      </c>
      <c r="O8" s="5" t="str">
        <f t="shared" si="24"/>
        <v>Lower</v>
      </c>
      <c r="P8" s="5" t="str">
        <f t="shared" si="25"/>
        <v>Lowest</v>
      </c>
      <c r="Q8" s="5" t="str">
        <f t="shared" si="26"/>
        <v>Lower</v>
      </c>
      <c r="R8" s="5" t="str">
        <f t="shared" si="27"/>
        <v>Lowest</v>
      </c>
      <c r="S8" s="5" t="str">
        <f t="shared" si="28"/>
        <v>Lowest</v>
      </c>
      <c r="T8" s="5" t="str">
        <f t="shared" si="29"/>
        <v>Lowest</v>
      </c>
      <c r="U8" s="5" t="str">
        <f t="shared" si="30"/>
        <v>Lowest</v>
      </c>
      <c r="V8" s="5" t="str">
        <f t="shared" si="31"/>
        <v>Lowest</v>
      </c>
      <c r="W8" s="5">
        <f t="shared" si="32"/>
        <v>8</v>
      </c>
      <c r="X8" s="5">
        <f t="shared" si="33"/>
        <v>8</v>
      </c>
      <c r="Y8" s="5">
        <f t="shared" si="34"/>
        <v>8</v>
      </c>
      <c r="Z8" s="5">
        <f t="shared" si="35"/>
        <v>9</v>
      </c>
      <c r="AA8" s="5">
        <f t="shared" si="36"/>
        <v>8</v>
      </c>
      <c r="AB8" s="5">
        <f t="shared" si="37"/>
        <v>9</v>
      </c>
      <c r="AC8" s="5">
        <f t="shared" si="38"/>
        <v>9</v>
      </c>
      <c r="AD8" s="5">
        <f t="shared" si="39"/>
        <v>9</v>
      </c>
      <c r="AE8" s="5">
        <f t="shared" si="40"/>
        <v>9</v>
      </c>
      <c r="AF8" s="5">
        <f t="shared" si="41"/>
        <v>9</v>
      </c>
      <c r="AG8" s="34">
        <f>SUM(C8,D8,F8,G8)+LARGE((E8,H8,I8,J8,K8,L8),1)+LARGE((E8,H8,I8,J8,K8,L8),2)</f>
        <v>228</v>
      </c>
      <c r="AH8" s="5">
        <f>SUM(W8,X8,Z8,AA8)+SMALL((Y8,AB8,AC8,AD8,AE8,AF8),1)+SMALL((Y8,AB8,AC8,AD8,AE8,AF8),2)</f>
        <v>50</v>
      </c>
      <c r="AI8" s="15" t="str">
        <f>'Teacher''s Remarks'!M9</f>
        <v>PATIENCE AFUA MENSAH</v>
      </c>
      <c r="AJ8" s="15" t="str">
        <f>'Teacher''s Remarks'!N9</f>
        <v>playful</v>
      </c>
      <c r="AK8" s="15" t="str">
        <f>'Teacher''s Remarks'!O9</f>
        <v>Participates in class</v>
      </c>
      <c r="AL8" s="15" t="str">
        <f>'Teacher''s Remarks'!P9</f>
        <v>He can do better than this. Sit up!</v>
      </c>
      <c r="AM8" s="13" t="str">
        <f t="shared" si="42"/>
        <v xml:space="preserve">ASIAMAH JOSEPH </v>
      </c>
      <c r="AN8" s="14">
        <f>Attendance!B8</f>
        <v>61</v>
      </c>
      <c r="AO8" s="14">
        <v>65</v>
      </c>
      <c r="AP8" s="14">
        <v>4</v>
      </c>
      <c r="AQ8" s="22">
        <f t="shared" ca="1" si="43"/>
        <v>45764</v>
      </c>
      <c r="AR8" s="15"/>
      <c r="AT8" s="12">
        <f t="shared" si="11"/>
        <v>55</v>
      </c>
      <c r="AU8" t="str">
        <f>IF(OR(VALUE(RIGHT(AT8,5))={11,12,13}),"th",IF(OR(VALUE(RIGHT(AT8))={1,2,3}),CHOOSE(RIGHT(AT8),"st","nd","rd"),"th"))</f>
        <v>th</v>
      </c>
      <c r="AV8">
        <f t="shared" si="12"/>
        <v>51</v>
      </c>
      <c r="AW8" t="str">
        <f>IF(OR(VALUE(RIGHT(AV8,5))={11,12,13}),"th",IF(OR(VALUE(RIGHT(AV8))={1,2,3}),CHOOSE(RIGHT(AV8),"st","nd","rd"),"th"))</f>
        <v>st</v>
      </c>
      <c r="AX8">
        <f t="shared" si="13"/>
        <v>49</v>
      </c>
      <c r="AY8" t="str">
        <f>IF(OR(VALUE(RIGHT(AX8,5))={11,12,13}),"th",IF(OR(VALUE(RIGHT(AX8))={1,2,3}),CHOOSE(RIGHT(AX8),"st","nd","rd"),"th"))</f>
        <v>th</v>
      </c>
      <c r="AZ8">
        <f t="shared" si="14"/>
        <v>53</v>
      </c>
      <c r="BA8" t="str">
        <f>IF(OR(VALUE(RIGHT(AZ8,5))={11,12,13}),"th",IF(OR(VALUE(RIGHT(AZ8))={1,2,3}),CHOOSE(RIGHT(AZ8),"st","nd","rd"),"th"))</f>
        <v>rd</v>
      </c>
      <c r="BB8">
        <f t="shared" si="15"/>
        <v>46</v>
      </c>
      <c r="BC8" t="str">
        <f>IF(OR(VALUE(RIGHT(BB8,5))={11,12,13}),"th",IF(OR(VALUE(RIGHT(BB8))={1,2,3}),CHOOSE(RIGHT(BB8),"st","nd","rd"),"th"))</f>
        <v>th</v>
      </c>
      <c r="BD8">
        <f t="shared" si="16"/>
        <v>34</v>
      </c>
      <c r="BE8" t="str">
        <f>IF(OR(VALUE(RIGHT(BD8,5))={11,12,13}),"th",IF(OR(VALUE(RIGHT(BD8))={1,2,3}),CHOOSE(RIGHT(BD8),"st","nd","rd"),"th"))</f>
        <v>th</v>
      </c>
      <c r="BF8">
        <f t="shared" si="17"/>
        <v>53</v>
      </c>
      <c r="BG8" t="str">
        <f>IF(OR(VALUE(RIGHT(BF8,5))={11,12,13}),"th",IF(OR(VALUE(RIGHT(BF8))={1,2,3}),CHOOSE(RIGHT(BF8),"st","nd","rd"),"th"))</f>
        <v>rd</v>
      </c>
      <c r="BH8">
        <f t="shared" si="18"/>
        <v>48</v>
      </c>
      <c r="BI8" t="str">
        <f>IF(OR(VALUE(RIGHT(BH8,5))={11,12,13}),"th",IF(OR(VALUE(RIGHT(BH8))={1,2,3}),CHOOSE(RIGHT(BH8),"st","nd","rd"),"th"))</f>
        <v>th</v>
      </c>
      <c r="BJ8">
        <f t="shared" si="19"/>
        <v>41</v>
      </c>
      <c r="BK8" t="str" cm="1">
        <f t="array" ref="BK8">IF(OR(VALUE(RIGHT(BJ8,5))={11,12,13}),"th",IF(OR(VALUE(RIGHT(BJ8))={1,2,3}),CHOOSE(RIGHT(BJ8),"st","nd","rd"),"th"))</f>
        <v>st</v>
      </c>
      <c r="BL8">
        <f t="shared" si="20"/>
        <v>54</v>
      </c>
      <c r="BM8" t="str">
        <f>IF(OR(VALUE(RIGHT(BL8,5))={11,12,13}),"th",IF(OR(VALUE(RIGHT(BL8))={1,2,3}),CHOOSE(RIGHT(BL8),"st","nd","rd"),"th"))</f>
        <v>th</v>
      </c>
      <c r="BO8" s="30">
        <f t="shared" si="44"/>
        <v>353.5</v>
      </c>
      <c r="BP8">
        <f t="shared" si="21"/>
        <v>55</v>
      </c>
      <c r="BQ8" t="str">
        <f>IF(OR(VALUE(RIGHT(BP8,5))={11,12,13}),"th",IF(OR(VALUE(RIGHT(BP8))={1,2,3}),CHOOSE(RIGHT(BP8),"st","nd","rd"),"th"))</f>
        <v>th</v>
      </c>
      <c r="BS8" s="27">
        <f>ClassScore!M8</f>
        <v>35.5</v>
      </c>
      <c r="BT8" s="27">
        <f>ClassScore!N8</f>
        <v>36</v>
      </c>
      <c r="BU8" s="27">
        <f>ClassScore!O8</f>
        <v>29.5</v>
      </c>
      <c r="BV8" s="27">
        <f>ClassScore!P8</f>
        <v>15.5</v>
      </c>
      <c r="BW8" s="27">
        <f>ClassScore!Q8</f>
        <v>35</v>
      </c>
      <c r="BX8" s="27">
        <f>ClassScore!R8</f>
        <v>25</v>
      </c>
      <c r="BY8" s="27">
        <f>ClassScore!S8</f>
        <v>15</v>
      </c>
      <c r="BZ8" s="27">
        <f>ClassScore!T8</f>
        <v>19.5</v>
      </c>
      <c r="CA8" s="27">
        <f>ClassScore!U8</f>
        <v>28</v>
      </c>
      <c r="CB8" s="27">
        <f>ClassScore!V8</f>
        <v>27</v>
      </c>
      <c r="CD8" s="27">
        <f>Examscore!M8</f>
        <v>5.5</v>
      </c>
      <c r="CE8" s="27">
        <f>Examscore!N8</f>
        <v>5.5</v>
      </c>
      <c r="CF8" s="27">
        <f>Examscore!O8</f>
        <v>14</v>
      </c>
      <c r="CG8" s="27">
        <f>Examscore!P8</f>
        <v>4.5</v>
      </c>
      <c r="CH8" s="27">
        <f>Examscore!Q8</f>
        <v>8.5</v>
      </c>
      <c r="CI8" s="27">
        <f>Examscore!R8</f>
        <v>9</v>
      </c>
      <c r="CJ8" s="27">
        <f>Examscore!S8</f>
        <v>12</v>
      </c>
      <c r="CK8" s="27">
        <f>Examscore!T8</f>
        <v>7</v>
      </c>
      <c r="CL8" s="27">
        <f>Examscore!U8</f>
        <v>10</v>
      </c>
      <c r="CM8" s="27">
        <f>Examscore!V8</f>
        <v>11.5</v>
      </c>
    </row>
    <row r="9" spans="1:91" ht="15.75" x14ac:dyDescent="0.25">
      <c r="A9" s="5">
        <f>Student!A9</f>
        <v>727</v>
      </c>
      <c r="B9" s="21" t="str">
        <f>Student!B9</f>
        <v>AWUAH KEKELI JERRY</v>
      </c>
      <c r="C9" s="28">
        <f>ClassScore!M9+Examscore!M9</f>
        <v>52.5</v>
      </c>
      <c r="D9" s="28">
        <f>ClassScore!N9+Examscore!N9</f>
        <v>51.5</v>
      </c>
      <c r="E9" s="28">
        <f>ClassScore!O9+Examscore!O9</f>
        <v>55.5</v>
      </c>
      <c r="F9" s="28">
        <f>ClassScore!P9+Examscore!P9</f>
        <v>50</v>
      </c>
      <c r="G9" s="28">
        <f>ClassScore!Q9+Examscore!Q9</f>
        <v>52.5</v>
      </c>
      <c r="H9" s="28">
        <f>ClassScore!R9+Examscore!R9</f>
        <v>34.5</v>
      </c>
      <c r="I9" s="28">
        <f>ClassScore!S9+Examscore!S9</f>
        <v>40</v>
      </c>
      <c r="J9" s="28">
        <f>ClassScore!T9+Examscore!T9</f>
        <v>32</v>
      </c>
      <c r="K9" s="28">
        <f>ClassScore!U9+Examscore!U9</f>
        <v>38</v>
      </c>
      <c r="L9" s="28">
        <f>ClassScore!V9+Examscore!V9</f>
        <v>69</v>
      </c>
      <c r="M9" s="5" t="str">
        <f t="shared" si="22"/>
        <v>Low</v>
      </c>
      <c r="N9" s="5" t="str">
        <f t="shared" si="23"/>
        <v>Low</v>
      </c>
      <c r="O9" s="5" t="str">
        <f t="shared" si="24"/>
        <v>Low Average</v>
      </c>
      <c r="P9" s="5" t="str">
        <f t="shared" si="25"/>
        <v>Low</v>
      </c>
      <c r="Q9" s="5" t="str">
        <f t="shared" si="26"/>
        <v>Low</v>
      </c>
      <c r="R9" s="5" t="str">
        <f t="shared" si="27"/>
        <v>Lowest</v>
      </c>
      <c r="S9" s="5" t="str">
        <f t="shared" si="28"/>
        <v>Lower</v>
      </c>
      <c r="T9" s="5" t="str">
        <f t="shared" si="29"/>
        <v>Lowest</v>
      </c>
      <c r="U9" s="5" t="str">
        <f t="shared" si="30"/>
        <v>Lowest</v>
      </c>
      <c r="V9" s="5" t="str">
        <f t="shared" si="31"/>
        <v>High Average</v>
      </c>
      <c r="W9" s="5">
        <f t="shared" si="32"/>
        <v>7</v>
      </c>
      <c r="X9" s="5">
        <f t="shared" si="33"/>
        <v>7</v>
      </c>
      <c r="Y9" s="5">
        <f t="shared" si="34"/>
        <v>6</v>
      </c>
      <c r="Z9" s="5">
        <f t="shared" si="35"/>
        <v>7</v>
      </c>
      <c r="AA9" s="5">
        <f t="shared" si="36"/>
        <v>7</v>
      </c>
      <c r="AB9" s="5">
        <f t="shared" si="37"/>
        <v>9</v>
      </c>
      <c r="AC9" s="5">
        <f t="shared" si="38"/>
        <v>8</v>
      </c>
      <c r="AD9" s="5">
        <f t="shared" si="39"/>
        <v>9</v>
      </c>
      <c r="AE9" s="5">
        <f t="shared" si="40"/>
        <v>9</v>
      </c>
      <c r="AF9" s="5">
        <f t="shared" si="41"/>
        <v>4</v>
      </c>
      <c r="AG9" s="34">
        <f>SUM(C9,D9,F9,G9)+LARGE((E9,H9,I9,J9,K9,L9),1)+LARGE((E9,H9,I9,J9,K9,L9),2)</f>
        <v>331</v>
      </c>
      <c r="AH9" s="5">
        <f>SUM(W9,X9,Z9,AA9)+SMALL((Y9,AB9,AC9,AD9,AE9,AF9),1)+SMALL((Y9,AB9,AC9,AD9,AE9,AF9),2)</f>
        <v>38</v>
      </c>
      <c r="AI9" s="15" t="str">
        <f>'Teacher''s Remarks'!M10</f>
        <v>PATIENCE AFUA MENSAH</v>
      </c>
      <c r="AJ9" s="15" t="str">
        <f>'Teacher''s Remarks'!N10</f>
        <v>Friendly</v>
      </c>
      <c r="AK9" s="15" t="str">
        <f>'Teacher''s Remarks'!O10</f>
        <v>He is regular but not puntual to school</v>
      </c>
      <c r="AL9" s="15" t="str">
        <f>'Teacher''s Remarks'!P10</f>
        <v>He can do better than this. Sit up!</v>
      </c>
      <c r="AM9" s="13" t="str">
        <f t="shared" si="42"/>
        <v>AWUAH KEKELI JERRY</v>
      </c>
      <c r="AN9" s="14">
        <f>Attendance!B9</f>
        <v>64</v>
      </c>
      <c r="AO9" s="14">
        <v>70</v>
      </c>
      <c r="AP9" s="14">
        <v>3</v>
      </c>
      <c r="AQ9" s="22">
        <f t="shared" ca="1" si="43"/>
        <v>45764</v>
      </c>
      <c r="AR9" s="15"/>
      <c r="AT9" s="12">
        <f t="shared" si="11"/>
        <v>40</v>
      </c>
      <c r="AU9" t="str">
        <f>IF(OR(VALUE(RIGHT(AT9,5))={11,12,13}),"th",IF(OR(VALUE(RIGHT(AT9))={1,2,3}),CHOOSE(RIGHT(AT9),"st","nd","rd"),"th"))</f>
        <v>th</v>
      </c>
      <c r="AV9">
        <f t="shared" si="12"/>
        <v>36</v>
      </c>
      <c r="AW9" t="str">
        <f>IF(OR(VALUE(RIGHT(AV9,5))={11,12,13}),"th",IF(OR(VALUE(RIGHT(AV9))={1,2,3}),CHOOSE(RIGHT(AV9),"st","nd","rd"),"th"))</f>
        <v>th</v>
      </c>
      <c r="AX9">
        <f t="shared" si="13"/>
        <v>35</v>
      </c>
      <c r="AY9" t="str">
        <f>IF(OR(VALUE(RIGHT(AX9,5))={11,12,13}),"th",IF(OR(VALUE(RIGHT(AX9))={1,2,3}),CHOOSE(RIGHT(AX9),"st","nd","rd"),"th"))</f>
        <v>th</v>
      </c>
      <c r="AZ9">
        <f t="shared" si="14"/>
        <v>16</v>
      </c>
      <c r="BA9" t="str">
        <f>IF(OR(VALUE(RIGHT(AZ9,5))={11,12,13}),"th",IF(OR(VALUE(RIGHT(AZ9))={1,2,3}),CHOOSE(RIGHT(AZ9),"st","nd","rd"),"th"))</f>
        <v>th</v>
      </c>
      <c r="BB9">
        <f t="shared" si="15"/>
        <v>22</v>
      </c>
      <c r="BC9" t="str">
        <f>IF(OR(VALUE(RIGHT(BB9,5))={11,12,13}),"th",IF(OR(VALUE(RIGHT(BB9))={1,2,3}),CHOOSE(RIGHT(BB9),"st","nd","rd"),"th"))</f>
        <v>nd</v>
      </c>
      <c r="BD9">
        <f t="shared" si="16"/>
        <v>31</v>
      </c>
      <c r="BE9" t="str">
        <f>IF(OR(VALUE(RIGHT(BD9,5))={11,12,13}),"th",IF(OR(VALUE(RIGHT(BD9))={1,2,3}),CHOOSE(RIGHT(BD9),"st","nd","rd"),"th"))</f>
        <v>st</v>
      </c>
      <c r="BF9">
        <f t="shared" si="17"/>
        <v>28</v>
      </c>
      <c r="BG9" t="str">
        <f>IF(OR(VALUE(RIGHT(BF9,5))={11,12,13}),"th",IF(OR(VALUE(RIGHT(BF9))={1,2,3}),CHOOSE(RIGHT(BF9),"st","nd","rd"),"th"))</f>
        <v>th</v>
      </c>
      <c r="BH9">
        <f t="shared" si="18"/>
        <v>39</v>
      </c>
      <c r="BI9" t="str">
        <f>IF(OR(VALUE(RIGHT(BH9,5))={11,12,13}),"th",IF(OR(VALUE(RIGHT(BH9))={1,2,3}),CHOOSE(RIGHT(BH9),"st","nd","rd"),"th"))</f>
        <v>th</v>
      </c>
      <c r="BJ9">
        <f t="shared" si="19"/>
        <v>41</v>
      </c>
      <c r="BK9" t="str" cm="1">
        <f t="array" ref="BK9">IF(OR(VALUE(RIGHT(BJ9,5))={11,12,13}),"th",IF(OR(VALUE(RIGHT(BJ9))={1,2,3}),CHOOSE(RIGHT(BJ9),"st","nd","rd"),"th"))</f>
        <v>st</v>
      </c>
      <c r="BL9">
        <f t="shared" si="20"/>
        <v>5</v>
      </c>
      <c r="BM9" t="str">
        <f>IF(OR(VALUE(RIGHT(BL9,5))={11,12,13}),"th",IF(OR(VALUE(RIGHT(BL9))={1,2,3}),CHOOSE(RIGHT(BL9),"st","nd","rd"),"th"))</f>
        <v>th</v>
      </c>
      <c r="BO9" s="30">
        <f t="shared" si="44"/>
        <v>475.5</v>
      </c>
      <c r="BP9">
        <f t="shared" si="21"/>
        <v>32</v>
      </c>
      <c r="BQ9" t="str">
        <f>IF(OR(VALUE(RIGHT(BP9,5))={11,12,13}),"th",IF(OR(VALUE(RIGHT(BP9))={1,2,3}),CHOOSE(RIGHT(BP9),"st","nd","rd"),"th"))</f>
        <v>nd</v>
      </c>
      <c r="BS9" s="27">
        <f>ClassScore!M9</f>
        <v>37.5</v>
      </c>
      <c r="BT9" s="27">
        <f>ClassScore!N9</f>
        <v>36.5</v>
      </c>
      <c r="BU9" s="27">
        <f>ClassScore!O9</f>
        <v>33.5</v>
      </c>
      <c r="BV9" s="27">
        <f>ClassScore!P9</f>
        <v>41</v>
      </c>
      <c r="BW9" s="27">
        <f>ClassScore!Q9</f>
        <v>37</v>
      </c>
      <c r="BX9" s="27">
        <f>ClassScore!R9</f>
        <v>26</v>
      </c>
      <c r="BY9" s="27">
        <f>ClassScore!S9</f>
        <v>24</v>
      </c>
      <c r="BZ9" s="27">
        <f>ClassScore!T9</f>
        <v>23</v>
      </c>
      <c r="CA9" s="27">
        <f>ClassScore!U9</f>
        <v>19</v>
      </c>
      <c r="CB9" s="27">
        <f>ClassScore!V9</f>
        <v>42.5</v>
      </c>
      <c r="CD9" s="27">
        <f>Examscore!M9</f>
        <v>15</v>
      </c>
      <c r="CE9" s="27">
        <f>Examscore!N9</f>
        <v>15</v>
      </c>
      <c r="CF9" s="27">
        <f>Examscore!O9</f>
        <v>22</v>
      </c>
      <c r="CG9" s="27">
        <f>Examscore!P9</f>
        <v>9</v>
      </c>
      <c r="CH9" s="27">
        <f>Examscore!Q9</f>
        <v>15.5</v>
      </c>
      <c r="CI9" s="27">
        <f>Examscore!R9</f>
        <v>8.5</v>
      </c>
      <c r="CJ9" s="27">
        <f>Examscore!S9</f>
        <v>16</v>
      </c>
      <c r="CK9" s="27">
        <f>Examscore!T9</f>
        <v>9</v>
      </c>
      <c r="CL9" s="27">
        <f>Examscore!U9</f>
        <v>19</v>
      </c>
      <c r="CM9" s="27">
        <f>Examscore!V9</f>
        <v>26.5</v>
      </c>
    </row>
    <row r="10" spans="1:91" ht="15.75" x14ac:dyDescent="0.25">
      <c r="A10" s="5">
        <f>Student!A10</f>
        <v>385</v>
      </c>
      <c r="B10" s="21" t="str">
        <f>Student!B10</f>
        <v xml:space="preserve">BAWA BASSIT </v>
      </c>
      <c r="C10" s="28">
        <f>ClassScore!M10+Examscore!M10</f>
        <v>53.5</v>
      </c>
      <c r="D10" s="28">
        <f>ClassScore!N10+Examscore!N10</f>
        <v>57.5</v>
      </c>
      <c r="E10" s="28">
        <f>ClassScore!O10+Examscore!O10</f>
        <v>76</v>
      </c>
      <c r="F10" s="28">
        <f>ClassScore!P10+Examscore!P10</f>
        <v>45.5</v>
      </c>
      <c r="G10" s="28">
        <f>ClassScore!Q10+Examscore!Q10</f>
        <v>52</v>
      </c>
      <c r="H10" s="28">
        <f>ClassScore!R10+Examscore!R10</f>
        <v>43</v>
      </c>
      <c r="I10" s="28">
        <f>ClassScore!S10+Examscore!S10</f>
        <v>46</v>
      </c>
      <c r="J10" s="28">
        <f>ClassScore!T10+Examscore!T10</f>
        <v>35.5</v>
      </c>
      <c r="K10" s="28">
        <f>ClassScore!U10+Examscore!U10</f>
        <v>42.5</v>
      </c>
      <c r="L10" s="28">
        <f>ClassScore!V10+Examscore!V10</f>
        <v>58</v>
      </c>
      <c r="M10" s="5" t="str">
        <f t="shared" si="22"/>
        <v>Low</v>
      </c>
      <c r="N10" s="5" t="str">
        <f t="shared" si="23"/>
        <v>Low Average</v>
      </c>
      <c r="O10" s="5" t="str">
        <f t="shared" si="24"/>
        <v>High</v>
      </c>
      <c r="P10" s="5" t="str">
        <f t="shared" si="25"/>
        <v>Lower</v>
      </c>
      <c r="Q10" s="5" t="str">
        <f t="shared" si="26"/>
        <v>Low</v>
      </c>
      <c r="R10" s="5" t="str">
        <f t="shared" si="27"/>
        <v>Lower</v>
      </c>
      <c r="S10" s="5" t="str">
        <f t="shared" si="28"/>
        <v>Lower</v>
      </c>
      <c r="T10" s="5" t="str">
        <f t="shared" si="29"/>
        <v>Lowest</v>
      </c>
      <c r="U10" s="5" t="str">
        <f t="shared" si="30"/>
        <v>Lower</v>
      </c>
      <c r="V10" s="5" t="str">
        <f t="shared" si="31"/>
        <v>Low Average</v>
      </c>
      <c r="W10" s="5">
        <f t="shared" si="32"/>
        <v>7</v>
      </c>
      <c r="X10" s="5">
        <f t="shared" si="33"/>
        <v>6</v>
      </c>
      <c r="Y10" s="5">
        <f t="shared" si="34"/>
        <v>3</v>
      </c>
      <c r="Z10" s="5">
        <f t="shared" si="35"/>
        <v>8</v>
      </c>
      <c r="AA10" s="5">
        <f t="shared" si="36"/>
        <v>7</v>
      </c>
      <c r="AB10" s="5">
        <f t="shared" si="37"/>
        <v>8</v>
      </c>
      <c r="AC10" s="5">
        <f t="shared" si="38"/>
        <v>8</v>
      </c>
      <c r="AD10" s="5">
        <f t="shared" si="39"/>
        <v>9</v>
      </c>
      <c r="AE10" s="5">
        <f t="shared" si="40"/>
        <v>8</v>
      </c>
      <c r="AF10" s="5">
        <f t="shared" si="41"/>
        <v>6</v>
      </c>
      <c r="AG10" s="34">
        <f>SUM(C10,D10,F10,G10)+LARGE((E10,H10,I10,J10,K10,L10),1)+LARGE((E10,H10,I10,J10,K10,L10),2)</f>
        <v>342.5</v>
      </c>
      <c r="AH10" s="5">
        <f>SUM(W10,X10,Z10,AA10)+SMALL((Y10,AB10,AC10,AD10,AE10,AF10),1)+SMALL((Y10,AB10,AC10,AD10,AE10,AF10),2)</f>
        <v>37</v>
      </c>
      <c r="AI10" s="15" t="str">
        <f>'Teacher''s Remarks'!M11</f>
        <v>PATIENCE AFUA MENSAH</v>
      </c>
      <c r="AJ10" s="15" t="str">
        <f>'Teacher''s Remarks'!N11</f>
        <v>Dutiful</v>
      </c>
      <c r="AK10" s="15" t="str">
        <f>'Teacher''s Remarks'!O11</f>
        <v>He is regular but not puntual to school</v>
      </c>
      <c r="AL10" s="15" t="str">
        <f>'Teacher''s Remarks'!P11</f>
        <v>He can do better than this. Sit up!</v>
      </c>
      <c r="AM10" s="13" t="str">
        <f t="shared" si="42"/>
        <v xml:space="preserve">BAWA BASSIT </v>
      </c>
      <c r="AN10" s="14">
        <f>Attendance!B10</f>
        <v>62</v>
      </c>
      <c r="AO10" s="14">
        <v>80</v>
      </c>
      <c r="AP10" s="14">
        <v>2</v>
      </c>
      <c r="AQ10" s="22">
        <f t="shared" ca="1" si="43"/>
        <v>45764</v>
      </c>
      <c r="AR10" s="15"/>
      <c r="AT10" s="12">
        <f t="shared" si="11"/>
        <v>38</v>
      </c>
      <c r="AU10" t="str">
        <f>IF(OR(VALUE(RIGHT(AT10,5))={11,12,13}),"th",IF(OR(VALUE(RIGHT(AT10))={1,2,3}),CHOOSE(RIGHT(AT10),"st","nd","rd"),"th"))</f>
        <v>th</v>
      </c>
      <c r="AV10">
        <f t="shared" si="12"/>
        <v>22</v>
      </c>
      <c r="AW10" t="str">
        <f>IF(OR(VALUE(RIGHT(AV10,5))={11,12,13}),"th",IF(OR(VALUE(RIGHT(AV10))={1,2,3}),CHOOSE(RIGHT(AV10),"st","nd","rd"),"th"))</f>
        <v>nd</v>
      </c>
      <c r="AX10">
        <f t="shared" si="13"/>
        <v>4</v>
      </c>
      <c r="AY10" t="str">
        <f>IF(OR(VALUE(RIGHT(AX10,5))={11,12,13}),"th",IF(OR(VALUE(RIGHT(AX10))={1,2,3}),CHOOSE(RIGHT(AX10),"st","nd","rd"),"th"))</f>
        <v>th</v>
      </c>
      <c r="AZ10">
        <f t="shared" si="14"/>
        <v>23</v>
      </c>
      <c r="BA10" t="str">
        <f>IF(OR(VALUE(RIGHT(AZ10,5))={11,12,13}),"th",IF(OR(VALUE(RIGHT(AZ10))={1,2,3}),CHOOSE(RIGHT(AZ10),"st","nd","rd"),"th"))</f>
        <v>rd</v>
      </c>
      <c r="BB10">
        <f t="shared" si="15"/>
        <v>23</v>
      </c>
      <c r="BC10" t="str">
        <f>IF(OR(VALUE(RIGHT(BB10,5))={11,12,13}),"th",IF(OR(VALUE(RIGHT(BB10))={1,2,3}),CHOOSE(RIGHT(BB10),"st","nd","rd"),"th"))</f>
        <v>rd</v>
      </c>
      <c r="BD10">
        <f t="shared" si="16"/>
        <v>12</v>
      </c>
      <c r="BE10" t="str">
        <f>IF(OR(VALUE(RIGHT(BD10,5))={11,12,13}),"th",IF(OR(VALUE(RIGHT(BD10))={1,2,3}),CHOOSE(RIGHT(BD10),"st","nd","rd"),"th"))</f>
        <v>th</v>
      </c>
      <c r="BF10">
        <f t="shared" si="17"/>
        <v>17</v>
      </c>
      <c r="BG10" t="str">
        <f>IF(OR(VALUE(RIGHT(BF10,5))={11,12,13}),"th",IF(OR(VALUE(RIGHT(BF10))={1,2,3}),CHOOSE(RIGHT(BF10),"st","nd","rd"),"th"))</f>
        <v>th</v>
      </c>
      <c r="BH10">
        <f t="shared" si="18"/>
        <v>29</v>
      </c>
      <c r="BI10" t="str">
        <f>IF(OR(VALUE(RIGHT(BH10,5))={11,12,13}),"th",IF(OR(VALUE(RIGHT(BH10))={1,2,3}),CHOOSE(RIGHT(BH10),"st","nd","rd"),"th"))</f>
        <v>th</v>
      </c>
      <c r="BJ10">
        <f t="shared" si="19"/>
        <v>31</v>
      </c>
      <c r="BK10" t="str" cm="1">
        <f t="array" ref="BK10">IF(OR(VALUE(RIGHT(BJ10,5))={11,12,13}),"th",IF(OR(VALUE(RIGHT(BJ10))={1,2,3}),CHOOSE(RIGHT(BJ10),"st","nd","rd"),"th"))</f>
        <v>st</v>
      </c>
      <c r="BL10">
        <f t="shared" si="20"/>
        <v>17</v>
      </c>
      <c r="BM10" t="str">
        <f>IF(OR(VALUE(RIGHT(BL10,5))={11,12,13}),"th",IF(OR(VALUE(RIGHT(BL10))={1,2,3}),CHOOSE(RIGHT(BL10),"st","nd","rd"),"th"))</f>
        <v>th</v>
      </c>
      <c r="BO10" s="30">
        <f t="shared" si="44"/>
        <v>509.5</v>
      </c>
      <c r="BP10">
        <f t="shared" si="21"/>
        <v>17</v>
      </c>
      <c r="BQ10" t="str">
        <f>IF(OR(VALUE(RIGHT(BP10,5))={11,12,13}),"th",IF(OR(VALUE(RIGHT(BP10))={1,2,3}),CHOOSE(RIGHT(BP10),"st","nd","rd"),"th"))</f>
        <v>th</v>
      </c>
      <c r="BS10" s="27">
        <f>ClassScore!M10</f>
        <v>36</v>
      </c>
      <c r="BT10" s="27">
        <f>ClassScore!N10</f>
        <v>40</v>
      </c>
      <c r="BU10" s="27">
        <f>ClassScore!O10</f>
        <v>34</v>
      </c>
      <c r="BV10" s="27">
        <f>ClassScore!P10</f>
        <v>35</v>
      </c>
      <c r="BW10" s="27">
        <f>ClassScore!Q10</f>
        <v>37</v>
      </c>
      <c r="BX10" s="27">
        <f>ClassScore!R10</f>
        <v>32.5</v>
      </c>
      <c r="BY10" s="27">
        <f>ClassScore!S10</f>
        <v>24</v>
      </c>
      <c r="BZ10" s="27">
        <f>ClassScore!T10</f>
        <v>26.5</v>
      </c>
      <c r="CA10" s="27">
        <f>ClassScore!U10</f>
        <v>23.5</v>
      </c>
      <c r="CB10" s="27">
        <f>ClassScore!V10</f>
        <v>42.5</v>
      </c>
      <c r="CD10" s="27">
        <f>Examscore!M10</f>
        <v>17.5</v>
      </c>
      <c r="CE10" s="27">
        <f>Examscore!N10</f>
        <v>17.5</v>
      </c>
      <c r="CF10" s="27">
        <f>Examscore!O10</f>
        <v>42</v>
      </c>
      <c r="CG10" s="27">
        <f>Examscore!P10</f>
        <v>10.5</v>
      </c>
      <c r="CH10" s="27">
        <f>Examscore!Q10</f>
        <v>15</v>
      </c>
      <c r="CI10" s="27">
        <f>Examscore!R10</f>
        <v>10.5</v>
      </c>
      <c r="CJ10" s="27">
        <f>Examscore!S10</f>
        <v>22</v>
      </c>
      <c r="CK10" s="27">
        <f>Examscore!T10</f>
        <v>9</v>
      </c>
      <c r="CL10" s="27">
        <f>Examscore!U10</f>
        <v>19</v>
      </c>
      <c r="CM10" s="27">
        <f>Examscore!V10</f>
        <v>15.5</v>
      </c>
    </row>
    <row r="11" spans="1:91" ht="15.75" x14ac:dyDescent="0.25">
      <c r="A11" s="5" t="str">
        <f>Student!A11</f>
        <v>A319</v>
      </c>
      <c r="B11" s="21" t="str">
        <f>Student!B11</f>
        <v xml:space="preserve">DANQWAH PHILIP </v>
      </c>
      <c r="C11" s="28">
        <f>ClassScore!M11+Examscore!M11</f>
        <v>50</v>
      </c>
      <c r="D11" s="28">
        <f>ClassScore!N11+Examscore!N11</f>
        <v>40.5</v>
      </c>
      <c r="E11" s="28">
        <f>ClassScore!O11+Examscore!O11</f>
        <v>58.5</v>
      </c>
      <c r="F11" s="28">
        <f>ClassScore!P11+Examscore!P11</f>
        <v>43.5</v>
      </c>
      <c r="G11" s="28">
        <f>ClassScore!Q11+Examscore!Q11</f>
        <v>40.5</v>
      </c>
      <c r="H11" s="28">
        <f>ClassScore!R11+Examscore!R11</f>
        <v>46</v>
      </c>
      <c r="I11" s="28">
        <f>ClassScore!S11+Examscore!S11</f>
        <v>41</v>
      </c>
      <c r="J11" s="28">
        <f>ClassScore!T11+Examscore!T11</f>
        <v>32.5</v>
      </c>
      <c r="K11" s="28">
        <f>ClassScore!U11+Examscore!U11</f>
        <v>29.5</v>
      </c>
      <c r="L11" s="28">
        <f>ClassScore!V11+Examscore!V11</f>
        <v>54.5</v>
      </c>
      <c r="M11" s="5" t="str">
        <f t="shared" si="22"/>
        <v>Low</v>
      </c>
      <c r="N11" s="5" t="str">
        <f t="shared" si="23"/>
        <v>Lower</v>
      </c>
      <c r="O11" s="5" t="str">
        <f t="shared" si="24"/>
        <v>Low Average</v>
      </c>
      <c r="P11" s="5" t="str">
        <f t="shared" si="25"/>
        <v>Lower</v>
      </c>
      <c r="Q11" s="5" t="str">
        <f t="shared" si="26"/>
        <v>Lower</v>
      </c>
      <c r="R11" s="5" t="str">
        <f t="shared" si="27"/>
        <v>Lower</v>
      </c>
      <c r="S11" s="5" t="str">
        <f t="shared" si="28"/>
        <v>Lower</v>
      </c>
      <c r="T11" s="5" t="str">
        <f t="shared" si="29"/>
        <v>Lowest</v>
      </c>
      <c r="U11" s="5" t="str">
        <f t="shared" si="30"/>
        <v>Lowest</v>
      </c>
      <c r="V11" s="5" t="str">
        <f t="shared" si="31"/>
        <v>Low</v>
      </c>
      <c r="W11" s="5">
        <f t="shared" si="32"/>
        <v>7</v>
      </c>
      <c r="X11" s="5">
        <f t="shared" si="33"/>
        <v>8</v>
      </c>
      <c r="Y11" s="5">
        <f t="shared" si="34"/>
        <v>6</v>
      </c>
      <c r="Z11" s="5">
        <f t="shared" si="35"/>
        <v>8</v>
      </c>
      <c r="AA11" s="5">
        <f t="shared" si="36"/>
        <v>8</v>
      </c>
      <c r="AB11" s="5">
        <f t="shared" si="37"/>
        <v>8</v>
      </c>
      <c r="AC11" s="5">
        <f t="shared" si="38"/>
        <v>8</v>
      </c>
      <c r="AD11" s="5">
        <f t="shared" si="39"/>
        <v>9</v>
      </c>
      <c r="AE11" s="5">
        <f t="shared" si="40"/>
        <v>9</v>
      </c>
      <c r="AF11" s="5">
        <f t="shared" si="41"/>
        <v>7</v>
      </c>
      <c r="AG11" s="34">
        <f>SUM(C11,D11,F11,G11)+LARGE((E11,H11,I11,J11,K11,L11),1)+LARGE((E11,H11,I11,J11,K11,L11),2)</f>
        <v>287.5</v>
      </c>
      <c r="AH11" s="5">
        <f>SUM(W11,X11,Z11,AA11)+SMALL((Y11,AB11,AC11,AD11,AE11,AF11),1)+SMALL((Y11,AB11,AC11,AD11,AE11,AF11),2)</f>
        <v>44</v>
      </c>
      <c r="AI11" s="15" t="str">
        <f>'Teacher''s Remarks'!M12</f>
        <v>PATIENCE AFUA MENSAH</v>
      </c>
      <c r="AJ11" s="15" t="str">
        <f>'Teacher''s Remarks'!N12</f>
        <v>Energetic</v>
      </c>
      <c r="AK11" s="15" t="str">
        <f>'Teacher''s Remarks'!O12</f>
        <v>He is regular but not puntual to school</v>
      </c>
      <c r="AL11" s="15" t="str">
        <f>'Teacher''s Remarks'!P12</f>
        <v>He can do better than this. Sit up!</v>
      </c>
      <c r="AM11" s="13" t="str">
        <f t="shared" si="42"/>
        <v xml:space="preserve">DANQWAH PHILIP </v>
      </c>
      <c r="AN11" s="14">
        <f>Attendance!B11</f>
        <v>50</v>
      </c>
      <c r="AO11" s="14">
        <v>90</v>
      </c>
      <c r="AP11" s="14">
        <v>1</v>
      </c>
      <c r="AQ11" s="22">
        <f t="shared" ca="1" si="43"/>
        <v>45764</v>
      </c>
      <c r="AR11" s="15"/>
      <c r="AT11" s="12">
        <f t="shared" si="11"/>
        <v>48</v>
      </c>
      <c r="AU11" t="str">
        <f>IF(OR(VALUE(RIGHT(AT11,5))={11,12,13}),"th",IF(OR(VALUE(RIGHT(AT11))={1,2,3}),CHOOSE(RIGHT(AT11),"st","nd","rd"),"th"))</f>
        <v>th</v>
      </c>
      <c r="AV11">
        <f t="shared" si="12"/>
        <v>54</v>
      </c>
      <c r="AW11" t="str">
        <f>IF(OR(VALUE(RIGHT(AV11,5))={11,12,13}),"th",IF(OR(VALUE(RIGHT(AV11))={1,2,3}),CHOOSE(RIGHT(AV11),"st","nd","rd"),"th"))</f>
        <v>th</v>
      </c>
      <c r="AX11">
        <f t="shared" si="13"/>
        <v>28</v>
      </c>
      <c r="AY11" t="str">
        <f>IF(OR(VALUE(RIGHT(AX11,5))={11,12,13}),"th",IF(OR(VALUE(RIGHT(AX11))={1,2,3}),CHOOSE(RIGHT(AX11),"st","nd","rd"),"th"))</f>
        <v>th</v>
      </c>
      <c r="AZ11">
        <f t="shared" si="14"/>
        <v>27</v>
      </c>
      <c r="BA11" t="str">
        <f>IF(OR(VALUE(RIGHT(AZ11,5))={11,12,13}),"th",IF(OR(VALUE(RIGHT(AZ11))={1,2,3}),CHOOSE(RIGHT(AZ11),"st","nd","rd"),"th"))</f>
        <v>th</v>
      </c>
      <c r="BB11">
        <f t="shared" si="15"/>
        <v>51</v>
      </c>
      <c r="BC11" t="str">
        <f>IF(OR(VALUE(RIGHT(BB11,5))={11,12,13}),"th",IF(OR(VALUE(RIGHT(BB11))={1,2,3}),CHOOSE(RIGHT(BB11),"st","nd","rd"),"th"))</f>
        <v>st</v>
      </c>
      <c r="BD11">
        <f t="shared" si="16"/>
        <v>7</v>
      </c>
      <c r="BE11" t="str">
        <f>IF(OR(VALUE(RIGHT(BD11,5))={11,12,13}),"th",IF(OR(VALUE(RIGHT(BD11))={1,2,3}),CHOOSE(RIGHT(BD11),"st","nd","rd"),"th"))</f>
        <v>th</v>
      </c>
      <c r="BF11">
        <f t="shared" si="17"/>
        <v>25</v>
      </c>
      <c r="BG11" t="str">
        <f>IF(OR(VALUE(RIGHT(BF11,5))={11,12,13}),"th",IF(OR(VALUE(RIGHT(BF11))={1,2,3}),CHOOSE(RIGHT(BF11),"st","nd","rd"),"th"))</f>
        <v>th</v>
      </c>
      <c r="BH11">
        <f t="shared" si="18"/>
        <v>37</v>
      </c>
      <c r="BI11" t="str">
        <f>IF(OR(VALUE(RIGHT(BH11,5))={11,12,13}),"th",IF(OR(VALUE(RIGHT(BH11))={1,2,3}),CHOOSE(RIGHT(BH11),"st","nd","rd"),"th"))</f>
        <v>th</v>
      </c>
      <c r="BJ11">
        <f t="shared" si="19"/>
        <v>50</v>
      </c>
      <c r="BK11" t="str" cm="1">
        <f t="array" ref="BK11">IF(OR(VALUE(RIGHT(BJ11,5))={11,12,13}),"th",IF(OR(VALUE(RIGHT(BJ11))={1,2,3}),CHOOSE(RIGHT(BJ11),"st","nd","rd"),"th"))</f>
        <v>th</v>
      </c>
      <c r="BL11">
        <f t="shared" si="20"/>
        <v>32</v>
      </c>
      <c r="BM11" t="str">
        <f>IF(OR(VALUE(RIGHT(BL11,5))={11,12,13}),"th",IF(OR(VALUE(RIGHT(BL11))={1,2,3}),CHOOSE(RIGHT(BL11),"st","nd","rd"),"th"))</f>
        <v>nd</v>
      </c>
      <c r="BO11" s="30">
        <f t="shared" si="44"/>
        <v>436.5</v>
      </c>
      <c r="BP11">
        <f t="shared" si="21"/>
        <v>40</v>
      </c>
      <c r="BQ11" t="str">
        <f>IF(OR(VALUE(RIGHT(BP11,5))={11,12,13}),"th",IF(OR(VALUE(RIGHT(BP11))={1,2,3}),CHOOSE(RIGHT(BP11),"st","nd","rd"),"th"))</f>
        <v>th</v>
      </c>
      <c r="BS11" s="27">
        <f>ClassScore!M11</f>
        <v>40.5</v>
      </c>
      <c r="BT11" s="27">
        <f>ClassScore!N11</f>
        <v>31</v>
      </c>
      <c r="BU11" s="27">
        <f>ClassScore!O11</f>
        <v>34.5</v>
      </c>
      <c r="BV11" s="27">
        <f>ClassScore!P11</f>
        <v>36.5</v>
      </c>
      <c r="BW11" s="27">
        <f>ClassScore!Q11</f>
        <v>32.5</v>
      </c>
      <c r="BX11" s="27">
        <f>ClassScore!R11</f>
        <v>35</v>
      </c>
      <c r="BY11" s="27">
        <f>ClassScore!S11</f>
        <v>19.5</v>
      </c>
      <c r="BZ11" s="27">
        <f>ClassScore!T11</f>
        <v>21.5</v>
      </c>
      <c r="CA11" s="27">
        <f>ClassScore!U11</f>
        <v>22</v>
      </c>
      <c r="CB11" s="27">
        <f>ClassScore!V11</f>
        <v>38</v>
      </c>
      <c r="CD11" s="27">
        <f>Examscore!M11</f>
        <v>9.5</v>
      </c>
      <c r="CE11" s="27">
        <f>Examscore!N11</f>
        <v>9.5</v>
      </c>
      <c r="CF11" s="27">
        <f>Examscore!O11</f>
        <v>24</v>
      </c>
      <c r="CG11" s="27">
        <f>Examscore!P11</f>
        <v>7</v>
      </c>
      <c r="CH11" s="27">
        <f>Examscore!Q11</f>
        <v>8</v>
      </c>
      <c r="CI11" s="27">
        <f>Examscore!R11</f>
        <v>11</v>
      </c>
      <c r="CJ11" s="27">
        <f>Examscore!S11</f>
        <v>21.5</v>
      </c>
      <c r="CK11" s="27">
        <f>Examscore!T11</f>
        <v>11</v>
      </c>
      <c r="CL11" s="27">
        <f>Examscore!U11</f>
        <v>7.5</v>
      </c>
      <c r="CM11" s="27">
        <f>Examscore!V11</f>
        <v>16.5</v>
      </c>
    </row>
    <row r="12" spans="1:91" ht="15.75" x14ac:dyDescent="0.25">
      <c r="A12" s="5">
        <f>Student!A12</f>
        <v>714</v>
      </c>
      <c r="B12" s="21" t="str">
        <f>Student!B12</f>
        <v>DEDIHA GIDEON</v>
      </c>
      <c r="C12" s="28">
        <f>ClassScore!M12+Examscore!M12</f>
        <v>50</v>
      </c>
      <c r="D12" s="28">
        <f>ClassScore!N12+Examscore!N12</f>
        <v>55</v>
      </c>
      <c r="E12" s="28">
        <f>ClassScore!O12+Examscore!O12</f>
        <v>45</v>
      </c>
      <c r="F12" s="28">
        <f>ClassScore!P12+Examscore!P12</f>
        <v>22.5</v>
      </c>
      <c r="G12" s="28">
        <f>ClassScore!Q12+Examscore!Q12</f>
        <v>42</v>
      </c>
      <c r="H12" s="28">
        <f>ClassScore!R12+Examscore!R12</f>
        <v>42.5</v>
      </c>
      <c r="I12" s="28">
        <f>ClassScore!S12+Examscore!S12</f>
        <v>34.5</v>
      </c>
      <c r="J12" s="28">
        <f>ClassScore!T12+Examscore!T12</f>
        <v>32</v>
      </c>
      <c r="K12" s="28">
        <f>ClassScore!U12+Examscore!U12</f>
        <v>40</v>
      </c>
      <c r="L12" s="28">
        <f>ClassScore!V12+Examscore!V12</f>
        <v>50</v>
      </c>
      <c r="M12" s="5" t="str">
        <f t="shared" si="22"/>
        <v>Low</v>
      </c>
      <c r="N12" s="5" t="str">
        <f t="shared" si="23"/>
        <v>Low Average</v>
      </c>
      <c r="O12" s="5" t="str">
        <f t="shared" si="24"/>
        <v>Lower</v>
      </c>
      <c r="P12" s="5" t="str">
        <f t="shared" si="25"/>
        <v>Lowest</v>
      </c>
      <c r="Q12" s="5" t="str">
        <f t="shared" si="26"/>
        <v>Lower</v>
      </c>
      <c r="R12" s="5" t="str">
        <f t="shared" si="27"/>
        <v>Lower</v>
      </c>
      <c r="S12" s="5" t="str">
        <f t="shared" si="28"/>
        <v>Lowest</v>
      </c>
      <c r="T12" s="5" t="str">
        <f t="shared" si="29"/>
        <v>Lowest</v>
      </c>
      <c r="U12" s="5" t="str">
        <f t="shared" si="30"/>
        <v>Lower</v>
      </c>
      <c r="V12" s="5" t="str">
        <f t="shared" si="31"/>
        <v>Low</v>
      </c>
      <c r="W12" s="5">
        <f t="shared" si="32"/>
        <v>7</v>
      </c>
      <c r="X12" s="5">
        <f t="shared" si="33"/>
        <v>6</v>
      </c>
      <c r="Y12" s="5">
        <f t="shared" si="34"/>
        <v>8</v>
      </c>
      <c r="Z12" s="5">
        <f t="shared" si="35"/>
        <v>9</v>
      </c>
      <c r="AA12" s="5">
        <f t="shared" si="36"/>
        <v>8</v>
      </c>
      <c r="AB12" s="5">
        <f t="shared" si="37"/>
        <v>8</v>
      </c>
      <c r="AC12" s="5">
        <f t="shared" si="38"/>
        <v>9</v>
      </c>
      <c r="AD12" s="5">
        <f t="shared" si="39"/>
        <v>9</v>
      </c>
      <c r="AE12" s="5">
        <f t="shared" si="40"/>
        <v>8</v>
      </c>
      <c r="AF12" s="5">
        <f t="shared" si="41"/>
        <v>7</v>
      </c>
      <c r="AG12" s="34">
        <f>SUM(C12,D12,F12,G12)+LARGE((E12,H12,I12,J12,K12,L12),1)+LARGE((E12,H12,I12,J12,K12,L12),2)</f>
        <v>264.5</v>
      </c>
      <c r="AH12" s="5">
        <f>SUM(W12,X12,Z12,AA12)+SMALL((Y12,AB12,AC12,AD12,AE12,AF12),1)+SMALL((Y12,AB12,AC12,AD12,AE12,AF12),2)</f>
        <v>45</v>
      </c>
      <c r="AI12" s="15" t="str">
        <f>'Teacher''s Remarks'!M13</f>
        <v>PATIENCE AFUA MENSAH</v>
      </c>
      <c r="AJ12" s="15" t="str">
        <f>'Teacher''s Remarks'!N13</f>
        <v>playful</v>
      </c>
      <c r="AK12" s="15" t="str">
        <f>'Teacher''s Remarks'!O13</f>
        <v>He is regular but not puntual to school</v>
      </c>
      <c r="AL12" s="15" t="str">
        <f>'Teacher''s Remarks'!P13</f>
        <v>He can do better than this. Sit up!</v>
      </c>
      <c r="AM12" s="13" t="str">
        <f t="shared" si="42"/>
        <v>DEDIHA GIDEON</v>
      </c>
      <c r="AN12" s="14">
        <f>Attendance!B12</f>
        <v>50</v>
      </c>
      <c r="AO12" s="15"/>
      <c r="AP12" s="15"/>
      <c r="AQ12" s="22">
        <f t="shared" ca="1" si="43"/>
        <v>45764</v>
      </c>
      <c r="AR12" s="15"/>
      <c r="AT12" s="12">
        <f t="shared" si="11"/>
        <v>48</v>
      </c>
      <c r="AU12" t="str">
        <f>IF(OR(VALUE(RIGHT(AT12,5))={11,12,13}),"th",IF(OR(VALUE(RIGHT(AT12))={1,2,3}),CHOOSE(RIGHT(AT12),"st","nd","rd"),"th"))</f>
        <v>th</v>
      </c>
      <c r="AV12">
        <f t="shared" si="12"/>
        <v>27</v>
      </c>
      <c r="AW12" t="str">
        <f>IF(OR(VALUE(RIGHT(AV12,5))={11,12,13}),"th",IF(OR(VALUE(RIGHT(AV12))={1,2,3}),CHOOSE(RIGHT(AV12),"st","nd","rd"),"th"))</f>
        <v>th</v>
      </c>
      <c r="AX12">
        <f t="shared" si="13"/>
        <v>48</v>
      </c>
      <c r="AY12" t="str">
        <f>IF(OR(VALUE(RIGHT(AX12,5))={11,12,13}),"th",IF(OR(VALUE(RIGHT(AX12))={1,2,3}),CHOOSE(RIGHT(AX12),"st","nd","rd"),"th"))</f>
        <v>th</v>
      </c>
      <c r="AZ12">
        <f t="shared" si="14"/>
        <v>50</v>
      </c>
      <c r="BA12" t="str">
        <f>IF(OR(VALUE(RIGHT(AZ12,5))={11,12,13}),"th",IF(OR(VALUE(RIGHT(AZ12))={1,2,3}),CHOOSE(RIGHT(AZ12),"st","nd","rd"),"th"))</f>
        <v>th</v>
      </c>
      <c r="BB12">
        <f t="shared" si="15"/>
        <v>49</v>
      </c>
      <c r="BC12" t="str">
        <f>IF(OR(VALUE(RIGHT(BB12,5))={11,12,13}),"th",IF(OR(VALUE(RIGHT(BB12))={1,2,3}),CHOOSE(RIGHT(BB12),"st","nd","rd"),"th"))</f>
        <v>th</v>
      </c>
      <c r="BD12">
        <f t="shared" si="16"/>
        <v>15</v>
      </c>
      <c r="BE12" t="str">
        <f>IF(OR(VALUE(RIGHT(BD12,5))={11,12,13}),"th",IF(OR(VALUE(RIGHT(BD12))={1,2,3}),CHOOSE(RIGHT(BD12),"st","nd","rd"),"th"))</f>
        <v>th</v>
      </c>
      <c r="BF12">
        <f t="shared" si="17"/>
        <v>38</v>
      </c>
      <c r="BG12" t="str">
        <f>IF(OR(VALUE(RIGHT(BF12,5))={11,12,13}),"th",IF(OR(VALUE(RIGHT(BF12))={1,2,3}),CHOOSE(RIGHT(BF12),"st","nd","rd"),"th"))</f>
        <v>th</v>
      </c>
      <c r="BH12">
        <f t="shared" si="18"/>
        <v>39</v>
      </c>
      <c r="BI12" t="str">
        <f>IF(OR(VALUE(RIGHT(BH12,5))={11,12,13}),"th",IF(OR(VALUE(RIGHT(BH12))={1,2,3}),CHOOSE(RIGHT(BH12),"st","nd","rd"),"th"))</f>
        <v>th</v>
      </c>
      <c r="BJ12">
        <f t="shared" si="19"/>
        <v>36</v>
      </c>
      <c r="BK12" t="str" cm="1">
        <f t="array" ref="BK12">IF(OR(VALUE(RIGHT(BJ12,5))={11,12,13}),"th",IF(OR(VALUE(RIGHT(BJ12))={1,2,3}),CHOOSE(RIGHT(BJ12),"st","nd","rd"),"th"))</f>
        <v>th</v>
      </c>
      <c r="BL12">
        <f t="shared" si="20"/>
        <v>40</v>
      </c>
      <c r="BM12" t="str">
        <f>IF(OR(VALUE(RIGHT(BL12,5))={11,12,13}),"th",IF(OR(VALUE(RIGHT(BL12))={1,2,3}),CHOOSE(RIGHT(BL12),"st","nd","rd"),"th"))</f>
        <v>th</v>
      </c>
      <c r="BO12" s="30">
        <f t="shared" si="44"/>
        <v>413.5</v>
      </c>
      <c r="BP12">
        <f t="shared" si="21"/>
        <v>47</v>
      </c>
      <c r="BQ12" t="str">
        <f>IF(OR(VALUE(RIGHT(BP12,5))={11,12,13}),"th",IF(OR(VALUE(RIGHT(BP12))={1,2,3}),CHOOSE(RIGHT(BP12),"st","nd","rd"),"th"))</f>
        <v>th</v>
      </c>
      <c r="BS12" s="27">
        <f>ClassScore!M12</f>
        <v>32</v>
      </c>
      <c r="BT12" s="27">
        <f>ClassScore!N12</f>
        <v>37</v>
      </c>
      <c r="BU12" s="27">
        <f>ClassScore!O12</f>
        <v>25</v>
      </c>
      <c r="BV12" s="27">
        <f>ClassScore!P12</f>
        <v>15.5</v>
      </c>
      <c r="BW12" s="27">
        <f>ClassScore!Q12</f>
        <v>28</v>
      </c>
      <c r="BX12" s="27">
        <f>ClassScore!R12</f>
        <v>30.5</v>
      </c>
      <c r="BY12" s="27">
        <f>ClassScore!S12</f>
        <v>15</v>
      </c>
      <c r="BZ12" s="27">
        <f>ClassScore!T12</f>
        <v>24.5</v>
      </c>
      <c r="CA12" s="27">
        <f>ClassScore!U12</f>
        <v>20</v>
      </c>
      <c r="CB12" s="27">
        <f>ClassScore!V12</f>
        <v>34.5</v>
      </c>
      <c r="CD12" s="27">
        <f>Examscore!M12</f>
        <v>18</v>
      </c>
      <c r="CE12" s="27">
        <f>Examscore!N12</f>
        <v>18</v>
      </c>
      <c r="CF12" s="27">
        <f>Examscore!O12</f>
        <v>20</v>
      </c>
      <c r="CG12" s="27">
        <f>Examscore!P12</f>
        <v>7</v>
      </c>
      <c r="CH12" s="27">
        <f>Examscore!Q12</f>
        <v>14</v>
      </c>
      <c r="CI12" s="27">
        <f>Examscore!R12</f>
        <v>12</v>
      </c>
      <c r="CJ12" s="27">
        <f>Examscore!S12</f>
        <v>19.5</v>
      </c>
      <c r="CK12" s="27">
        <f>Examscore!T12</f>
        <v>7.5</v>
      </c>
      <c r="CL12" s="27">
        <f>Examscore!U12</f>
        <v>20</v>
      </c>
      <c r="CM12" s="27">
        <f>Examscore!V12</f>
        <v>15.5</v>
      </c>
    </row>
    <row r="13" spans="1:91" ht="15.75" x14ac:dyDescent="0.25">
      <c r="A13" s="5">
        <f>Student!A13</f>
        <v>7334</v>
      </c>
      <c r="B13" s="21" t="str">
        <f>Student!B13</f>
        <v xml:space="preserve">ENCHILL KENNETH  </v>
      </c>
      <c r="C13" s="28">
        <f>ClassScore!M13+Examscore!M13</f>
        <v>58</v>
      </c>
      <c r="D13" s="28">
        <f>ClassScore!N13+Examscore!N13</f>
        <v>59</v>
      </c>
      <c r="E13" s="28">
        <f>ClassScore!O13+Examscore!O13</f>
        <v>53.5</v>
      </c>
      <c r="F13" s="28">
        <f>ClassScore!P13+Examscore!P13</f>
        <v>33</v>
      </c>
      <c r="G13" s="28">
        <f>ClassScore!Q13+Examscore!Q13</f>
        <v>37.5</v>
      </c>
      <c r="H13" s="28">
        <f>ClassScore!R13+Examscore!R13</f>
        <v>37.5</v>
      </c>
      <c r="I13" s="28">
        <f>ClassScore!S13+Examscore!S13</f>
        <v>41</v>
      </c>
      <c r="J13" s="28">
        <f>ClassScore!T13+Examscore!T13</f>
        <v>34.5</v>
      </c>
      <c r="K13" s="28">
        <f>ClassScore!U13+Examscore!U13</f>
        <v>38.5</v>
      </c>
      <c r="L13" s="28">
        <f>ClassScore!V13+Examscore!V13</f>
        <v>47.5</v>
      </c>
      <c r="M13" s="5" t="str">
        <f t="shared" si="22"/>
        <v>Low Average</v>
      </c>
      <c r="N13" s="5" t="str">
        <f t="shared" si="23"/>
        <v>Low Average</v>
      </c>
      <c r="O13" s="5" t="str">
        <f t="shared" si="24"/>
        <v>Low</v>
      </c>
      <c r="P13" s="5" t="str">
        <f t="shared" si="25"/>
        <v>Lowest</v>
      </c>
      <c r="Q13" s="5" t="str">
        <f t="shared" si="26"/>
        <v>Lowest</v>
      </c>
      <c r="R13" s="5" t="str">
        <f t="shared" si="27"/>
        <v>Lowest</v>
      </c>
      <c r="S13" s="5" t="str">
        <f t="shared" si="28"/>
        <v>Lower</v>
      </c>
      <c r="T13" s="5" t="str">
        <f t="shared" si="29"/>
        <v>Lowest</v>
      </c>
      <c r="U13" s="5" t="str">
        <f t="shared" si="30"/>
        <v>Lowest</v>
      </c>
      <c r="V13" s="5" t="str">
        <f t="shared" si="31"/>
        <v>Lower</v>
      </c>
      <c r="W13" s="5">
        <f t="shared" si="32"/>
        <v>6</v>
      </c>
      <c r="X13" s="5">
        <f t="shared" si="33"/>
        <v>6</v>
      </c>
      <c r="Y13" s="5">
        <f t="shared" si="34"/>
        <v>7</v>
      </c>
      <c r="Z13" s="5">
        <f t="shared" si="35"/>
        <v>9</v>
      </c>
      <c r="AA13" s="5">
        <f t="shared" si="36"/>
        <v>9</v>
      </c>
      <c r="AB13" s="5">
        <f t="shared" si="37"/>
        <v>9</v>
      </c>
      <c r="AC13" s="5">
        <f t="shared" si="38"/>
        <v>8</v>
      </c>
      <c r="AD13" s="5">
        <f t="shared" si="39"/>
        <v>9</v>
      </c>
      <c r="AE13" s="5">
        <f t="shared" si="40"/>
        <v>9</v>
      </c>
      <c r="AF13" s="5">
        <f t="shared" si="41"/>
        <v>8</v>
      </c>
      <c r="AG13" s="34">
        <f>SUM(C13,D13,F13,G13)+LARGE((E13,H13,I13,J13,K13,L13),1)+LARGE((E13,H13,I13,J13,K13,L13),2)</f>
        <v>288.5</v>
      </c>
      <c r="AH13" s="5">
        <f>SUM(W13,X13,Z13,AA13)+SMALL((Y13,AB13,AC13,AD13,AE13,AF13),1)+SMALL((Y13,AB13,AC13,AD13,AE13,AF13),2)</f>
        <v>45</v>
      </c>
      <c r="AI13" s="15" t="str">
        <f>'Teacher''s Remarks'!M14</f>
        <v>PATIENCE AFUA MENSAH</v>
      </c>
      <c r="AJ13" s="15" t="str">
        <f>'Teacher''s Remarks'!N14</f>
        <v>Friendly</v>
      </c>
      <c r="AK13" s="15" t="str">
        <f>'Teacher''s Remarks'!O14</f>
        <v>Slow to learning</v>
      </c>
      <c r="AL13" s="15" t="str">
        <f>'Teacher''s Remarks'!P14</f>
        <v>He can do better than this. Sit up!</v>
      </c>
      <c r="AM13" s="13" t="str">
        <f t="shared" si="42"/>
        <v xml:space="preserve">ENCHILL KENNETH  </v>
      </c>
      <c r="AN13" s="14">
        <f>Attendance!B13</f>
        <v>65</v>
      </c>
      <c r="AO13" s="15"/>
      <c r="AP13" s="15"/>
      <c r="AQ13" s="22">
        <f t="shared" ca="1" si="43"/>
        <v>45764</v>
      </c>
      <c r="AR13" s="15"/>
      <c r="AT13" s="12">
        <f t="shared" si="11"/>
        <v>24</v>
      </c>
      <c r="AU13" t="str">
        <f>IF(OR(VALUE(RIGHT(AT13,5))={11,12,13}),"th",IF(OR(VALUE(RIGHT(AT13))={1,2,3}),CHOOSE(RIGHT(AT13),"st","nd","rd"),"th"))</f>
        <v>th</v>
      </c>
      <c r="AV13">
        <f t="shared" si="12"/>
        <v>18</v>
      </c>
      <c r="AW13" t="str">
        <f>IF(OR(VALUE(RIGHT(AV13,5))={11,12,13}),"th",IF(OR(VALUE(RIGHT(AV13))={1,2,3}),CHOOSE(RIGHT(AV13),"st","nd","rd"),"th"))</f>
        <v>th</v>
      </c>
      <c r="AX13">
        <f t="shared" si="13"/>
        <v>39</v>
      </c>
      <c r="AY13" t="str">
        <f>IF(OR(VALUE(RIGHT(AX13,5))={11,12,13}),"th",IF(OR(VALUE(RIGHT(AX13))={1,2,3}),CHOOSE(RIGHT(AX13),"st","nd","rd"),"th"))</f>
        <v>th</v>
      </c>
      <c r="AZ13">
        <f t="shared" si="14"/>
        <v>39</v>
      </c>
      <c r="BA13" t="str">
        <f>IF(OR(VALUE(RIGHT(AZ13,5))={11,12,13}),"th",IF(OR(VALUE(RIGHT(AZ13))={1,2,3}),CHOOSE(RIGHT(AZ13),"st","nd","rd"),"th"))</f>
        <v>th</v>
      </c>
      <c r="BB13">
        <f t="shared" si="15"/>
        <v>53</v>
      </c>
      <c r="BC13" t="str">
        <f>IF(OR(VALUE(RIGHT(BB13,5))={11,12,13}),"th",IF(OR(VALUE(RIGHT(BB13))={1,2,3}),CHOOSE(RIGHT(BB13),"st","nd","rd"),"th"))</f>
        <v>rd</v>
      </c>
      <c r="BD13">
        <f t="shared" si="16"/>
        <v>27</v>
      </c>
      <c r="BE13" t="str">
        <f>IF(OR(VALUE(RIGHT(BD13,5))={11,12,13}),"th",IF(OR(VALUE(RIGHT(BD13))={1,2,3}),CHOOSE(RIGHT(BD13),"st","nd","rd"),"th"))</f>
        <v>th</v>
      </c>
      <c r="BF13">
        <f t="shared" si="17"/>
        <v>25</v>
      </c>
      <c r="BG13" t="str">
        <f>IF(OR(VALUE(RIGHT(BF13,5))={11,12,13}),"th",IF(OR(VALUE(RIGHT(BF13))={1,2,3}),CHOOSE(RIGHT(BF13),"st","nd","rd"),"th"))</f>
        <v>th</v>
      </c>
      <c r="BH13">
        <f t="shared" si="18"/>
        <v>32</v>
      </c>
      <c r="BI13" t="str">
        <f>IF(OR(VALUE(RIGHT(BH13,5))={11,12,13}),"th",IF(OR(VALUE(RIGHT(BH13))={1,2,3}),CHOOSE(RIGHT(BH13),"st","nd","rd"),"th"))</f>
        <v>nd</v>
      </c>
      <c r="BJ13">
        <f t="shared" si="19"/>
        <v>40</v>
      </c>
      <c r="BK13" t="str" cm="1">
        <f t="array" ref="BK13">IF(OR(VALUE(RIGHT(BJ13,5))={11,12,13}),"th",IF(OR(VALUE(RIGHT(BJ13))={1,2,3}),CHOOSE(RIGHT(BJ13),"st","nd","rd"),"th"))</f>
        <v>th</v>
      </c>
      <c r="BL13">
        <f t="shared" si="20"/>
        <v>44</v>
      </c>
      <c r="BM13" t="str">
        <f>IF(OR(VALUE(RIGHT(BL13,5))={11,12,13}),"th",IF(OR(VALUE(RIGHT(BL13))={1,2,3}),CHOOSE(RIGHT(BL13),"st","nd","rd"),"th"))</f>
        <v>th</v>
      </c>
      <c r="BO13" s="30">
        <f t="shared" si="44"/>
        <v>440</v>
      </c>
      <c r="BP13">
        <f t="shared" si="21"/>
        <v>39</v>
      </c>
      <c r="BQ13" t="str">
        <f>IF(OR(VALUE(RIGHT(BP13,5))={11,12,13}),"th",IF(OR(VALUE(RIGHT(BP13))={1,2,3}),CHOOSE(RIGHT(BP13),"st","nd","rd"),"th"))</f>
        <v>th</v>
      </c>
      <c r="BS13" s="27">
        <f>ClassScore!M13</f>
        <v>42</v>
      </c>
      <c r="BT13" s="27">
        <f>ClassScore!N13</f>
        <v>43</v>
      </c>
      <c r="BU13" s="27">
        <f>ClassScore!O13</f>
        <v>32</v>
      </c>
      <c r="BV13" s="27">
        <f>ClassScore!P13</f>
        <v>23.5</v>
      </c>
      <c r="BW13" s="27">
        <f>ClassScore!Q13</f>
        <v>22</v>
      </c>
      <c r="BX13" s="27">
        <f>ClassScore!R13</f>
        <v>27</v>
      </c>
      <c r="BY13" s="27">
        <f>ClassScore!S13</f>
        <v>25.5</v>
      </c>
      <c r="BZ13" s="27">
        <f>ClassScore!T13</f>
        <v>24</v>
      </c>
      <c r="CA13" s="27">
        <f>ClassScore!U13</f>
        <v>24</v>
      </c>
      <c r="CB13" s="27">
        <f>ClassScore!V13</f>
        <v>34</v>
      </c>
      <c r="CD13" s="27">
        <f>Examscore!M13</f>
        <v>16</v>
      </c>
      <c r="CE13" s="27">
        <f>Examscore!N13</f>
        <v>16</v>
      </c>
      <c r="CF13" s="27">
        <f>Examscore!O13</f>
        <v>21.5</v>
      </c>
      <c r="CG13" s="27">
        <f>Examscore!P13</f>
        <v>9.5</v>
      </c>
      <c r="CH13" s="27">
        <f>Examscore!Q13</f>
        <v>15.5</v>
      </c>
      <c r="CI13" s="27">
        <f>Examscore!R13</f>
        <v>10.5</v>
      </c>
      <c r="CJ13" s="27">
        <f>Examscore!S13</f>
        <v>15.5</v>
      </c>
      <c r="CK13" s="27">
        <f>Examscore!T13</f>
        <v>10.5</v>
      </c>
      <c r="CL13" s="27">
        <f>Examscore!U13</f>
        <v>14.5</v>
      </c>
      <c r="CM13" s="27">
        <f>Examscore!V13</f>
        <v>13.5</v>
      </c>
    </row>
    <row r="14" spans="1:91" ht="15.75" x14ac:dyDescent="0.25">
      <c r="A14" s="5">
        <f>Student!A14</f>
        <v>437</v>
      </c>
      <c r="B14" s="21" t="str">
        <f>Student!B14</f>
        <v xml:space="preserve">ENTSIE FRANCIS </v>
      </c>
      <c r="C14" s="28">
        <f>ClassScore!M14+Examscore!M14</f>
        <v>51.5</v>
      </c>
      <c r="D14" s="28">
        <f>ClassScore!N14+Examscore!N14</f>
        <v>49</v>
      </c>
      <c r="E14" s="28">
        <f>ClassScore!O14+Examscore!O14</f>
        <v>74.5</v>
      </c>
      <c r="F14" s="28">
        <f>ClassScore!P14+Examscore!P14</f>
        <v>50.5</v>
      </c>
      <c r="G14" s="28">
        <f>ClassScore!Q14+Examscore!Q14</f>
        <v>50.5</v>
      </c>
      <c r="H14" s="28">
        <f>ClassScore!R14+Examscore!R14</f>
        <v>40</v>
      </c>
      <c r="I14" s="28">
        <f>ClassScore!S14+Examscore!S14</f>
        <v>43</v>
      </c>
      <c r="J14" s="28">
        <f>ClassScore!T14+Examscore!T14</f>
        <v>38</v>
      </c>
      <c r="K14" s="28">
        <f>ClassScore!U14+Examscore!U14</f>
        <v>52</v>
      </c>
      <c r="L14" s="28">
        <f>ClassScore!V14+Examscore!V14</f>
        <v>55</v>
      </c>
      <c r="M14" s="5" t="str">
        <f t="shared" si="22"/>
        <v>Low</v>
      </c>
      <c r="N14" s="5" t="str">
        <f t="shared" si="23"/>
        <v>Lower</v>
      </c>
      <c r="O14" s="5" t="str">
        <f t="shared" si="24"/>
        <v>High</v>
      </c>
      <c r="P14" s="5" t="str">
        <f t="shared" si="25"/>
        <v>Low</v>
      </c>
      <c r="Q14" s="5" t="str">
        <f t="shared" si="26"/>
        <v>Low</v>
      </c>
      <c r="R14" s="5" t="str">
        <f t="shared" si="27"/>
        <v>Lower</v>
      </c>
      <c r="S14" s="5" t="str">
        <f t="shared" si="28"/>
        <v>Lower</v>
      </c>
      <c r="T14" s="5" t="str">
        <f t="shared" si="29"/>
        <v>Lowest</v>
      </c>
      <c r="U14" s="5" t="str">
        <f t="shared" si="30"/>
        <v>Low</v>
      </c>
      <c r="V14" s="5" t="str">
        <f t="shared" si="31"/>
        <v>Low Average</v>
      </c>
      <c r="W14" s="5">
        <f t="shared" si="32"/>
        <v>7</v>
      </c>
      <c r="X14" s="5">
        <f t="shared" si="33"/>
        <v>8</v>
      </c>
      <c r="Y14" s="5">
        <f t="shared" si="34"/>
        <v>3</v>
      </c>
      <c r="Z14" s="5">
        <f t="shared" si="35"/>
        <v>7</v>
      </c>
      <c r="AA14" s="5">
        <f t="shared" si="36"/>
        <v>7</v>
      </c>
      <c r="AB14" s="5">
        <f t="shared" si="37"/>
        <v>8</v>
      </c>
      <c r="AC14" s="5">
        <f t="shared" si="38"/>
        <v>8</v>
      </c>
      <c r="AD14" s="5">
        <f t="shared" si="39"/>
        <v>9</v>
      </c>
      <c r="AE14" s="5">
        <f t="shared" si="40"/>
        <v>7</v>
      </c>
      <c r="AF14" s="5">
        <f t="shared" si="41"/>
        <v>6</v>
      </c>
      <c r="AG14" s="34">
        <f>SUM(C14,D14,F14,G14)+LARGE((E14,H14,I14,J14,K14,L14),1)+LARGE((E14,H14,I14,J14,K14,L14),2)</f>
        <v>331</v>
      </c>
      <c r="AH14" s="5">
        <f>SUM(W14,X14,Z14,AA14)+SMALL((Y14,AB14,AC14,AD14,AE14,AF14),1)+SMALL((Y14,AB14,AC14,AD14,AE14,AF14),2)</f>
        <v>38</v>
      </c>
      <c r="AI14" s="15" t="str">
        <f>'Teacher''s Remarks'!M15</f>
        <v>PATIENCE AFUA MENSAH</v>
      </c>
      <c r="AJ14" s="15" t="str">
        <f>'Teacher''s Remarks'!N15</f>
        <v>Friendly</v>
      </c>
      <c r="AK14" s="15" t="str">
        <f>'Teacher''s Remarks'!O15</f>
        <v>He is regular but not puntual to school</v>
      </c>
      <c r="AL14" s="15" t="str">
        <f>'Teacher''s Remarks'!P15</f>
        <v>He can do better than this. Sit up!</v>
      </c>
      <c r="AM14" s="13" t="str">
        <f t="shared" si="42"/>
        <v xml:space="preserve">ENTSIE FRANCIS </v>
      </c>
      <c r="AN14" s="14">
        <f>Attendance!B14</f>
        <v>62</v>
      </c>
      <c r="AO14" s="15"/>
      <c r="AP14" s="15"/>
      <c r="AQ14" s="22">
        <f t="shared" ca="1" si="43"/>
        <v>45764</v>
      </c>
      <c r="AR14" s="15"/>
      <c r="AT14" s="12">
        <f t="shared" si="11"/>
        <v>43</v>
      </c>
      <c r="AU14" t="str">
        <f>IF(OR(VALUE(RIGHT(AT14,5))={11,12,13}),"th",IF(OR(VALUE(RIGHT(AT14))={1,2,3}),CHOOSE(RIGHT(AT14),"st","nd","rd"),"th"))</f>
        <v>rd</v>
      </c>
      <c r="AV14">
        <f t="shared" si="12"/>
        <v>44</v>
      </c>
      <c r="AW14" t="str">
        <f>IF(OR(VALUE(RIGHT(AV14,5))={11,12,13}),"th",IF(OR(VALUE(RIGHT(AV14))={1,2,3}),CHOOSE(RIGHT(AV14),"st","nd","rd"),"th"))</f>
        <v>th</v>
      </c>
      <c r="AX14">
        <f t="shared" si="13"/>
        <v>6</v>
      </c>
      <c r="AY14" t="str">
        <f>IF(OR(VALUE(RIGHT(AX14,5))={11,12,13}),"th",IF(OR(VALUE(RIGHT(AX14))={1,2,3}),CHOOSE(RIGHT(AX14),"st","nd","rd"),"th"))</f>
        <v>th</v>
      </c>
      <c r="AZ14">
        <f t="shared" si="14"/>
        <v>12</v>
      </c>
      <c r="BA14" t="str">
        <f>IF(OR(VALUE(RIGHT(AZ14,5))={11,12,13}),"th",IF(OR(VALUE(RIGHT(AZ14))={1,2,3}),CHOOSE(RIGHT(AZ14),"st","nd","rd"),"th"))</f>
        <v>th</v>
      </c>
      <c r="BB14">
        <f t="shared" si="15"/>
        <v>26</v>
      </c>
      <c r="BC14" t="str">
        <f>IF(OR(VALUE(RIGHT(BB14,5))={11,12,13}),"th",IF(OR(VALUE(RIGHT(BB14))={1,2,3}),CHOOSE(RIGHT(BB14),"st","nd","rd"),"th"))</f>
        <v>th</v>
      </c>
      <c r="BD14">
        <f t="shared" si="16"/>
        <v>24</v>
      </c>
      <c r="BE14" t="str">
        <f>IF(OR(VALUE(RIGHT(BD14,5))={11,12,13}),"th",IF(OR(VALUE(RIGHT(BD14))={1,2,3}),CHOOSE(RIGHT(BD14),"st","nd","rd"),"th"))</f>
        <v>th</v>
      </c>
      <c r="BF14">
        <f t="shared" si="17"/>
        <v>21</v>
      </c>
      <c r="BG14" t="str">
        <f>IF(OR(VALUE(RIGHT(BF14,5))={11,12,13}),"th",IF(OR(VALUE(RIGHT(BF14))={1,2,3}),CHOOSE(RIGHT(BF14),"st","nd","rd"),"th"))</f>
        <v>st</v>
      </c>
      <c r="BH14">
        <f t="shared" si="18"/>
        <v>24</v>
      </c>
      <c r="BI14" t="str">
        <f>IF(OR(VALUE(RIGHT(BH14,5))={11,12,13}),"th",IF(OR(VALUE(RIGHT(BH14))={1,2,3}),CHOOSE(RIGHT(BH14),"st","nd","rd"),"th"))</f>
        <v>th</v>
      </c>
      <c r="BJ14">
        <f t="shared" si="19"/>
        <v>10</v>
      </c>
      <c r="BK14" t="str" cm="1">
        <f t="array" ref="BK14">IF(OR(VALUE(RIGHT(BJ14,5))={11,12,13}),"th",IF(OR(VALUE(RIGHT(BJ14))={1,2,3}),CHOOSE(RIGHT(BJ14),"st","nd","rd"),"th"))</f>
        <v>th</v>
      </c>
      <c r="BL14">
        <f t="shared" si="20"/>
        <v>31</v>
      </c>
      <c r="BM14" t="str">
        <f>IF(OR(VALUE(RIGHT(BL14,5))={11,12,13}),"th",IF(OR(VALUE(RIGHT(BL14))={1,2,3}),CHOOSE(RIGHT(BL14),"st","nd","rd"),"th"))</f>
        <v>st</v>
      </c>
      <c r="BO14" s="30">
        <f t="shared" si="44"/>
        <v>504</v>
      </c>
      <c r="BP14">
        <f t="shared" si="21"/>
        <v>18</v>
      </c>
      <c r="BQ14" t="str">
        <f>IF(OR(VALUE(RIGHT(BP14,5))={11,12,13}),"th",IF(OR(VALUE(RIGHT(BP14))={1,2,3}),CHOOSE(RIGHT(BP14),"st","nd","rd"),"th"))</f>
        <v>th</v>
      </c>
      <c r="BS14" s="27">
        <f>ClassScore!M14</f>
        <v>38</v>
      </c>
      <c r="BT14" s="27">
        <f>ClassScore!N14</f>
        <v>35.5</v>
      </c>
      <c r="BU14" s="27">
        <f>ClassScore!O14</f>
        <v>33.5</v>
      </c>
      <c r="BV14" s="27">
        <f>ClassScore!P14</f>
        <v>41.5</v>
      </c>
      <c r="BW14" s="27">
        <f>ClassScore!Q14</f>
        <v>34.5</v>
      </c>
      <c r="BX14" s="27">
        <f>ClassScore!R14</f>
        <v>26.5</v>
      </c>
      <c r="BY14" s="27">
        <f>ClassScore!S14</f>
        <v>31</v>
      </c>
      <c r="BZ14" s="27">
        <f>ClassScore!T14</f>
        <v>27.5</v>
      </c>
      <c r="CA14" s="27">
        <f>ClassScore!U14</f>
        <v>28.5</v>
      </c>
      <c r="CB14" s="27">
        <f>ClassScore!V14</f>
        <v>38</v>
      </c>
      <c r="CD14" s="27">
        <f>Examscore!M14</f>
        <v>13.5</v>
      </c>
      <c r="CE14" s="27">
        <f>Examscore!N14</f>
        <v>13.5</v>
      </c>
      <c r="CF14" s="27">
        <f>Examscore!O14</f>
        <v>41</v>
      </c>
      <c r="CG14" s="27">
        <f>Examscore!P14</f>
        <v>9</v>
      </c>
      <c r="CH14" s="27">
        <f>Examscore!Q14</f>
        <v>16</v>
      </c>
      <c r="CI14" s="27">
        <f>Examscore!R14</f>
        <v>13.5</v>
      </c>
      <c r="CJ14" s="27">
        <f>Examscore!S14</f>
        <v>12</v>
      </c>
      <c r="CK14" s="27">
        <f>Examscore!T14</f>
        <v>10.5</v>
      </c>
      <c r="CL14" s="27">
        <f>Examscore!U14</f>
        <v>23.5</v>
      </c>
      <c r="CM14" s="27">
        <f>Examscore!V14</f>
        <v>17</v>
      </c>
    </row>
    <row r="15" spans="1:91" ht="15.75" x14ac:dyDescent="0.25">
      <c r="A15" s="5">
        <f>Student!A15</f>
        <v>271</v>
      </c>
      <c r="B15" s="21" t="str">
        <f>Student!B15</f>
        <v xml:space="preserve">ESHUN EVANS </v>
      </c>
      <c r="C15" s="28">
        <f>ClassScore!M15+Examscore!M15</f>
        <v>50.5</v>
      </c>
      <c r="D15" s="28">
        <f>ClassScore!N15+Examscore!N15</f>
        <v>51</v>
      </c>
      <c r="E15" s="28">
        <f>ClassScore!O15+Examscore!O15</f>
        <v>65</v>
      </c>
      <c r="F15" s="28">
        <f>ClassScore!P15+Examscore!P15</f>
        <v>18</v>
      </c>
      <c r="G15" s="28">
        <f>ClassScore!Q15+Examscore!Q15</f>
        <v>42</v>
      </c>
      <c r="H15" s="28">
        <f>ClassScore!R15+Examscore!R15</f>
        <v>34.5</v>
      </c>
      <c r="I15" s="28">
        <f>ClassScore!S15+Examscore!S15</f>
        <v>43</v>
      </c>
      <c r="J15" s="28">
        <f>ClassScore!T15+Examscore!T15</f>
        <v>27.5</v>
      </c>
      <c r="K15" s="28">
        <f>ClassScore!U15+Examscore!U15</f>
        <v>33.5</v>
      </c>
      <c r="L15" s="28">
        <f>ClassScore!V15+Examscore!V15</f>
        <v>54</v>
      </c>
      <c r="M15" s="5" t="str">
        <f t="shared" si="22"/>
        <v>Low</v>
      </c>
      <c r="N15" s="5" t="str">
        <f t="shared" si="23"/>
        <v>Low</v>
      </c>
      <c r="O15" s="5" t="str">
        <f t="shared" si="24"/>
        <v>High Average</v>
      </c>
      <c r="P15" s="5" t="str">
        <f t="shared" si="25"/>
        <v>Lowest</v>
      </c>
      <c r="Q15" s="5" t="str">
        <f t="shared" si="26"/>
        <v>Lower</v>
      </c>
      <c r="R15" s="5" t="str">
        <f t="shared" si="27"/>
        <v>Lowest</v>
      </c>
      <c r="S15" s="5" t="str">
        <f t="shared" si="28"/>
        <v>Lower</v>
      </c>
      <c r="T15" s="5" t="str">
        <f t="shared" si="29"/>
        <v>Lowest</v>
      </c>
      <c r="U15" s="5" t="str">
        <f t="shared" si="30"/>
        <v>Lowest</v>
      </c>
      <c r="V15" s="5" t="str">
        <f t="shared" si="31"/>
        <v>Low</v>
      </c>
      <c r="W15" s="5">
        <f t="shared" si="32"/>
        <v>7</v>
      </c>
      <c r="X15" s="5">
        <f t="shared" si="33"/>
        <v>7</v>
      </c>
      <c r="Y15" s="5">
        <f t="shared" si="34"/>
        <v>4</v>
      </c>
      <c r="Z15" s="5">
        <f t="shared" si="35"/>
        <v>9</v>
      </c>
      <c r="AA15" s="5">
        <f t="shared" si="36"/>
        <v>8</v>
      </c>
      <c r="AB15" s="5">
        <f t="shared" si="37"/>
        <v>9</v>
      </c>
      <c r="AC15" s="5">
        <f t="shared" si="38"/>
        <v>8</v>
      </c>
      <c r="AD15" s="5">
        <f t="shared" si="39"/>
        <v>9</v>
      </c>
      <c r="AE15" s="5">
        <f t="shared" si="40"/>
        <v>9</v>
      </c>
      <c r="AF15" s="5">
        <f t="shared" si="41"/>
        <v>7</v>
      </c>
      <c r="AG15" s="34">
        <f>SUM(C15,D15,F15,G15)+LARGE((E15,H15,I15,J15,K15,L15),1)+LARGE((E15,H15,I15,J15,K15,L15),2)</f>
        <v>280.5</v>
      </c>
      <c r="AH15" s="5">
        <f>SUM(W15,X15,Z15,AA15)+SMALL((Y15,AB15,AC15,AD15,AE15,AF15),1)+SMALL((Y15,AB15,AC15,AD15,AE15,AF15),2)</f>
        <v>42</v>
      </c>
      <c r="AI15" s="15" t="str">
        <f>'Teacher''s Remarks'!M16</f>
        <v>PATIENCE AFUA MENSAH</v>
      </c>
      <c r="AJ15" s="15" t="str">
        <f>'Teacher''s Remarks'!N16</f>
        <v>Friendly</v>
      </c>
      <c r="AK15" s="15" t="str">
        <f>'Teacher''s Remarks'!O16</f>
        <v>He is regular and puntual to school</v>
      </c>
      <c r="AL15" s="15" t="str">
        <f>'Teacher''s Remarks'!P16</f>
        <v>He can do better than this. Sit up!</v>
      </c>
      <c r="AM15" s="13" t="str">
        <f t="shared" si="42"/>
        <v xml:space="preserve">ESHUN EVANS </v>
      </c>
      <c r="AN15" s="14">
        <f>Attendance!B15</f>
        <v>65</v>
      </c>
      <c r="AO15" s="15"/>
      <c r="AP15" s="15"/>
      <c r="AQ15" s="22">
        <f t="shared" ca="1" si="43"/>
        <v>45764</v>
      </c>
      <c r="AR15" s="15"/>
      <c r="AT15" s="12">
        <f t="shared" si="11"/>
        <v>46</v>
      </c>
      <c r="AU15" t="str">
        <f>IF(OR(VALUE(RIGHT(AT15,5))={11,12,13}),"th",IF(OR(VALUE(RIGHT(AT15))={1,2,3}),CHOOSE(RIGHT(AT15),"st","nd","rd"),"th"))</f>
        <v>th</v>
      </c>
      <c r="AV15">
        <f t="shared" si="12"/>
        <v>37</v>
      </c>
      <c r="AW15" t="str">
        <f>IF(OR(VALUE(RIGHT(AV15,5))={11,12,13}),"th",IF(OR(VALUE(RIGHT(AV15))={1,2,3}),CHOOSE(RIGHT(AV15),"st","nd","rd"),"th"))</f>
        <v>th</v>
      </c>
      <c r="AX15">
        <f t="shared" si="13"/>
        <v>20</v>
      </c>
      <c r="AY15" t="str">
        <f>IF(OR(VALUE(RIGHT(AX15,5))={11,12,13}),"th",IF(OR(VALUE(RIGHT(AX15))={1,2,3}),CHOOSE(RIGHT(AX15),"st","nd","rd"),"th"))</f>
        <v>th</v>
      </c>
      <c r="AZ15">
        <f t="shared" si="14"/>
        <v>55</v>
      </c>
      <c r="BA15" t="str">
        <f>IF(OR(VALUE(RIGHT(AZ15,5))={11,12,13}),"th",IF(OR(VALUE(RIGHT(AZ15))={1,2,3}),CHOOSE(RIGHT(AZ15),"st","nd","rd"),"th"))</f>
        <v>th</v>
      </c>
      <c r="BB15">
        <f t="shared" si="15"/>
        <v>49</v>
      </c>
      <c r="BC15" t="str">
        <f>IF(OR(VALUE(RIGHT(BB15,5))={11,12,13}),"th",IF(OR(VALUE(RIGHT(BB15))={1,2,3}),CHOOSE(RIGHT(BB15),"st","nd","rd"),"th"))</f>
        <v>th</v>
      </c>
      <c r="BD15">
        <f t="shared" si="16"/>
        <v>31</v>
      </c>
      <c r="BE15" t="str">
        <f>IF(OR(VALUE(RIGHT(BD15,5))={11,12,13}),"th",IF(OR(VALUE(RIGHT(BD15))={1,2,3}),CHOOSE(RIGHT(BD15),"st","nd","rd"),"th"))</f>
        <v>st</v>
      </c>
      <c r="BF15">
        <f t="shared" si="17"/>
        <v>21</v>
      </c>
      <c r="BG15" t="str">
        <f>IF(OR(VALUE(RIGHT(BF15,5))={11,12,13}),"th",IF(OR(VALUE(RIGHT(BF15))={1,2,3}),CHOOSE(RIGHT(BF15),"st","nd","rd"),"th"))</f>
        <v>st</v>
      </c>
      <c r="BH15">
        <f t="shared" si="18"/>
        <v>46</v>
      </c>
      <c r="BI15" t="str">
        <f>IF(OR(VALUE(RIGHT(BH15,5))={11,12,13}),"th",IF(OR(VALUE(RIGHT(BH15))={1,2,3}),CHOOSE(RIGHT(BH15),"st","nd","rd"),"th"))</f>
        <v>th</v>
      </c>
      <c r="BJ15">
        <f t="shared" si="19"/>
        <v>47</v>
      </c>
      <c r="BK15" t="str" cm="1">
        <f t="array" ref="BK15">IF(OR(VALUE(RIGHT(BJ15,5))={11,12,13}),"th",IF(OR(VALUE(RIGHT(BJ15))={1,2,3}),CHOOSE(RIGHT(BJ15),"st","nd","rd"),"th"))</f>
        <v>th</v>
      </c>
      <c r="BL15">
        <f t="shared" si="20"/>
        <v>35</v>
      </c>
      <c r="BM15" t="str">
        <f>IF(OR(VALUE(RIGHT(BL15,5))={11,12,13}),"th",IF(OR(VALUE(RIGHT(BL15))={1,2,3}),CHOOSE(RIGHT(BL15),"st","nd","rd"),"th"))</f>
        <v>th</v>
      </c>
      <c r="BO15" s="30">
        <f t="shared" si="44"/>
        <v>419</v>
      </c>
      <c r="BP15">
        <f t="shared" si="21"/>
        <v>45</v>
      </c>
      <c r="BQ15" t="str">
        <f>IF(OR(VALUE(RIGHT(BP15,5))={11,12,13}),"th",IF(OR(VALUE(RIGHT(BP15))={1,2,3}),CHOOSE(RIGHT(BP15),"st","nd","rd"),"th"))</f>
        <v>th</v>
      </c>
      <c r="BS15" s="27">
        <f>ClassScore!M15</f>
        <v>37.5</v>
      </c>
      <c r="BT15" s="27">
        <f>ClassScore!N15</f>
        <v>38</v>
      </c>
      <c r="BU15" s="27">
        <f>ClassScore!O15</f>
        <v>33</v>
      </c>
      <c r="BV15" s="27">
        <f>ClassScore!P15</f>
        <v>15.5</v>
      </c>
      <c r="BW15" s="27">
        <f>ClassScore!Q15</f>
        <v>34.5</v>
      </c>
      <c r="BX15" s="27">
        <f>ClassScore!R15</f>
        <v>26.5</v>
      </c>
      <c r="BY15" s="27">
        <f>ClassScore!S15</f>
        <v>16.5</v>
      </c>
      <c r="BZ15" s="27">
        <f>ClassScore!T15</f>
        <v>20</v>
      </c>
      <c r="CA15" s="27">
        <f>ClassScore!U15</f>
        <v>16.5</v>
      </c>
      <c r="CB15" s="27">
        <f>ClassScore!V15</f>
        <v>36.5</v>
      </c>
      <c r="CD15" s="27">
        <f>Examscore!M15</f>
        <v>13</v>
      </c>
      <c r="CE15" s="27">
        <f>Examscore!N15</f>
        <v>13</v>
      </c>
      <c r="CF15" s="27">
        <f>Examscore!O15</f>
        <v>32</v>
      </c>
      <c r="CG15" s="27">
        <f>Examscore!P15</f>
        <v>2.5</v>
      </c>
      <c r="CH15" s="27">
        <f>Examscore!Q15</f>
        <v>7.5</v>
      </c>
      <c r="CI15" s="27">
        <f>Examscore!R15</f>
        <v>8</v>
      </c>
      <c r="CJ15" s="27">
        <f>Examscore!S15</f>
        <v>26.5</v>
      </c>
      <c r="CK15" s="27">
        <f>Examscore!T15</f>
        <v>7.5</v>
      </c>
      <c r="CL15" s="27">
        <f>Examscore!U15</f>
        <v>17</v>
      </c>
      <c r="CM15" s="27">
        <f>Examscore!V15</f>
        <v>17.5</v>
      </c>
    </row>
    <row r="16" spans="1:91" ht="15.75" x14ac:dyDescent="0.25">
      <c r="A16" s="5">
        <f>Student!A16</f>
        <v>300</v>
      </c>
      <c r="B16" s="21" t="str">
        <f>Student!B16</f>
        <v xml:space="preserve">GOMASHIE PRINCE </v>
      </c>
      <c r="C16" s="28">
        <f>ClassScore!M16+Examscore!M16</f>
        <v>66</v>
      </c>
      <c r="D16" s="28">
        <f>ClassScore!N16+Examscore!N16</f>
        <v>53</v>
      </c>
      <c r="E16" s="28">
        <f>ClassScore!O16+Examscore!O16</f>
        <v>64.5</v>
      </c>
      <c r="F16" s="28">
        <f>ClassScore!P16+Examscore!P16</f>
        <v>39.5</v>
      </c>
      <c r="G16" s="28">
        <f>ClassScore!Q16+Examscore!Q16</f>
        <v>47.5</v>
      </c>
      <c r="H16" s="28">
        <f>ClassScore!R16+Examscore!R16</f>
        <v>43</v>
      </c>
      <c r="I16" s="28">
        <f>ClassScore!S16+Examscore!S16</f>
        <v>54.5</v>
      </c>
      <c r="J16" s="28">
        <f>ClassScore!T16+Examscore!T16</f>
        <v>52</v>
      </c>
      <c r="K16" s="28">
        <f>ClassScore!U16+Examscore!U16</f>
        <v>46</v>
      </c>
      <c r="L16" s="28">
        <f>ClassScore!V16+Examscore!V16</f>
        <v>68</v>
      </c>
      <c r="M16" s="5" t="str">
        <f t="shared" si="22"/>
        <v>High Average</v>
      </c>
      <c r="N16" s="5" t="str">
        <f t="shared" si="23"/>
        <v>Low</v>
      </c>
      <c r="O16" s="5" t="str">
        <f t="shared" si="24"/>
        <v>Average</v>
      </c>
      <c r="P16" s="5" t="str">
        <f t="shared" si="25"/>
        <v>Lowest</v>
      </c>
      <c r="Q16" s="5" t="str">
        <f t="shared" si="26"/>
        <v>Lower</v>
      </c>
      <c r="R16" s="5" t="str">
        <f t="shared" si="27"/>
        <v>Lower</v>
      </c>
      <c r="S16" s="5" t="str">
        <f t="shared" si="28"/>
        <v>Low</v>
      </c>
      <c r="T16" s="5" t="str">
        <f t="shared" si="29"/>
        <v>Low</v>
      </c>
      <c r="U16" s="5" t="str">
        <f t="shared" si="30"/>
        <v>Lower</v>
      </c>
      <c r="V16" s="5" t="str">
        <f t="shared" si="31"/>
        <v>High Average</v>
      </c>
      <c r="W16" s="5">
        <f t="shared" si="32"/>
        <v>4</v>
      </c>
      <c r="X16" s="5">
        <f t="shared" si="33"/>
        <v>7</v>
      </c>
      <c r="Y16" s="5">
        <f t="shared" si="34"/>
        <v>5</v>
      </c>
      <c r="Z16" s="5">
        <f t="shared" si="35"/>
        <v>9</v>
      </c>
      <c r="AA16" s="5">
        <f t="shared" si="36"/>
        <v>8</v>
      </c>
      <c r="AB16" s="5">
        <f t="shared" si="37"/>
        <v>8</v>
      </c>
      <c r="AC16" s="5">
        <f t="shared" si="38"/>
        <v>7</v>
      </c>
      <c r="AD16" s="5">
        <f t="shared" si="39"/>
        <v>7</v>
      </c>
      <c r="AE16" s="5">
        <f t="shared" si="40"/>
        <v>8</v>
      </c>
      <c r="AF16" s="5">
        <f t="shared" si="41"/>
        <v>4</v>
      </c>
      <c r="AG16" s="34">
        <f>SUM(C16,D16,F16,G16)+LARGE((E16,H16,I16,J16,K16,L16),1)+LARGE((E16,H16,I16,J16,K16,L16),2)</f>
        <v>338.5</v>
      </c>
      <c r="AH16" s="5">
        <f>SUM(W16,X16,Z16,AA16)+SMALL((Y16,AB16,AC16,AD16,AE16,AF16),1)+SMALL((Y16,AB16,AC16,AD16,AE16,AF16),2)</f>
        <v>37</v>
      </c>
      <c r="AI16" s="15" t="str">
        <f>'Teacher''s Remarks'!M17</f>
        <v>PATIENCE AFUA MENSAH</v>
      </c>
      <c r="AJ16" s="15" t="str">
        <f>'Teacher''s Remarks'!N17</f>
        <v>Friendly</v>
      </c>
      <c r="AK16" s="15" t="str">
        <f>'Teacher''s Remarks'!O17</f>
        <v>He is regular but not puntual to school</v>
      </c>
      <c r="AL16" s="15" t="str">
        <f>'Teacher''s Remarks'!P17</f>
        <v>He can do better than this. Sit up!</v>
      </c>
      <c r="AM16" s="13" t="str">
        <f t="shared" si="42"/>
        <v xml:space="preserve">GOMASHIE PRINCE </v>
      </c>
      <c r="AN16" s="14">
        <f>Attendance!B16</f>
        <v>54</v>
      </c>
      <c r="AO16" s="15"/>
      <c r="AP16" s="15"/>
      <c r="AQ16" s="22">
        <f t="shared" ca="1" si="43"/>
        <v>45764</v>
      </c>
      <c r="AR16" s="15"/>
      <c r="AT16" s="12">
        <f t="shared" si="11"/>
        <v>9</v>
      </c>
      <c r="AU16" t="str">
        <f>IF(OR(VALUE(RIGHT(AT16,5))={11,12,13}),"th",IF(OR(VALUE(RIGHT(AT16))={1,2,3}),CHOOSE(RIGHT(AT16),"st","nd","rd"),"th"))</f>
        <v>th</v>
      </c>
      <c r="AV16">
        <f t="shared" si="12"/>
        <v>33</v>
      </c>
      <c r="AW16" t="str">
        <f>IF(OR(VALUE(RIGHT(AV16,5))={11,12,13}),"th",IF(OR(VALUE(RIGHT(AV16))={1,2,3}),CHOOSE(RIGHT(AV16),"st","nd","rd"),"th"))</f>
        <v>rd</v>
      </c>
      <c r="AX16">
        <f t="shared" si="13"/>
        <v>21</v>
      </c>
      <c r="AY16" t="str">
        <f>IF(OR(VALUE(RIGHT(AX16,5))={11,12,13}),"th",IF(OR(VALUE(RIGHT(AX16))={1,2,3}),CHOOSE(RIGHT(AX16),"st","nd","rd"),"th"))</f>
        <v>st</v>
      </c>
      <c r="AZ16">
        <f t="shared" si="14"/>
        <v>30</v>
      </c>
      <c r="BA16" t="str">
        <f>IF(OR(VALUE(RIGHT(AZ16,5))={11,12,13}),"th",IF(OR(VALUE(RIGHT(AZ16))={1,2,3}),CHOOSE(RIGHT(AZ16),"st","nd","rd"),"th"))</f>
        <v>th</v>
      </c>
      <c r="BB16">
        <f t="shared" si="15"/>
        <v>39</v>
      </c>
      <c r="BC16" t="str">
        <f>IF(OR(VALUE(RIGHT(BB16,5))={11,12,13}),"th",IF(OR(VALUE(RIGHT(BB16))={1,2,3}),CHOOSE(RIGHT(BB16),"st","nd","rd"),"th"))</f>
        <v>th</v>
      </c>
      <c r="BD16">
        <f t="shared" si="16"/>
        <v>12</v>
      </c>
      <c r="BE16" t="str">
        <f>IF(OR(VALUE(RIGHT(BD16,5))={11,12,13}),"th",IF(OR(VALUE(RIGHT(BD16))={1,2,3}),CHOOSE(RIGHT(BD16),"st","nd","rd"),"th"))</f>
        <v>th</v>
      </c>
      <c r="BF16">
        <f t="shared" si="17"/>
        <v>7</v>
      </c>
      <c r="BG16" t="str">
        <f>IF(OR(VALUE(RIGHT(BF16,5))={11,12,13}),"th",IF(OR(VALUE(RIGHT(BF16))={1,2,3}),CHOOSE(RIGHT(BF16),"st","nd","rd"),"th"))</f>
        <v>th</v>
      </c>
      <c r="BH16">
        <f t="shared" si="18"/>
        <v>12</v>
      </c>
      <c r="BI16" t="str">
        <f>IF(OR(VALUE(RIGHT(BH16,5))={11,12,13}),"th",IF(OR(VALUE(RIGHT(BH16))={1,2,3}),CHOOSE(RIGHT(BH16),"st","nd","rd"),"th"))</f>
        <v>th</v>
      </c>
      <c r="BJ16">
        <f t="shared" si="19"/>
        <v>22</v>
      </c>
      <c r="BK16" t="str" cm="1">
        <f t="array" ref="BK16">IF(OR(VALUE(RIGHT(BJ16,5))={11,12,13}),"th",IF(OR(VALUE(RIGHT(BJ16))={1,2,3}),CHOOSE(RIGHT(BJ16),"st","nd","rd"),"th"))</f>
        <v>nd</v>
      </c>
      <c r="BL16">
        <f t="shared" si="20"/>
        <v>6</v>
      </c>
      <c r="BM16" t="str">
        <f>IF(OR(VALUE(RIGHT(BL16,5))={11,12,13}),"th",IF(OR(VALUE(RIGHT(BL16))={1,2,3}),CHOOSE(RIGHT(BL16),"st","nd","rd"),"th"))</f>
        <v>th</v>
      </c>
      <c r="BO16" s="30">
        <f t="shared" si="44"/>
        <v>534</v>
      </c>
      <c r="BP16">
        <f t="shared" si="21"/>
        <v>11</v>
      </c>
      <c r="BQ16" t="str">
        <f>IF(OR(VALUE(RIGHT(BP16,5))={11,12,13}),"th",IF(OR(VALUE(RIGHT(BP16))={1,2,3}),CHOOSE(RIGHT(BP16),"st","nd","rd"),"th"))</f>
        <v>th</v>
      </c>
      <c r="BS16" s="27">
        <f>ClassScore!M16</f>
        <v>46</v>
      </c>
      <c r="BT16" s="27">
        <f>ClassScore!N16</f>
        <v>43.5</v>
      </c>
      <c r="BU16" s="27">
        <f>ClassScore!O16</f>
        <v>32</v>
      </c>
      <c r="BV16" s="27">
        <f>ClassScore!P16</f>
        <v>27.5</v>
      </c>
      <c r="BW16" s="27">
        <f>ClassScore!Q16</f>
        <v>32</v>
      </c>
      <c r="BX16" s="27">
        <f>ClassScore!R16</f>
        <v>27.5</v>
      </c>
      <c r="BY16" s="27">
        <f>ClassScore!S16</f>
        <v>27</v>
      </c>
      <c r="BZ16" s="27">
        <f>ClassScore!T16</f>
        <v>28</v>
      </c>
      <c r="CA16" s="27">
        <f>ClassScore!U16</f>
        <v>23.5</v>
      </c>
      <c r="CB16" s="27">
        <f>ClassScore!V16</f>
        <v>37.5</v>
      </c>
      <c r="CD16" s="27">
        <f>Examscore!M16</f>
        <v>20</v>
      </c>
      <c r="CE16" s="27">
        <f>Examscore!N16</f>
        <v>9.5</v>
      </c>
      <c r="CF16" s="27">
        <f>Examscore!O16</f>
        <v>32.5</v>
      </c>
      <c r="CG16" s="27">
        <f>Examscore!P16</f>
        <v>12</v>
      </c>
      <c r="CH16" s="27">
        <f>Examscore!Q16</f>
        <v>15.5</v>
      </c>
      <c r="CI16" s="27">
        <f>Examscore!R16</f>
        <v>15.5</v>
      </c>
      <c r="CJ16" s="27">
        <f>Examscore!S16</f>
        <v>27.5</v>
      </c>
      <c r="CK16" s="27">
        <f>Examscore!T16</f>
        <v>24</v>
      </c>
      <c r="CL16" s="27">
        <f>Examscore!U16</f>
        <v>22.5</v>
      </c>
      <c r="CM16" s="27">
        <f>Examscore!V16</f>
        <v>30.5</v>
      </c>
    </row>
    <row r="17" spans="1:91" ht="15.75" x14ac:dyDescent="0.25">
      <c r="A17" s="5" t="str">
        <f>Student!A17</f>
        <v>A070</v>
      </c>
      <c r="B17" s="21" t="str">
        <f>Student!B17</f>
        <v xml:space="preserve">NUMEGBOR WISDOM </v>
      </c>
      <c r="C17" s="28">
        <f>ClassScore!M17+Examscore!M17</f>
        <v>52</v>
      </c>
      <c r="D17" s="28">
        <f>ClassScore!N17+Examscore!N17</f>
        <v>50.5</v>
      </c>
      <c r="E17" s="28">
        <f>ClassScore!O17+Examscore!O17</f>
        <v>63.5</v>
      </c>
      <c r="F17" s="28">
        <f>ClassScore!P17+Examscore!P17</f>
        <v>21.5</v>
      </c>
      <c r="G17" s="28">
        <f>ClassScore!Q17+Examscore!Q17</f>
        <v>51</v>
      </c>
      <c r="H17" s="28">
        <f>ClassScore!R17+Examscore!R17</f>
        <v>26</v>
      </c>
      <c r="I17" s="28">
        <f>ClassScore!S17+Examscore!S17</f>
        <v>35</v>
      </c>
      <c r="J17" s="28">
        <f>ClassScore!T17+Examscore!T17</f>
        <v>23.5</v>
      </c>
      <c r="K17" s="28">
        <f>ClassScore!U17+Examscore!U17</f>
        <v>23</v>
      </c>
      <c r="L17" s="28">
        <f>ClassScore!V17+Examscore!V17</f>
        <v>50</v>
      </c>
      <c r="M17" s="5" t="str">
        <f t="shared" si="22"/>
        <v>Low</v>
      </c>
      <c r="N17" s="5" t="str">
        <f t="shared" si="23"/>
        <v>Low</v>
      </c>
      <c r="O17" s="5" t="str">
        <f t="shared" si="24"/>
        <v>Average</v>
      </c>
      <c r="P17" s="5" t="str">
        <f t="shared" si="25"/>
        <v>Lowest</v>
      </c>
      <c r="Q17" s="5" t="str">
        <f t="shared" si="26"/>
        <v>Low</v>
      </c>
      <c r="R17" s="5" t="str">
        <f t="shared" si="27"/>
        <v>Lowest</v>
      </c>
      <c r="S17" s="5" t="str">
        <f t="shared" si="28"/>
        <v>Lowest</v>
      </c>
      <c r="T17" s="5" t="str">
        <f t="shared" si="29"/>
        <v>Lowest</v>
      </c>
      <c r="U17" s="5" t="str">
        <f t="shared" si="30"/>
        <v>Lowest</v>
      </c>
      <c r="V17" s="5" t="str">
        <f t="shared" si="31"/>
        <v>Low</v>
      </c>
      <c r="W17" s="5">
        <f t="shared" si="32"/>
        <v>7</v>
      </c>
      <c r="X17" s="5">
        <f t="shared" si="33"/>
        <v>7</v>
      </c>
      <c r="Y17" s="5">
        <f t="shared" si="34"/>
        <v>5</v>
      </c>
      <c r="Z17" s="5">
        <f t="shared" si="35"/>
        <v>9</v>
      </c>
      <c r="AA17" s="5">
        <f t="shared" si="36"/>
        <v>7</v>
      </c>
      <c r="AB17" s="5">
        <f t="shared" si="37"/>
        <v>9</v>
      </c>
      <c r="AC17" s="5">
        <f t="shared" si="38"/>
        <v>9</v>
      </c>
      <c r="AD17" s="5">
        <f t="shared" si="39"/>
        <v>9</v>
      </c>
      <c r="AE17" s="5">
        <f t="shared" si="40"/>
        <v>9</v>
      </c>
      <c r="AF17" s="5">
        <f t="shared" si="41"/>
        <v>7</v>
      </c>
      <c r="AG17" s="34">
        <f>SUM(C17,D17,F17,G17)+LARGE((E17,H17,I17,J17,K17,L17),1)+LARGE((E17,H17,I17,J17,K17,L17),2)</f>
        <v>288.5</v>
      </c>
      <c r="AH17" s="5">
        <f>SUM(W17,X17,Z17,AA17)+SMALL((Y17,AB17,AC17,AD17,AE17,AF17),1)+SMALL((Y17,AB17,AC17,AD17,AE17,AF17),2)</f>
        <v>42</v>
      </c>
      <c r="AI17" s="15" t="str">
        <f>'Teacher''s Remarks'!M18</f>
        <v>PATIENCE AFUA MENSAH</v>
      </c>
      <c r="AJ17" s="15" t="str">
        <f>'Teacher''s Remarks'!N18</f>
        <v>Friendly</v>
      </c>
      <c r="AK17" s="15" t="str">
        <f>'Teacher''s Remarks'!O18</f>
        <v>Slow to learning</v>
      </c>
      <c r="AL17" s="15" t="str">
        <f>'Teacher''s Remarks'!P18</f>
        <v>He can do better than this. Sit up!</v>
      </c>
      <c r="AM17" s="13" t="str">
        <f t="shared" si="42"/>
        <v xml:space="preserve">NUMEGBOR WISDOM </v>
      </c>
      <c r="AN17" s="14">
        <f>Attendance!B17</f>
        <v>65</v>
      </c>
      <c r="AO17" s="15"/>
      <c r="AP17" s="15"/>
      <c r="AQ17" s="22">
        <f t="shared" ca="1" si="43"/>
        <v>45764</v>
      </c>
      <c r="AR17" s="15"/>
      <c r="AT17" s="12">
        <f t="shared" si="11"/>
        <v>41</v>
      </c>
      <c r="AU17" t="str">
        <f>IF(OR(VALUE(RIGHT(AT17,5))={11,12,13}),"th",IF(OR(VALUE(RIGHT(AT17))={1,2,3}),CHOOSE(RIGHT(AT17),"st","nd","rd"),"th"))</f>
        <v>st</v>
      </c>
      <c r="AV17">
        <f t="shared" si="12"/>
        <v>40</v>
      </c>
      <c r="AW17" t="str">
        <f>IF(OR(VALUE(RIGHT(AV17,5))={11,12,13}),"th",IF(OR(VALUE(RIGHT(AV17))={1,2,3}),CHOOSE(RIGHT(AV17),"st","nd","rd"),"th"))</f>
        <v>th</v>
      </c>
      <c r="AX17">
        <f t="shared" si="13"/>
        <v>24</v>
      </c>
      <c r="AY17" t="str">
        <f>IF(OR(VALUE(RIGHT(AX17,5))={11,12,13}),"th",IF(OR(VALUE(RIGHT(AX17))={1,2,3}),CHOOSE(RIGHT(AX17),"st","nd","rd"),"th"))</f>
        <v>th</v>
      </c>
      <c r="AZ17">
        <f t="shared" si="14"/>
        <v>51</v>
      </c>
      <c r="BA17" t="str">
        <f>IF(OR(VALUE(RIGHT(AZ17,5))={11,12,13}),"th",IF(OR(VALUE(RIGHT(AZ17))={1,2,3}),CHOOSE(RIGHT(AZ17),"st","nd","rd"),"th"))</f>
        <v>st</v>
      </c>
      <c r="BB17">
        <f t="shared" si="15"/>
        <v>25</v>
      </c>
      <c r="BC17" t="str">
        <f>IF(OR(VALUE(RIGHT(BB17,5))={11,12,13}),"th",IF(OR(VALUE(RIGHT(BB17))={1,2,3}),CHOOSE(RIGHT(BB17),"st","nd","rd"),"th"))</f>
        <v>th</v>
      </c>
      <c r="BD17">
        <f t="shared" si="16"/>
        <v>55</v>
      </c>
      <c r="BE17" t="str">
        <f>IF(OR(VALUE(RIGHT(BD17,5))={11,12,13}),"th",IF(OR(VALUE(RIGHT(BD17))={1,2,3}),CHOOSE(RIGHT(BD17),"st","nd","rd"),"th"))</f>
        <v>th</v>
      </c>
      <c r="BF17">
        <f t="shared" si="17"/>
        <v>36</v>
      </c>
      <c r="BG17" t="str">
        <f>IF(OR(VALUE(RIGHT(BF17,5))={11,12,13}),"th",IF(OR(VALUE(RIGHT(BF17))={1,2,3}),CHOOSE(RIGHT(BF17),"st","nd","rd"),"th"))</f>
        <v>th</v>
      </c>
      <c r="BH17">
        <f t="shared" si="18"/>
        <v>53</v>
      </c>
      <c r="BI17" t="str">
        <f>IF(OR(VALUE(RIGHT(BH17,5))={11,12,13}),"th",IF(OR(VALUE(RIGHT(BH17))={1,2,3}),CHOOSE(RIGHT(BH17),"st","nd","rd"),"th"))</f>
        <v>rd</v>
      </c>
      <c r="BJ17">
        <f t="shared" si="19"/>
        <v>53</v>
      </c>
      <c r="BK17" t="str" cm="1">
        <f t="array" ref="BK17">IF(OR(VALUE(RIGHT(BJ17,5))={11,12,13}),"th",IF(OR(VALUE(RIGHT(BJ17))={1,2,3}),CHOOSE(RIGHT(BJ17),"st","nd","rd"),"th"))</f>
        <v>rd</v>
      </c>
      <c r="BL17">
        <f t="shared" si="20"/>
        <v>40</v>
      </c>
      <c r="BM17" t="str">
        <f>IF(OR(VALUE(RIGHT(BL17,5))={11,12,13}),"th",IF(OR(VALUE(RIGHT(BL17))={1,2,3}),CHOOSE(RIGHT(BL17),"st","nd","rd"),"th"))</f>
        <v>th</v>
      </c>
      <c r="BO17" s="30">
        <f t="shared" si="44"/>
        <v>396</v>
      </c>
      <c r="BP17">
        <f t="shared" si="21"/>
        <v>50</v>
      </c>
      <c r="BQ17" t="str">
        <f>IF(OR(VALUE(RIGHT(BP17,5))={11,12,13}),"th",IF(OR(VALUE(RIGHT(BP17))={1,2,3}),CHOOSE(RIGHT(BP17),"st","nd","rd"),"th"))</f>
        <v>th</v>
      </c>
      <c r="BS17" s="27">
        <f>ClassScore!M17</f>
        <v>46</v>
      </c>
      <c r="BT17" s="27">
        <f>ClassScore!N17</f>
        <v>44.5</v>
      </c>
      <c r="BU17" s="27">
        <f>ClassScore!O17</f>
        <v>32</v>
      </c>
      <c r="BV17" s="27">
        <f>ClassScore!P17</f>
        <v>15.5</v>
      </c>
      <c r="BW17" s="27">
        <f>ClassScore!Q17</f>
        <v>31</v>
      </c>
      <c r="BX17" s="27">
        <f>ClassScore!R17</f>
        <v>26</v>
      </c>
      <c r="BY17" s="27">
        <f>ClassScore!S17</f>
        <v>20</v>
      </c>
      <c r="BZ17" s="27">
        <f>ClassScore!T17</f>
        <v>16.5</v>
      </c>
      <c r="CA17" s="27">
        <f>ClassScore!U17</f>
        <v>20.5</v>
      </c>
      <c r="CB17" s="27">
        <f>ClassScore!V17</f>
        <v>36.5</v>
      </c>
      <c r="CD17" s="27">
        <f>Examscore!M17</f>
        <v>6</v>
      </c>
      <c r="CE17" s="27">
        <f>Examscore!N17</f>
        <v>6</v>
      </c>
      <c r="CF17" s="27">
        <f>Examscore!O17</f>
        <v>31.5</v>
      </c>
      <c r="CG17" s="27">
        <f>Examscore!P17</f>
        <v>6</v>
      </c>
      <c r="CH17" s="27">
        <f>Examscore!Q17</f>
        <v>20</v>
      </c>
      <c r="CI17" s="27">
        <f>Examscore!R17</f>
        <v>0</v>
      </c>
      <c r="CJ17" s="27">
        <f>Examscore!S17</f>
        <v>15</v>
      </c>
      <c r="CK17" s="27">
        <f>Examscore!T17</f>
        <v>7</v>
      </c>
      <c r="CL17" s="27">
        <f>Examscore!U17</f>
        <v>2.5</v>
      </c>
      <c r="CM17" s="27">
        <f>Examscore!V17</f>
        <v>13.5</v>
      </c>
    </row>
    <row r="18" spans="1:91" ht="15.75" x14ac:dyDescent="0.25">
      <c r="A18" s="5">
        <f>Student!A18</f>
        <v>267</v>
      </c>
      <c r="B18" s="21" t="str">
        <f>Student!B18</f>
        <v xml:space="preserve">OFFEI JUSTICE </v>
      </c>
      <c r="C18" s="28">
        <f>ClassScore!M18+Examscore!M18</f>
        <v>65</v>
      </c>
      <c r="D18" s="28">
        <f>ClassScore!N18+Examscore!N18</f>
        <v>63.5</v>
      </c>
      <c r="E18" s="28">
        <f>ClassScore!O18+Examscore!O18</f>
        <v>70</v>
      </c>
      <c r="F18" s="28">
        <f>ClassScore!P18+Examscore!P18</f>
        <v>50.5</v>
      </c>
      <c r="G18" s="28">
        <f>ClassScore!Q18+Examscore!Q18</f>
        <v>53</v>
      </c>
      <c r="H18" s="28">
        <f>ClassScore!R18+Examscore!R18</f>
        <v>41.5</v>
      </c>
      <c r="I18" s="28">
        <f>ClassScore!S18+Examscore!S18</f>
        <v>39</v>
      </c>
      <c r="J18" s="28">
        <f>ClassScore!T18+Examscore!T18</f>
        <v>52</v>
      </c>
      <c r="K18" s="28">
        <f>ClassScore!U18+Examscore!U18</f>
        <v>60</v>
      </c>
      <c r="L18" s="28">
        <f>ClassScore!V18+Examscore!V18</f>
        <v>58</v>
      </c>
      <c r="M18" s="5" t="str">
        <f t="shared" si="22"/>
        <v>High Average</v>
      </c>
      <c r="N18" s="5" t="str">
        <f t="shared" si="23"/>
        <v>Average</v>
      </c>
      <c r="O18" s="5" t="str">
        <f t="shared" si="24"/>
        <v>High</v>
      </c>
      <c r="P18" s="5" t="str">
        <f t="shared" si="25"/>
        <v>Low</v>
      </c>
      <c r="Q18" s="5" t="str">
        <f t="shared" si="26"/>
        <v>Low</v>
      </c>
      <c r="R18" s="5" t="str">
        <f t="shared" si="27"/>
        <v>Lower</v>
      </c>
      <c r="S18" s="5" t="str">
        <f t="shared" si="28"/>
        <v>Lowest</v>
      </c>
      <c r="T18" s="5" t="str">
        <f t="shared" si="29"/>
        <v>Low</v>
      </c>
      <c r="U18" s="5" t="str">
        <f t="shared" si="30"/>
        <v>Average</v>
      </c>
      <c r="V18" s="5" t="str">
        <f t="shared" si="31"/>
        <v>Low Average</v>
      </c>
      <c r="W18" s="5">
        <f t="shared" si="32"/>
        <v>4</v>
      </c>
      <c r="X18" s="5">
        <f t="shared" si="33"/>
        <v>5</v>
      </c>
      <c r="Y18" s="5">
        <f t="shared" si="34"/>
        <v>3</v>
      </c>
      <c r="Z18" s="5">
        <f t="shared" si="35"/>
        <v>7</v>
      </c>
      <c r="AA18" s="5">
        <f t="shared" si="36"/>
        <v>7</v>
      </c>
      <c r="AB18" s="5">
        <f t="shared" si="37"/>
        <v>8</v>
      </c>
      <c r="AC18" s="5">
        <f t="shared" si="38"/>
        <v>9</v>
      </c>
      <c r="AD18" s="5">
        <f t="shared" si="39"/>
        <v>7</v>
      </c>
      <c r="AE18" s="5">
        <f t="shared" si="40"/>
        <v>5</v>
      </c>
      <c r="AF18" s="5">
        <f t="shared" si="41"/>
        <v>6</v>
      </c>
      <c r="AG18" s="34">
        <f>SUM(C18,D18,F18,G18)+LARGE((E18,H18,I18,J18,K18,L18),1)+LARGE((E18,H18,I18,J18,K18,L18),2)</f>
        <v>362</v>
      </c>
      <c r="AH18" s="5">
        <f>SUM(W18,X18,Z18,AA18)+SMALL((Y18,AB18,AC18,AD18,AE18,AF18),1)+SMALL((Y18,AB18,AC18,AD18,AE18,AF18),2)</f>
        <v>31</v>
      </c>
      <c r="AI18" s="15" t="str">
        <f>'Teacher''s Remarks'!M19</f>
        <v>PATIENCE AFUA MENSAH</v>
      </c>
      <c r="AJ18" s="15" t="str">
        <f>'Teacher''s Remarks'!N19</f>
        <v>Friendly</v>
      </c>
      <c r="AK18" s="15" t="str">
        <f>'Teacher''s Remarks'!O19</f>
        <v>He is regular and puntual to school</v>
      </c>
      <c r="AL18" s="15" t="str">
        <f>'Teacher''s Remarks'!P19</f>
        <v>He can do better than this. Sit up!</v>
      </c>
      <c r="AM18" s="13" t="str">
        <f t="shared" si="42"/>
        <v xml:space="preserve">OFFEI JUSTICE </v>
      </c>
      <c r="AN18" s="14">
        <f>Attendance!B18</f>
        <v>57</v>
      </c>
      <c r="AO18" s="15"/>
      <c r="AP18" s="15"/>
      <c r="AQ18" s="22">
        <f t="shared" ca="1" si="43"/>
        <v>45764</v>
      </c>
      <c r="AR18" s="15"/>
      <c r="AT18" s="12">
        <f t="shared" si="11"/>
        <v>14</v>
      </c>
      <c r="AU18" t="str">
        <f>IF(OR(VALUE(RIGHT(AT18,5))={11,12,13}),"th",IF(OR(VALUE(RIGHT(AT18))={1,2,3}),CHOOSE(RIGHT(AT18),"st","nd","rd"),"th"))</f>
        <v>th</v>
      </c>
      <c r="AV18">
        <f t="shared" si="12"/>
        <v>9</v>
      </c>
      <c r="AW18" t="str">
        <f>IF(OR(VALUE(RIGHT(AV18,5))={11,12,13}),"th",IF(OR(VALUE(RIGHT(AV18))={1,2,3}),CHOOSE(RIGHT(AV18),"st","nd","rd"),"th"))</f>
        <v>th</v>
      </c>
      <c r="AX18">
        <f t="shared" si="13"/>
        <v>13</v>
      </c>
      <c r="AY18" t="str">
        <f>IF(OR(VALUE(RIGHT(AX18,5))={11,12,13}),"th",IF(OR(VALUE(RIGHT(AX18))={1,2,3}),CHOOSE(RIGHT(AX18),"st","nd","rd"),"th"))</f>
        <v>th</v>
      </c>
      <c r="AZ18">
        <f t="shared" si="14"/>
        <v>12</v>
      </c>
      <c r="BA18" t="str">
        <f>IF(OR(VALUE(RIGHT(AZ18,5))={11,12,13}),"th",IF(OR(VALUE(RIGHT(AZ18))={1,2,3}),CHOOSE(RIGHT(AZ18),"st","nd","rd"),"th"))</f>
        <v>th</v>
      </c>
      <c r="BB18">
        <f t="shared" si="15"/>
        <v>19</v>
      </c>
      <c r="BC18" t="str">
        <f>IF(OR(VALUE(RIGHT(BB18,5))={11,12,13}),"th",IF(OR(VALUE(RIGHT(BB18))={1,2,3}),CHOOSE(RIGHT(BB18),"st","nd","rd"),"th"))</f>
        <v>th</v>
      </c>
      <c r="BD18">
        <f t="shared" si="16"/>
        <v>19</v>
      </c>
      <c r="BE18" t="str">
        <f>IF(OR(VALUE(RIGHT(BD18,5))={11,12,13}),"th",IF(OR(VALUE(RIGHT(BD18))={1,2,3}),CHOOSE(RIGHT(BD18),"st","nd","rd"),"th"))</f>
        <v>th</v>
      </c>
      <c r="BF18">
        <f t="shared" si="17"/>
        <v>29</v>
      </c>
      <c r="BG18" t="str">
        <f>IF(OR(VALUE(RIGHT(BF18,5))={11,12,13}),"th",IF(OR(VALUE(RIGHT(BF18))={1,2,3}),CHOOSE(RIGHT(BF18),"st","nd","rd"),"th"))</f>
        <v>th</v>
      </c>
      <c r="BH18">
        <f t="shared" si="18"/>
        <v>12</v>
      </c>
      <c r="BI18" t="str">
        <f>IF(OR(VALUE(RIGHT(BH18,5))={11,12,13}),"th",IF(OR(VALUE(RIGHT(BH18))={1,2,3}),CHOOSE(RIGHT(BH18),"st","nd","rd"),"th"))</f>
        <v>th</v>
      </c>
      <c r="BJ18">
        <f t="shared" si="19"/>
        <v>5</v>
      </c>
      <c r="BK18" t="str" cm="1">
        <f t="array" ref="BK18">IF(OR(VALUE(RIGHT(BJ18,5))={11,12,13}),"th",IF(OR(VALUE(RIGHT(BJ18))={1,2,3}),CHOOSE(RIGHT(BJ18),"st","nd","rd"),"th"))</f>
        <v>th</v>
      </c>
      <c r="BL18">
        <f t="shared" si="20"/>
        <v>17</v>
      </c>
      <c r="BM18" t="str">
        <f>IF(OR(VALUE(RIGHT(BL18,5))={11,12,13}),"th",IF(OR(VALUE(RIGHT(BL18))={1,2,3}),CHOOSE(RIGHT(BL18),"st","nd","rd"),"th"))</f>
        <v>th</v>
      </c>
      <c r="BO18" s="30">
        <f t="shared" si="44"/>
        <v>552.5</v>
      </c>
      <c r="BP18">
        <f t="shared" si="21"/>
        <v>9</v>
      </c>
      <c r="BQ18" t="str">
        <f>IF(OR(VALUE(RIGHT(BP18,5))={11,12,13}),"th",IF(OR(VALUE(RIGHT(BP18))={1,2,3}),CHOOSE(RIGHT(BP18),"st","nd","rd"),"th"))</f>
        <v>th</v>
      </c>
      <c r="BS18" s="27">
        <f>ClassScore!M18</f>
        <v>43</v>
      </c>
      <c r="BT18" s="27">
        <f>ClassScore!N18</f>
        <v>41.5</v>
      </c>
      <c r="BU18" s="27">
        <f>ClassScore!O18</f>
        <v>31</v>
      </c>
      <c r="BV18" s="27">
        <f>ClassScore!P18</f>
        <v>42</v>
      </c>
      <c r="BW18" s="27">
        <f>ClassScore!Q18</f>
        <v>31</v>
      </c>
      <c r="BX18" s="27">
        <f>ClassScore!R18</f>
        <v>27.5</v>
      </c>
      <c r="BY18" s="27">
        <f>ClassScore!S18</f>
        <v>15</v>
      </c>
      <c r="BZ18" s="27">
        <f>ClassScore!T18</f>
        <v>33</v>
      </c>
      <c r="CA18" s="27">
        <f>ClassScore!U18</f>
        <v>30.5</v>
      </c>
      <c r="CB18" s="27">
        <f>ClassScore!V18</f>
        <v>38</v>
      </c>
      <c r="CD18" s="27">
        <f>Examscore!M18</f>
        <v>22</v>
      </c>
      <c r="CE18" s="27">
        <f>Examscore!N18</f>
        <v>22</v>
      </c>
      <c r="CF18" s="27">
        <f>Examscore!O18</f>
        <v>39</v>
      </c>
      <c r="CG18" s="27">
        <f>Examscore!P18</f>
        <v>8.5</v>
      </c>
      <c r="CH18" s="27">
        <f>Examscore!Q18</f>
        <v>22</v>
      </c>
      <c r="CI18" s="27">
        <f>Examscore!R18</f>
        <v>14</v>
      </c>
      <c r="CJ18" s="27">
        <f>Examscore!S18</f>
        <v>24</v>
      </c>
      <c r="CK18" s="27">
        <f>Examscore!T18</f>
        <v>19</v>
      </c>
      <c r="CL18" s="27">
        <f>Examscore!U18</f>
        <v>29.5</v>
      </c>
      <c r="CM18" s="27">
        <f>Examscore!V18</f>
        <v>20</v>
      </c>
    </row>
    <row r="19" spans="1:91" ht="15.75" customHeight="1" x14ac:dyDescent="0.25">
      <c r="A19" s="5">
        <f>Student!A19</f>
        <v>503</v>
      </c>
      <c r="B19" s="21" t="str">
        <f>Student!B19</f>
        <v xml:space="preserve">OSEI BELVIS </v>
      </c>
      <c r="C19" s="28">
        <f>ClassScore!M19+Examscore!M19</f>
        <v>66</v>
      </c>
      <c r="D19" s="28">
        <f>ClassScore!N19+Examscore!N19</f>
        <v>62.5</v>
      </c>
      <c r="E19" s="28">
        <f>ClassScore!O19+Examscore!O19</f>
        <v>73</v>
      </c>
      <c r="F19" s="28">
        <f>ClassScore!P19+Examscore!P19</f>
        <v>50.5</v>
      </c>
      <c r="G19" s="28">
        <f>ClassScore!Q19+Examscore!Q19</f>
        <v>45.5</v>
      </c>
      <c r="H19" s="28">
        <f>ClassScore!R19+Examscore!R19</f>
        <v>35.5</v>
      </c>
      <c r="I19" s="28">
        <f>ClassScore!S19+Examscore!S19</f>
        <v>34.5</v>
      </c>
      <c r="J19" s="28">
        <f>ClassScore!T19+Examscore!T19</f>
        <v>55</v>
      </c>
      <c r="K19" s="28">
        <f>ClassScore!U19+Examscore!U19</f>
        <v>49</v>
      </c>
      <c r="L19" s="28">
        <f>ClassScore!V19+Examscore!V19</f>
        <v>57.5</v>
      </c>
      <c r="M19" s="5" t="str">
        <f t="shared" si="22"/>
        <v>High Average</v>
      </c>
      <c r="N19" s="5" t="str">
        <f t="shared" si="23"/>
        <v>Average</v>
      </c>
      <c r="O19" s="5" t="str">
        <f t="shared" si="24"/>
        <v>High</v>
      </c>
      <c r="P19" s="5" t="str">
        <f t="shared" si="25"/>
        <v>Low</v>
      </c>
      <c r="Q19" s="5" t="str">
        <f t="shared" si="26"/>
        <v>Lower</v>
      </c>
      <c r="R19" s="5" t="str">
        <f t="shared" si="27"/>
        <v>Lowest</v>
      </c>
      <c r="S19" s="5" t="str">
        <f t="shared" si="28"/>
        <v>Lowest</v>
      </c>
      <c r="T19" s="5" t="str">
        <f t="shared" si="29"/>
        <v>Low Average</v>
      </c>
      <c r="U19" s="5" t="str">
        <f t="shared" si="30"/>
        <v>Lower</v>
      </c>
      <c r="V19" s="5" t="str">
        <f t="shared" si="31"/>
        <v>Low Average</v>
      </c>
      <c r="W19" s="5">
        <f t="shared" si="32"/>
        <v>4</v>
      </c>
      <c r="X19" s="5">
        <f t="shared" si="33"/>
        <v>5</v>
      </c>
      <c r="Y19" s="5">
        <f t="shared" si="34"/>
        <v>3</v>
      </c>
      <c r="Z19" s="5">
        <f t="shared" si="35"/>
        <v>7</v>
      </c>
      <c r="AA19" s="5">
        <f t="shared" si="36"/>
        <v>8</v>
      </c>
      <c r="AB19" s="5">
        <f t="shared" si="37"/>
        <v>9</v>
      </c>
      <c r="AC19" s="5">
        <f t="shared" si="38"/>
        <v>9</v>
      </c>
      <c r="AD19" s="5">
        <f t="shared" si="39"/>
        <v>6</v>
      </c>
      <c r="AE19" s="5">
        <f t="shared" si="40"/>
        <v>8</v>
      </c>
      <c r="AF19" s="5">
        <f t="shared" si="41"/>
        <v>6</v>
      </c>
      <c r="AG19" s="34">
        <f>SUM(C19,D19,F19,G19)+LARGE((E19,H19,I19,J19,K19,L19),1)+LARGE((E19,H19,I19,J19,K19,L19),2)</f>
        <v>355</v>
      </c>
      <c r="AH19" s="5">
        <f>SUM(W19,X19,Z19,AA19)+SMALL((Y19,AB19,AC19,AD19,AE19,AF19),1)+SMALL((Y19,AB19,AC19,AD19,AE19,AF19),2)</f>
        <v>33</v>
      </c>
      <c r="AI19" s="15" t="str">
        <f>'Teacher''s Remarks'!M20</f>
        <v>PATIENCE AFUA MENSAH</v>
      </c>
      <c r="AJ19" s="15" t="str">
        <f>'Teacher''s Remarks'!N20</f>
        <v>Dutiful</v>
      </c>
      <c r="AK19" s="15" t="str">
        <f>'Teacher''s Remarks'!O20</f>
        <v>Dull in class</v>
      </c>
      <c r="AL19" s="15" t="str">
        <f>'Teacher''s Remarks'!P20</f>
        <v>He can do better than this. Sit up!</v>
      </c>
      <c r="AM19" s="13" t="str">
        <f t="shared" si="42"/>
        <v xml:space="preserve">OSEI BELVIS </v>
      </c>
      <c r="AN19" s="14">
        <f>Attendance!B19</f>
        <v>61</v>
      </c>
      <c r="AO19" s="15"/>
      <c r="AP19" s="15"/>
      <c r="AQ19" s="22">
        <f t="shared" ca="1" si="43"/>
        <v>45764</v>
      </c>
      <c r="AR19" s="15"/>
      <c r="AT19" s="12">
        <f t="shared" si="11"/>
        <v>9</v>
      </c>
      <c r="AU19" t="str">
        <f>IF(OR(VALUE(RIGHT(AT19,5))={11,12,13}),"th",IF(OR(VALUE(RIGHT(AT19))={1,2,3}),CHOOSE(RIGHT(AT19),"st","nd","rd"),"th"))</f>
        <v>th</v>
      </c>
      <c r="AV19">
        <f t="shared" si="12"/>
        <v>10</v>
      </c>
      <c r="AW19" t="str">
        <f>IF(OR(VALUE(RIGHT(AV19,5))={11,12,13}),"th",IF(OR(VALUE(RIGHT(AV19))={1,2,3}),CHOOSE(RIGHT(AV19),"st","nd","rd"),"th"))</f>
        <v>th</v>
      </c>
      <c r="AX19">
        <f t="shared" si="13"/>
        <v>10</v>
      </c>
      <c r="AY19" t="str">
        <f>IF(OR(VALUE(RIGHT(AX19,5))={11,12,13}),"th",IF(OR(VALUE(RIGHT(AX19))={1,2,3}),CHOOSE(RIGHT(AX19),"st","nd","rd"),"th"))</f>
        <v>th</v>
      </c>
      <c r="AZ19">
        <f t="shared" si="14"/>
        <v>12</v>
      </c>
      <c r="BA19" t="str">
        <f>IF(OR(VALUE(RIGHT(AZ19,5))={11,12,13}),"th",IF(OR(VALUE(RIGHT(AZ19))={1,2,3}),CHOOSE(RIGHT(AZ19),"st","nd","rd"),"th"))</f>
        <v>th</v>
      </c>
      <c r="BB19">
        <f t="shared" si="15"/>
        <v>43</v>
      </c>
      <c r="BC19" t="str">
        <f>IF(OR(VALUE(RIGHT(BB19,5))={11,12,13}),"th",IF(OR(VALUE(RIGHT(BB19))={1,2,3}),CHOOSE(RIGHT(BB19),"st","nd","rd"),"th"))</f>
        <v>rd</v>
      </c>
      <c r="BD19">
        <f t="shared" si="16"/>
        <v>30</v>
      </c>
      <c r="BE19" t="str">
        <f>IF(OR(VALUE(RIGHT(BD19,5))={11,12,13}),"th",IF(OR(VALUE(RIGHT(BD19))={1,2,3}),CHOOSE(RIGHT(BD19),"st","nd","rd"),"th"))</f>
        <v>th</v>
      </c>
      <c r="BF19">
        <f t="shared" si="17"/>
        <v>38</v>
      </c>
      <c r="BG19" t="str">
        <f>IF(OR(VALUE(RIGHT(BF19,5))={11,12,13}),"th",IF(OR(VALUE(RIGHT(BF19))={1,2,3}),CHOOSE(RIGHT(BF19),"st","nd","rd"),"th"))</f>
        <v>th</v>
      </c>
      <c r="BH19">
        <f t="shared" si="18"/>
        <v>10</v>
      </c>
      <c r="BI19" t="str">
        <f>IF(OR(VALUE(RIGHT(BH19,5))={11,12,13}),"th",IF(OR(VALUE(RIGHT(BH19))={1,2,3}),CHOOSE(RIGHT(BH19),"st","nd","rd"),"th"))</f>
        <v>th</v>
      </c>
      <c r="BJ19">
        <f t="shared" si="19"/>
        <v>16</v>
      </c>
      <c r="BK19" t="str" cm="1">
        <f t="array" ref="BK19">IF(OR(VALUE(RIGHT(BJ19,5))={11,12,13}),"th",IF(OR(VALUE(RIGHT(BJ19))={1,2,3}),CHOOSE(RIGHT(BJ19),"st","nd","rd"),"th"))</f>
        <v>th</v>
      </c>
      <c r="BL19">
        <f t="shared" si="20"/>
        <v>19</v>
      </c>
      <c r="BM19" t="str">
        <f>IF(OR(VALUE(RIGHT(BL19,5))={11,12,13}),"th",IF(OR(VALUE(RIGHT(BL19))={1,2,3}),CHOOSE(RIGHT(BL19),"st","nd","rd"),"th"))</f>
        <v>th</v>
      </c>
      <c r="BO19" s="30">
        <f t="shared" si="44"/>
        <v>529</v>
      </c>
      <c r="BP19">
        <f t="shared" si="21"/>
        <v>12</v>
      </c>
      <c r="BQ19" t="str">
        <f>IF(OR(VALUE(RIGHT(BP19,5))={11,12,13}),"th",IF(OR(VALUE(RIGHT(BP19))={1,2,3}),CHOOSE(RIGHT(BP19),"st","nd","rd"),"th"))</f>
        <v>th</v>
      </c>
      <c r="BS19" s="27">
        <f>ClassScore!M19</f>
        <v>43.5</v>
      </c>
      <c r="BT19" s="27">
        <f>ClassScore!N19</f>
        <v>40</v>
      </c>
      <c r="BU19" s="27">
        <f>ClassScore!O19</f>
        <v>33</v>
      </c>
      <c r="BV19" s="27">
        <f>ClassScore!P19</f>
        <v>38.5</v>
      </c>
      <c r="BW19" s="27">
        <f>ClassScore!Q19</f>
        <v>33.5</v>
      </c>
      <c r="BX19" s="27">
        <f>ClassScore!R19</f>
        <v>29</v>
      </c>
      <c r="BY19" s="27">
        <f>ClassScore!S19</f>
        <v>15</v>
      </c>
      <c r="BZ19" s="27">
        <f>ClassScore!T19</f>
        <v>29</v>
      </c>
      <c r="CA19" s="27">
        <f>ClassScore!U19</f>
        <v>21</v>
      </c>
      <c r="CB19" s="27">
        <f>ClassScore!V19</f>
        <v>36.5</v>
      </c>
      <c r="CD19" s="27">
        <f>Examscore!M19</f>
        <v>22.5</v>
      </c>
      <c r="CE19" s="27">
        <f>Examscore!N19</f>
        <v>22.5</v>
      </c>
      <c r="CF19" s="27">
        <f>Examscore!O19</f>
        <v>40</v>
      </c>
      <c r="CG19" s="27">
        <f>Examscore!P19</f>
        <v>12</v>
      </c>
      <c r="CH19" s="27">
        <f>Examscore!Q19</f>
        <v>12</v>
      </c>
      <c r="CI19" s="27">
        <f>Examscore!R19</f>
        <v>6.5</v>
      </c>
      <c r="CJ19" s="27">
        <f>Examscore!S19</f>
        <v>19.5</v>
      </c>
      <c r="CK19" s="27">
        <f>Examscore!T19</f>
        <v>26</v>
      </c>
      <c r="CL19" s="27">
        <f>Examscore!U19</f>
        <v>28</v>
      </c>
      <c r="CM19" s="27">
        <f>Examscore!V19</f>
        <v>21</v>
      </c>
    </row>
    <row r="20" spans="1:91" ht="15.75" x14ac:dyDescent="0.25">
      <c r="A20" s="5">
        <f>Student!A20</f>
        <v>459</v>
      </c>
      <c r="B20" s="21" t="str">
        <f>Student!B20</f>
        <v xml:space="preserve">OTU KOFI SOLOMON  </v>
      </c>
      <c r="C20" s="28">
        <f>ClassScore!M20+Examscore!M20</f>
        <v>54</v>
      </c>
      <c r="D20" s="28">
        <f>ClassScore!N20+Examscore!N20</f>
        <v>56.5</v>
      </c>
      <c r="E20" s="28">
        <f>ClassScore!O20+Examscore!O20</f>
        <v>57</v>
      </c>
      <c r="F20" s="28">
        <f>ClassScore!P20+Examscore!P20</f>
        <v>28</v>
      </c>
      <c r="G20" s="28">
        <f>ClassScore!Q20+Examscore!Q20</f>
        <v>50</v>
      </c>
      <c r="H20" s="28">
        <f>ClassScore!R20+Examscore!R20</f>
        <v>41.5</v>
      </c>
      <c r="I20" s="28">
        <f>ClassScore!S20+Examscore!S20</f>
        <v>48.5</v>
      </c>
      <c r="J20" s="28">
        <f>ClassScore!T20+Examscore!T20</f>
        <v>36.5</v>
      </c>
      <c r="K20" s="28">
        <f>ClassScore!U20+Examscore!U20</f>
        <v>45</v>
      </c>
      <c r="L20" s="28">
        <f>ClassScore!V20+Examscore!V20</f>
        <v>66</v>
      </c>
      <c r="M20" s="5" t="str">
        <f t="shared" si="22"/>
        <v>Low</v>
      </c>
      <c r="N20" s="5" t="str">
        <f t="shared" si="23"/>
        <v>Low Average</v>
      </c>
      <c r="O20" s="5" t="str">
        <f t="shared" si="24"/>
        <v>Low Average</v>
      </c>
      <c r="P20" s="5" t="str">
        <f t="shared" si="25"/>
        <v>Lowest</v>
      </c>
      <c r="Q20" s="5" t="str">
        <f t="shared" si="26"/>
        <v>Low</v>
      </c>
      <c r="R20" s="5" t="str">
        <f t="shared" si="27"/>
        <v>Lower</v>
      </c>
      <c r="S20" s="5" t="str">
        <f t="shared" si="28"/>
        <v>Lower</v>
      </c>
      <c r="T20" s="5" t="str">
        <f t="shared" si="29"/>
        <v>Lowest</v>
      </c>
      <c r="U20" s="5" t="str">
        <f t="shared" si="30"/>
        <v>Lower</v>
      </c>
      <c r="V20" s="5" t="str">
        <f t="shared" si="31"/>
        <v>High Average</v>
      </c>
      <c r="W20" s="5">
        <f t="shared" si="32"/>
        <v>7</v>
      </c>
      <c r="X20" s="5">
        <f t="shared" si="33"/>
        <v>6</v>
      </c>
      <c r="Y20" s="5">
        <f t="shared" si="34"/>
        <v>6</v>
      </c>
      <c r="Z20" s="5">
        <f t="shared" si="35"/>
        <v>9</v>
      </c>
      <c r="AA20" s="5">
        <f t="shared" si="36"/>
        <v>7</v>
      </c>
      <c r="AB20" s="5">
        <f t="shared" si="37"/>
        <v>8</v>
      </c>
      <c r="AC20" s="5">
        <f t="shared" si="38"/>
        <v>8</v>
      </c>
      <c r="AD20" s="5">
        <f t="shared" si="39"/>
        <v>9</v>
      </c>
      <c r="AE20" s="5">
        <f t="shared" si="40"/>
        <v>8</v>
      </c>
      <c r="AF20" s="5">
        <f t="shared" si="41"/>
        <v>4</v>
      </c>
      <c r="AG20" s="34">
        <f>SUM(C20,D20,F20,G20)+LARGE((E20,H20,I20,J20,K20,L20),1)+LARGE((E20,H20,I20,J20,K20,L20),2)</f>
        <v>311.5</v>
      </c>
      <c r="AH20" s="5">
        <f>SUM(W20,X20,Z20,AA20)+SMALL((Y20,AB20,AC20,AD20,AE20,AF20),1)+SMALL((Y20,AB20,AC20,AD20,AE20,AF20),2)</f>
        <v>39</v>
      </c>
      <c r="AI20" s="15" t="str">
        <f>'Teacher''s Remarks'!M21</f>
        <v>PATIENCE AFUA MENSAH</v>
      </c>
      <c r="AJ20" s="15" t="str">
        <f>'Teacher''s Remarks'!N21</f>
        <v>playful</v>
      </c>
      <c r="AK20" s="15" t="str">
        <f>'Teacher''s Remarks'!O21</f>
        <v>He is regular but not puntual to school</v>
      </c>
      <c r="AL20" s="15" t="str">
        <f>'Teacher''s Remarks'!P21</f>
        <v>He can do better than this. Sit up!</v>
      </c>
      <c r="AM20" s="13" t="str">
        <f t="shared" si="42"/>
        <v xml:space="preserve">OTU KOFI SOLOMON  </v>
      </c>
      <c r="AN20" s="14">
        <f>Attendance!B20</f>
        <v>47</v>
      </c>
      <c r="AO20" s="15"/>
      <c r="AP20" s="15"/>
      <c r="AQ20" s="22">
        <f t="shared" ca="1" si="43"/>
        <v>45764</v>
      </c>
      <c r="AR20" s="15"/>
      <c r="AT20" s="12">
        <f t="shared" si="11"/>
        <v>34</v>
      </c>
      <c r="AU20" t="str">
        <f>IF(OR(VALUE(RIGHT(AT20,5))={11,12,13}),"th",IF(OR(VALUE(RIGHT(AT20))={1,2,3}),CHOOSE(RIGHT(AT20),"st","nd","rd"),"th"))</f>
        <v>th</v>
      </c>
      <c r="AV20">
        <f t="shared" si="12"/>
        <v>23</v>
      </c>
      <c r="AW20" t="str">
        <f>IF(OR(VALUE(RIGHT(AV20,5))={11,12,13}),"th",IF(OR(VALUE(RIGHT(AV20))={1,2,3}),CHOOSE(RIGHT(AV20),"st","nd","rd"),"th"))</f>
        <v>rd</v>
      </c>
      <c r="AX20">
        <f t="shared" si="13"/>
        <v>31</v>
      </c>
      <c r="AY20" t="str">
        <f>IF(OR(VALUE(RIGHT(AX20,5))={11,12,13}),"th",IF(OR(VALUE(RIGHT(AX20))={1,2,3}),CHOOSE(RIGHT(AX20),"st","nd","rd"),"th"))</f>
        <v>st</v>
      </c>
      <c r="AZ20">
        <f t="shared" si="14"/>
        <v>45</v>
      </c>
      <c r="BA20" t="str">
        <f>IF(OR(VALUE(RIGHT(AZ20,5))={11,12,13}),"th",IF(OR(VALUE(RIGHT(AZ20))={1,2,3}),CHOOSE(RIGHT(AZ20),"st","nd","rd"),"th"))</f>
        <v>th</v>
      </c>
      <c r="BB20">
        <f t="shared" si="15"/>
        <v>29</v>
      </c>
      <c r="BC20" t="str">
        <f>IF(OR(VALUE(RIGHT(BB20,5))={11,12,13}),"th",IF(OR(VALUE(RIGHT(BB20))={1,2,3}),CHOOSE(RIGHT(BB20),"st","nd","rd"),"th"))</f>
        <v>th</v>
      </c>
      <c r="BD20">
        <f t="shared" si="16"/>
        <v>19</v>
      </c>
      <c r="BE20" t="str">
        <f>IF(OR(VALUE(RIGHT(BD20,5))={11,12,13}),"th",IF(OR(VALUE(RIGHT(BD20))={1,2,3}),CHOOSE(RIGHT(BD20),"st","nd","rd"),"th"))</f>
        <v>th</v>
      </c>
      <c r="BF20">
        <f t="shared" si="17"/>
        <v>12</v>
      </c>
      <c r="BG20" t="str">
        <f>IF(OR(VALUE(RIGHT(BF20,5))={11,12,13}),"th",IF(OR(VALUE(RIGHT(BF20))={1,2,3}),CHOOSE(RIGHT(BF20),"st","nd","rd"),"th"))</f>
        <v>th</v>
      </c>
      <c r="BH20">
        <f t="shared" si="18"/>
        <v>27</v>
      </c>
      <c r="BI20" t="str">
        <f>IF(OR(VALUE(RIGHT(BH20,5))={11,12,13}),"th",IF(OR(VALUE(RIGHT(BH20))={1,2,3}),CHOOSE(RIGHT(BH20),"st","nd","rd"),"th"))</f>
        <v>th</v>
      </c>
      <c r="BJ20">
        <f t="shared" si="19"/>
        <v>27</v>
      </c>
      <c r="BK20" t="str" cm="1">
        <f t="array" ref="BK20">IF(OR(VALUE(RIGHT(BJ20,5))={11,12,13}),"th",IF(OR(VALUE(RIGHT(BJ20))={1,2,3}),CHOOSE(RIGHT(BJ20),"st","nd","rd"),"th"))</f>
        <v>th</v>
      </c>
      <c r="BL20">
        <f t="shared" si="20"/>
        <v>8</v>
      </c>
      <c r="BM20" t="str">
        <f>IF(OR(VALUE(RIGHT(BL20,5))={11,12,13}),"th",IF(OR(VALUE(RIGHT(BL20))={1,2,3}),CHOOSE(RIGHT(BL20),"st","nd","rd"),"th"))</f>
        <v>th</v>
      </c>
      <c r="BO20" s="30">
        <f t="shared" si="44"/>
        <v>483</v>
      </c>
      <c r="BP20">
        <f t="shared" si="21"/>
        <v>29</v>
      </c>
      <c r="BQ20" t="str">
        <f>IF(OR(VALUE(RIGHT(BP20,5))={11,12,13}),"th",IF(OR(VALUE(RIGHT(BP20))={1,2,3}),CHOOSE(RIGHT(BP20),"st","nd","rd"),"th"))</f>
        <v>th</v>
      </c>
      <c r="BS20" s="27">
        <f>ClassScore!M20</f>
        <v>37.5</v>
      </c>
      <c r="BT20" s="27">
        <f>ClassScore!N20</f>
        <v>39</v>
      </c>
      <c r="BU20" s="27">
        <f>ClassScore!O20</f>
        <v>31.5</v>
      </c>
      <c r="BV20" s="27">
        <f>ClassScore!P20</f>
        <v>21.5</v>
      </c>
      <c r="BW20" s="27">
        <f>ClassScore!Q20</f>
        <v>35.5</v>
      </c>
      <c r="BX20" s="27">
        <f>ClassScore!R20</f>
        <v>30</v>
      </c>
      <c r="BY20" s="27">
        <f>ClassScore!S20</f>
        <v>28.5</v>
      </c>
      <c r="BZ20" s="27">
        <f>ClassScore!T20</f>
        <v>22.5</v>
      </c>
      <c r="CA20" s="27">
        <f>ClassScore!U20</f>
        <v>23</v>
      </c>
      <c r="CB20" s="27">
        <f>ClassScore!V20</f>
        <v>40</v>
      </c>
      <c r="CD20" s="27">
        <f>Examscore!M20</f>
        <v>16.5</v>
      </c>
      <c r="CE20" s="27">
        <f>Examscore!N20</f>
        <v>17.5</v>
      </c>
      <c r="CF20" s="27">
        <f>Examscore!O20</f>
        <v>25.5</v>
      </c>
      <c r="CG20" s="27">
        <f>Examscore!P20</f>
        <v>6.5</v>
      </c>
      <c r="CH20" s="27">
        <f>Examscore!Q20</f>
        <v>14.5</v>
      </c>
      <c r="CI20" s="27">
        <f>Examscore!R20</f>
        <v>11.5</v>
      </c>
      <c r="CJ20" s="27">
        <f>Examscore!S20</f>
        <v>20</v>
      </c>
      <c r="CK20" s="27">
        <f>Examscore!T20</f>
        <v>14</v>
      </c>
      <c r="CL20" s="27">
        <f>Examscore!U20</f>
        <v>22</v>
      </c>
      <c r="CM20" s="27">
        <f>Examscore!V20</f>
        <v>26</v>
      </c>
    </row>
    <row r="21" spans="1:91" ht="15.75" customHeight="1" x14ac:dyDescent="0.25">
      <c r="A21" s="5">
        <f>Student!A21</f>
        <v>436</v>
      </c>
      <c r="B21" s="21" t="str">
        <f>Student!B21</f>
        <v xml:space="preserve">OWUSU RUBEN </v>
      </c>
      <c r="C21" s="28">
        <f>ClassScore!M21+Examscore!M21</f>
        <v>54</v>
      </c>
      <c r="D21" s="28">
        <f>ClassScore!N21+Examscore!N21</f>
        <v>52</v>
      </c>
      <c r="E21" s="28">
        <f>ClassScore!O21+Examscore!O21</f>
        <v>41.5</v>
      </c>
      <c r="F21" s="28">
        <f>ClassScore!P21+Examscore!P21</f>
        <v>24</v>
      </c>
      <c r="G21" s="28">
        <f>ClassScore!Q21+Examscore!Q21</f>
        <v>48.5</v>
      </c>
      <c r="H21" s="28">
        <f>ClassScore!R21+Examscore!R21</f>
        <v>30.5</v>
      </c>
      <c r="I21" s="28">
        <f>ClassScore!S21+Examscore!S21</f>
        <v>24.5</v>
      </c>
      <c r="J21" s="28">
        <f>ClassScore!T21+Examscore!T21</f>
        <v>23.5</v>
      </c>
      <c r="K21" s="28">
        <f>ClassScore!U21+Examscore!U21</f>
        <v>30.5</v>
      </c>
      <c r="L21" s="28">
        <f>ClassScore!V21+Examscore!V21</f>
        <v>47.5</v>
      </c>
      <c r="M21" s="5" t="str">
        <f t="shared" si="22"/>
        <v>Low</v>
      </c>
      <c r="N21" s="5" t="str">
        <f t="shared" si="23"/>
        <v>Low</v>
      </c>
      <c r="O21" s="5" t="str">
        <f t="shared" si="24"/>
        <v>Lower</v>
      </c>
      <c r="P21" s="5" t="str">
        <f t="shared" si="25"/>
        <v>Lowest</v>
      </c>
      <c r="Q21" s="5" t="str">
        <f t="shared" si="26"/>
        <v>Lower</v>
      </c>
      <c r="R21" s="5" t="str">
        <f t="shared" si="27"/>
        <v>Lowest</v>
      </c>
      <c r="S21" s="5" t="str">
        <f t="shared" si="28"/>
        <v>Lowest</v>
      </c>
      <c r="T21" s="5" t="str">
        <f t="shared" si="29"/>
        <v>Lowest</v>
      </c>
      <c r="U21" s="5" t="str">
        <f t="shared" si="30"/>
        <v>Lowest</v>
      </c>
      <c r="V21" s="5" t="str">
        <f t="shared" si="31"/>
        <v>Lower</v>
      </c>
      <c r="W21" s="5">
        <f t="shared" si="32"/>
        <v>7</v>
      </c>
      <c r="X21" s="5">
        <f t="shared" si="33"/>
        <v>7</v>
      </c>
      <c r="Y21" s="5">
        <f t="shared" si="34"/>
        <v>8</v>
      </c>
      <c r="Z21" s="5">
        <f t="shared" si="35"/>
        <v>9</v>
      </c>
      <c r="AA21" s="5">
        <f t="shared" si="36"/>
        <v>8</v>
      </c>
      <c r="AB21" s="5">
        <f t="shared" si="37"/>
        <v>9</v>
      </c>
      <c r="AC21" s="5">
        <f t="shared" si="38"/>
        <v>9</v>
      </c>
      <c r="AD21" s="5">
        <f t="shared" si="39"/>
        <v>9</v>
      </c>
      <c r="AE21" s="5">
        <f t="shared" si="40"/>
        <v>9</v>
      </c>
      <c r="AF21" s="5">
        <f t="shared" si="41"/>
        <v>8</v>
      </c>
      <c r="AG21" s="34">
        <f>SUM(C21,D21,F21,G21)+LARGE((E21,H21,I21,J21,K21,L21),1)+LARGE((E21,H21,I21,J21,K21,L21),2)</f>
        <v>267.5</v>
      </c>
      <c r="AH21" s="5">
        <f>SUM(W21,X21,Z21,AA21)+SMALL((Y21,AB21,AC21,AD21,AE21,AF21),1)+SMALL((Y21,AB21,AC21,AD21,AE21,AF21),2)</f>
        <v>47</v>
      </c>
      <c r="AI21" s="15" t="str">
        <f>'Teacher''s Remarks'!M22</f>
        <v>PATIENCE AFUA MENSAH</v>
      </c>
      <c r="AJ21" s="15" t="str">
        <f>'Teacher''s Remarks'!N22</f>
        <v>playful</v>
      </c>
      <c r="AK21" s="15" t="str">
        <f>'Teacher''s Remarks'!O22</f>
        <v>He is regular and puntual to school</v>
      </c>
      <c r="AL21" s="15" t="str">
        <f>'Teacher''s Remarks'!P22</f>
        <v>He can do better than this. Sit up!</v>
      </c>
      <c r="AM21" s="13" t="str">
        <f t="shared" si="42"/>
        <v xml:space="preserve">OWUSU RUBEN </v>
      </c>
      <c r="AN21" s="14">
        <f>Attendance!B21</f>
        <v>59</v>
      </c>
      <c r="AO21" s="15"/>
      <c r="AP21" s="15"/>
      <c r="AQ21" s="22">
        <f t="shared" ca="1" si="43"/>
        <v>45764</v>
      </c>
      <c r="AR21" s="15"/>
      <c r="AT21" s="12">
        <f t="shared" si="11"/>
        <v>34</v>
      </c>
      <c r="AU21" t="str">
        <f>IF(OR(VALUE(RIGHT(AT21,5))={11,12,13}),"th",IF(OR(VALUE(RIGHT(AT21))={1,2,3}),CHOOSE(RIGHT(AT21),"st","nd","rd"),"th"))</f>
        <v>th</v>
      </c>
      <c r="AV21">
        <f t="shared" si="12"/>
        <v>35</v>
      </c>
      <c r="AW21" t="str">
        <f>IF(OR(VALUE(RIGHT(AV21,5))={11,12,13}),"th",IF(OR(VALUE(RIGHT(AV21))={1,2,3}),CHOOSE(RIGHT(AV21),"st","nd","rd"),"th"))</f>
        <v>th</v>
      </c>
      <c r="AX21">
        <f t="shared" si="13"/>
        <v>53</v>
      </c>
      <c r="AY21" t="str">
        <f>IF(OR(VALUE(RIGHT(AX21,5))={11,12,13}),"th",IF(OR(VALUE(RIGHT(AX21))={1,2,3}),CHOOSE(RIGHT(AX21),"st","nd","rd"),"th"))</f>
        <v>rd</v>
      </c>
      <c r="AZ21">
        <f t="shared" si="14"/>
        <v>49</v>
      </c>
      <c r="BA21" t="str">
        <f>IF(OR(VALUE(RIGHT(AZ21,5))={11,12,13}),"th",IF(OR(VALUE(RIGHT(AZ21))={1,2,3}),CHOOSE(RIGHT(AZ21),"st","nd","rd"),"th"))</f>
        <v>th</v>
      </c>
      <c r="BB21">
        <f t="shared" si="15"/>
        <v>31</v>
      </c>
      <c r="BC21" t="str">
        <f>IF(OR(VALUE(RIGHT(BB21,5))={11,12,13}),"th",IF(OR(VALUE(RIGHT(BB21))={1,2,3}),CHOOSE(RIGHT(BB21),"st","nd","rd"),"th"))</f>
        <v>st</v>
      </c>
      <c r="BD21">
        <f t="shared" si="16"/>
        <v>48</v>
      </c>
      <c r="BE21" t="str">
        <f>IF(OR(VALUE(RIGHT(BD21,5))={11,12,13}),"th",IF(OR(VALUE(RIGHT(BD21))={1,2,3}),CHOOSE(RIGHT(BD21),"st","nd","rd"),"th"))</f>
        <v>th</v>
      </c>
      <c r="BF21">
        <f t="shared" si="17"/>
        <v>54</v>
      </c>
      <c r="BG21" t="str">
        <f>IF(OR(VALUE(RIGHT(BF21,5))={11,12,13}),"th",IF(OR(VALUE(RIGHT(BF21))={1,2,3}),CHOOSE(RIGHT(BF21),"st","nd","rd"),"th"))</f>
        <v>th</v>
      </c>
      <c r="BH21">
        <f t="shared" si="18"/>
        <v>53</v>
      </c>
      <c r="BI21" t="str">
        <f>IF(OR(VALUE(RIGHT(BH21,5))={11,12,13}),"th",IF(OR(VALUE(RIGHT(BH21))={1,2,3}),CHOOSE(RIGHT(BH21),"st","nd","rd"),"th"))</f>
        <v>rd</v>
      </c>
      <c r="BJ21">
        <f t="shared" si="19"/>
        <v>49</v>
      </c>
      <c r="BK21" t="str" cm="1">
        <f t="array" ref="BK21">IF(OR(VALUE(RIGHT(BJ21,5))={11,12,13}),"th",IF(OR(VALUE(RIGHT(BJ21))={1,2,3}),CHOOSE(RIGHT(BJ21),"st","nd","rd"),"th"))</f>
        <v>th</v>
      </c>
      <c r="BL21">
        <f t="shared" si="20"/>
        <v>44</v>
      </c>
      <c r="BM21" t="str">
        <f>IF(OR(VALUE(RIGHT(BL21,5))={11,12,13}),"th",IF(OR(VALUE(RIGHT(BL21))={1,2,3}),CHOOSE(RIGHT(BL21),"st","nd","rd"),"th"))</f>
        <v>th</v>
      </c>
      <c r="BO21" s="30">
        <f t="shared" si="44"/>
        <v>376.5</v>
      </c>
      <c r="BP21">
        <f t="shared" si="21"/>
        <v>53</v>
      </c>
      <c r="BQ21" t="str">
        <f>IF(OR(VALUE(RIGHT(BP21,5))={11,12,13}),"th",IF(OR(VALUE(RIGHT(BP21))={1,2,3}),CHOOSE(RIGHT(BP21),"st","nd","rd"),"th"))</f>
        <v>rd</v>
      </c>
      <c r="BS21" s="27">
        <f>ClassScore!M21</f>
        <v>42.5</v>
      </c>
      <c r="BT21" s="27">
        <f>ClassScore!N21</f>
        <v>40.5</v>
      </c>
      <c r="BU21" s="27">
        <f>ClassScore!O21</f>
        <v>17</v>
      </c>
      <c r="BV21" s="27">
        <f>ClassScore!P21</f>
        <v>15.5</v>
      </c>
      <c r="BW21" s="27">
        <f>ClassScore!Q21</f>
        <v>32.5</v>
      </c>
      <c r="BX21" s="27">
        <f>ClassScore!R21</f>
        <v>26.5</v>
      </c>
      <c r="BY21" s="27">
        <f>ClassScore!S21</f>
        <v>15</v>
      </c>
      <c r="BZ21" s="27">
        <f>ClassScore!T21</f>
        <v>17</v>
      </c>
      <c r="CA21" s="27">
        <f>ClassScore!U21</f>
        <v>14.5</v>
      </c>
      <c r="CB21" s="27">
        <f>ClassScore!V21</f>
        <v>37</v>
      </c>
      <c r="CD21" s="27">
        <f>Examscore!M21</f>
        <v>11.5</v>
      </c>
      <c r="CE21" s="27">
        <f>Examscore!N21</f>
        <v>11.5</v>
      </c>
      <c r="CF21" s="27">
        <f>Examscore!O21</f>
        <v>24.5</v>
      </c>
      <c r="CG21" s="27">
        <f>Examscore!P21</f>
        <v>8.5</v>
      </c>
      <c r="CH21" s="27">
        <f>Examscore!Q21</f>
        <v>16</v>
      </c>
      <c r="CI21" s="27">
        <f>Examscore!R21</f>
        <v>4</v>
      </c>
      <c r="CJ21" s="27">
        <f>Examscore!S21</f>
        <v>9.5</v>
      </c>
      <c r="CK21" s="27">
        <f>Examscore!T21</f>
        <v>6.5</v>
      </c>
      <c r="CL21" s="27">
        <f>Examscore!U21</f>
        <v>16</v>
      </c>
      <c r="CM21" s="27">
        <f>Examscore!V21</f>
        <v>10.5</v>
      </c>
    </row>
    <row r="22" spans="1:91" ht="15.75" x14ac:dyDescent="0.25">
      <c r="A22" s="5">
        <f>Student!A22</f>
        <v>309</v>
      </c>
      <c r="B22" s="21" t="str">
        <f>Student!B22</f>
        <v xml:space="preserve">SEIDU IBRAHIM </v>
      </c>
      <c r="C22" s="28">
        <f>ClassScore!M22+Examscore!M22</f>
        <v>52</v>
      </c>
      <c r="D22" s="28">
        <f>ClassScore!N22+Examscore!N22</f>
        <v>50.5</v>
      </c>
      <c r="E22" s="28">
        <f>ClassScore!O22+Examscore!O22</f>
        <v>41</v>
      </c>
      <c r="F22" s="28">
        <f>ClassScore!P22+Examscore!P22</f>
        <v>24.5</v>
      </c>
      <c r="G22" s="28">
        <f>ClassScore!Q22+Examscore!Q22</f>
        <v>46</v>
      </c>
      <c r="H22" s="28">
        <f>ClassScore!R22+Examscore!R22</f>
        <v>31</v>
      </c>
      <c r="I22" s="28">
        <f>ClassScore!S22+Examscore!S22</f>
        <v>18.5</v>
      </c>
      <c r="J22" s="28">
        <f>ClassScore!T22+Examscore!T22</f>
        <v>28.5</v>
      </c>
      <c r="K22" s="28">
        <f>ClassScore!U22+Examscore!U22</f>
        <v>25</v>
      </c>
      <c r="L22" s="28">
        <f>ClassScore!V22+Examscore!V22</f>
        <v>53</v>
      </c>
      <c r="M22" s="5" t="str">
        <f t="shared" si="22"/>
        <v>Low</v>
      </c>
      <c r="N22" s="5" t="str">
        <f t="shared" si="23"/>
        <v>Low</v>
      </c>
      <c r="O22" s="5" t="str">
        <f t="shared" si="24"/>
        <v>Lower</v>
      </c>
      <c r="P22" s="5" t="str">
        <f t="shared" si="25"/>
        <v>Lowest</v>
      </c>
      <c r="Q22" s="5" t="str">
        <f t="shared" si="26"/>
        <v>Lower</v>
      </c>
      <c r="R22" s="5" t="str">
        <f t="shared" si="27"/>
        <v>Lowest</v>
      </c>
      <c r="S22" s="5" t="str">
        <f t="shared" si="28"/>
        <v>Lowest</v>
      </c>
      <c r="T22" s="5" t="str">
        <f t="shared" si="29"/>
        <v>Lowest</v>
      </c>
      <c r="U22" s="5" t="str">
        <f t="shared" si="30"/>
        <v>Lowest</v>
      </c>
      <c r="V22" s="5" t="str">
        <f t="shared" si="31"/>
        <v>Low</v>
      </c>
      <c r="W22" s="5">
        <f t="shared" si="32"/>
        <v>7</v>
      </c>
      <c r="X22" s="5">
        <f t="shared" si="33"/>
        <v>7</v>
      </c>
      <c r="Y22" s="5">
        <f t="shared" si="34"/>
        <v>8</v>
      </c>
      <c r="Z22" s="5">
        <f t="shared" si="35"/>
        <v>9</v>
      </c>
      <c r="AA22" s="5">
        <f t="shared" si="36"/>
        <v>8</v>
      </c>
      <c r="AB22" s="5">
        <f t="shared" si="37"/>
        <v>9</v>
      </c>
      <c r="AC22" s="5">
        <f t="shared" si="38"/>
        <v>9</v>
      </c>
      <c r="AD22" s="5">
        <f t="shared" si="39"/>
        <v>9</v>
      </c>
      <c r="AE22" s="5">
        <f t="shared" si="40"/>
        <v>9</v>
      </c>
      <c r="AF22" s="5">
        <f t="shared" si="41"/>
        <v>7</v>
      </c>
      <c r="AG22" s="34">
        <f>SUM(C22,D22,F22,G22)+LARGE((E22,H22,I22,J22,K22,L22),1)+LARGE((E22,H22,I22,J22,K22,L22),2)</f>
        <v>267</v>
      </c>
      <c r="AH22" s="5">
        <f>SUM(W22,X22,Z22,AA22)+SMALL((Y22,AB22,AC22,AD22,AE22,AF22),1)+SMALL((Y22,AB22,AC22,AD22,AE22,AF22),2)</f>
        <v>46</v>
      </c>
      <c r="AI22" s="15" t="str">
        <f>'Teacher''s Remarks'!M23</f>
        <v>PATIENCE AFUA MENSAH</v>
      </c>
      <c r="AJ22" s="15" t="str">
        <f>'Teacher''s Remarks'!N23</f>
        <v>Energetic</v>
      </c>
      <c r="AK22" s="15" t="str">
        <f>'Teacher''s Remarks'!O23</f>
        <v>He is regular but not puntual to school</v>
      </c>
      <c r="AL22" s="15" t="str">
        <f>'Teacher''s Remarks'!P23</f>
        <v>He can do better than this. Sit up!</v>
      </c>
      <c r="AM22" s="13" t="str">
        <f t="shared" si="42"/>
        <v xml:space="preserve">SEIDU IBRAHIM </v>
      </c>
      <c r="AN22" s="14">
        <f>Attendance!B22</f>
        <v>66</v>
      </c>
      <c r="AO22" s="15"/>
      <c r="AP22" s="15"/>
      <c r="AQ22" s="22">
        <f t="shared" ca="1" si="43"/>
        <v>45764</v>
      </c>
      <c r="AR22" s="15"/>
      <c r="AT22" s="12">
        <f t="shared" si="11"/>
        <v>41</v>
      </c>
      <c r="AU22" t="str">
        <f>IF(OR(VALUE(RIGHT(AT22,5))={11,12,13}),"th",IF(OR(VALUE(RIGHT(AT22))={1,2,3}),CHOOSE(RIGHT(AT22),"st","nd","rd"),"th"))</f>
        <v>st</v>
      </c>
      <c r="AV22">
        <f t="shared" si="12"/>
        <v>40</v>
      </c>
      <c r="AW22" t="str">
        <f>IF(OR(VALUE(RIGHT(AV22,5))={11,12,13}),"th",IF(OR(VALUE(RIGHT(AV22))={1,2,3}),CHOOSE(RIGHT(AV22),"st","nd","rd"),"th"))</f>
        <v>th</v>
      </c>
      <c r="AX22">
        <f t="shared" si="13"/>
        <v>54</v>
      </c>
      <c r="AY22" t="str">
        <f>IF(OR(VALUE(RIGHT(AX22,5))={11,12,13}),"th",IF(OR(VALUE(RIGHT(AX22))={1,2,3}),CHOOSE(RIGHT(AX22),"st","nd","rd"),"th"))</f>
        <v>th</v>
      </c>
      <c r="AZ22">
        <f t="shared" si="14"/>
        <v>48</v>
      </c>
      <c r="BA22" t="str">
        <f>IF(OR(VALUE(RIGHT(AZ22,5))={11,12,13}),"th",IF(OR(VALUE(RIGHT(AZ22))={1,2,3}),CHOOSE(RIGHT(AZ22),"st","nd","rd"),"th"))</f>
        <v>th</v>
      </c>
      <c r="BB22">
        <f t="shared" si="15"/>
        <v>42</v>
      </c>
      <c r="BC22" t="str">
        <f>IF(OR(VALUE(RIGHT(BB22,5))={11,12,13}),"th",IF(OR(VALUE(RIGHT(BB22))={1,2,3}),CHOOSE(RIGHT(BB22),"st","nd","rd"),"th"))</f>
        <v>nd</v>
      </c>
      <c r="BD22">
        <f t="shared" si="16"/>
        <v>45</v>
      </c>
      <c r="BE22" t="str">
        <f>IF(OR(VALUE(RIGHT(BD22,5))={11,12,13}),"th",IF(OR(VALUE(RIGHT(BD22))={1,2,3}),CHOOSE(RIGHT(BD22),"st","nd","rd"),"th"))</f>
        <v>th</v>
      </c>
      <c r="BF22">
        <f t="shared" si="17"/>
        <v>55</v>
      </c>
      <c r="BG22" t="str">
        <f>IF(OR(VALUE(RIGHT(BF22,5))={11,12,13}),"th",IF(OR(VALUE(RIGHT(BF22))={1,2,3}),CHOOSE(RIGHT(BF22),"st","nd","rd"),"th"))</f>
        <v>th</v>
      </c>
      <c r="BH22">
        <f t="shared" si="18"/>
        <v>44</v>
      </c>
      <c r="BI22" t="str">
        <f>IF(OR(VALUE(RIGHT(BH22,5))={11,12,13}),"th",IF(OR(VALUE(RIGHT(BH22))={1,2,3}),CHOOSE(RIGHT(BH22),"st","nd","rd"),"th"))</f>
        <v>th</v>
      </c>
      <c r="BJ22">
        <f t="shared" si="19"/>
        <v>51</v>
      </c>
      <c r="BK22" t="str" cm="1">
        <f t="array" ref="BK22">IF(OR(VALUE(RIGHT(BJ22,5))={11,12,13}),"th",IF(OR(VALUE(RIGHT(BJ22))={1,2,3}),CHOOSE(RIGHT(BJ22),"st","nd","rd"),"th"))</f>
        <v>st</v>
      </c>
      <c r="BL22">
        <f t="shared" si="20"/>
        <v>37</v>
      </c>
      <c r="BM22" t="str">
        <f>IF(OR(VALUE(RIGHT(BL22,5))={11,12,13}),"th",IF(OR(VALUE(RIGHT(BL22))={1,2,3}),CHOOSE(RIGHT(BL22),"st","nd","rd"),"th"))</f>
        <v>th</v>
      </c>
      <c r="BO22" s="30">
        <f t="shared" si="44"/>
        <v>370</v>
      </c>
      <c r="BP22">
        <f t="shared" si="21"/>
        <v>54</v>
      </c>
      <c r="BQ22" t="str">
        <f>IF(OR(VALUE(RIGHT(BP22,5))={11,12,13}),"th",IF(OR(VALUE(RIGHT(BP22))={1,2,3}),CHOOSE(RIGHT(BP22),"st","nd","rd"),"th"))</f>
        <v>th</v>
      </c>
      <c r="BS22" s="27">
        <f>ClassScore!M22</f>
        <v>40.5</v>
      </c>
      <c r="BT22" s="27">
        <f>ClassScore!N22</f>
        <v>39</v>
      </c>
      <c r="BU22" s="27">
        <f>ClassScore!O22</f>
        <v>20.5</v>
      </c>
      <c r="BV22" s="27">
        <f>ClassScore!P22</f>
        <v>15.5</v>
      </c>
      <c r="BW22" s="27">
        <f>ClassScore!Q22</f>
        <v>32.5</v>
      </c>
      <c r="BX22" s="27">
        <f>ClassScore!R22</f>
        <v>25</v>
      </c>
      <c r="BY22" s="27">
        <f>ClassScore!S22</f>
        <v>15</v>
      </c>
      <c r="BZ22" s="27">
        <f>ClassScore!T22</f>
        <v>24</v>
      </c>
      <c r="CA22" s="27">
        <f>ClassScore!U22</f>
        <v>14</v>
      </c>
      <c r="CB22" s="27">
        <f>ClassScore!V22</f>
        <v>37.5</v>
      </c>
      <c r="CD22" s="27">
        <f>Examscore!M22</f>
        <v>11.5</v>
      </c>
      <c r="CE22" s="27">
        <f>Examscore!N22</f>
        <v>11.5</v>
      </c>
      <c r="CF22" s="27">
        <f>Examscore!O22</f>
        <v>20.5</v>
      </c>
      <c r="CG22" s="27">
        <f>Examscore!P22</f>
        <v>9</v>
      </c>
      <c r="CH22" s="27">
        <f>Examscore!Q22</f>
        <v>13.5</v>
      </c>
      <c r="CI22" s="27">
        <f>Examscore!R22</f>
        <v>6</v>
      </c>
      <c r="CJ22" s="27">
        <f>Examscore!S22</f>
        <v>3.5</v>
      </c>
      <c r="CK22" s="27">
        <f>Examscore!T22</f>
        <v>4.5</v>
      </c>
      <c r="CL22" s="27">
        <f>Examscore!U22</f>
        <v>11</v>
      </c>
      <c r="CM22" s="27">
        <f>Examscore!V22</f>
        <v>15.5</v>
      </c>
    </row>
    <row r="23" spans="1:91" ht="15.75" x14ac:dyDescent="0.25">
      <c r="A23" s="5">
        <f>Student!A23</f>
        <v>645</v>
      </c>
      <c r="B23" s="21" t="str">
        <f>Student!B23</f>
        <v xml:space="preserve">TAGBOR MICHAEL </v>
      </c>
      <c r="C23" s="28">
        <f>ClassScore!M23+Examscore!M23</f>
        <v>49.5</v>
      </c>
      <c r="D23" s="28">
        <f>ClassScore!N23+Examscore!N23</f>
        <v>48</v>
      </c>
      <c r="E23" s="28">
        <f>ClassScore!O23+Examscore!O23</f>
        <v>51</v>
      </c>
      <c r="F23" s="28">
        <f>ClassScore!P23+Examscore!P23</f>
        <v>27</v>
      </c>
      <c r="G23" s="28">
        <f>ClassScore!Q23+Examscore!Q23</f>
        <v>48</v>
      </c>
      <c r="H23" s="28">
        <f>ClassScore!R23+Examscore!R23</f>
        <v>45</v>
      </c>
      <c r="I23" s="28">
        <f>ClassScore!S23+Examscore!S23</f>
        <v>31.5</v>
      </c>
      <c r="J23" s="28">
        <f>ClassScore!T23+Examscore!T23</f>
        <v>25.5</v>
      </c>
      <c r="K23" s="28">
        <f>ClassScore!U23+Examscore!U23</f>
        <v>44.5</v>
      </c>
      <c r="L23" s="28">
        <f>ClassScore!V23+Examscore!V23</f>
        <v>56.5</v>
      </c>
      <c r="M23" s="5" t="str">
        <f t="shared" si="22"/>
        <v>Lower</v>
      </c>
      <c r="N23" s="5" t="str">
        <f t="shared" si="23"/>
        <v>Lower</v>
      </c>
      <c r="O23" s="5" t="str">
        <f t="shared" si="24"/>
        <v>Low</v>
      </c>
      <c r="P23" s="5" t="str">
        <f t="shared" si="25"/>
        <v>Lowest</v>
      </c>
      <c r="Q23" s="5" t="str">
        <f t="shared" si="26"/>
        <v>Lower</v>
      </c>
      <c r="R23" s="5" t="str">
        <f t="shared" si="27"/>
        <v>Lower</v>
      </c>
      <c r="S23" s="5" t="str">
        <f t="shared" si="28"/>
        <v>Lowest</v>
      </c>
      <c r="T23" s="5" t="str">
        <f t="shared" si="29"/>
        <v>Lowest</v>
      </c>
      <c r="U23" s="5" t="str">
        <f t="shared" si="30"/>
        <v>Lower</v>
      </c>
      <c r="V23" s="5" t="str">
        <f t="shared" si="31"/>
        <v>Low Average</v>
      </c>
      <c r="W23" s="5">
        <f t="shared" si="32"/>
        <v>8</v>
      </c>
      <c r="X23" s="5">
        <f t="shared" si="33"/>
        <v>8</v>
      </c>
      <c r="Y23" s="5">
        <f t="shared" si="34"/>
        <v>7</v>
      </c>
      <c r="Z23" s="5">
        <f t="shared" si="35"/>
        <v>9</v>
      </c>
      <c r="AA23" s="5">
        <f t="shared" si="36"/>
        <v>8</v>
      </c>
      <c r="AB23" s="5">
        <f t="shared" si="37"/>
        <v>8</v>
      </c>
      <c r="AC23" s="5">
        <f t="shared" si="38"/>
        <v>9</v>
      </c>
      <c r="AD23" s="5">
        <f t="shared" si="39"/>
        <v>9</v>
      </c>
      <c r="AE23" s="5">
        <f t="shared" si="40"/>
        <v>8</v>
      </c>
      <c r="AF23" s="5">
        <f t="shared" si="41"/>
        <v>6</v>
      </c>
      <c r="AG23" s="34">
        <f>SUM(C23,D23,F23,G23)+LARGE((E23,H23,I23,J23,K23,L23),1)+LARGE((E23,H23,I23,J23,K23,L23),2)</f>
        <v>280</v>
      </c>
      <c r="AH23" s="5">
        <f>SUM(W23,X23,Z23,AA23)+SMALL((Y23,AB23,AC23,AD23,AE23,AF23),1)+SMALL((Y23,AB23,AC23,AD23,AE23,AF23),2)</f>
        <v>46</v>
      </c>
      <c r="AI23" s="15" t="str">
        <f>'Teacher''s Remarks'!M24</f>
        <v>PATIENCE AFUA MENSAH</v>
      </c>
      <c r="AJ23" s="15" t="str">
        <f>'Teacher''s Remarks'!N24</f>
        <v>Calm</v>
      </c>
      <c r="AK23" s="15" t="str">
        <f>'Teacher''s Remarks'!O24</f>
        <v>Slow to learning</v>
      </c>
      <c r="AL23" s="15" t="str">
        <f>'Teacher''s Remarks'!P24</f>
        <v>He can do better than this. Sit up!</v>
      </c>
      <c r="AM23" s="13" t="str">
        <f t="shared" si="42"/>
        <v xml:space="preserve">TAGBOR MICHAEL </v>
      </c>
      <c r="AN23" s="14">
        <f>Attendance!B23</f>
        <v>64</v>
      </c>
      <c r="AO23" s="15"/>
      <c r="AP23" s="15"/>
      <c r="AQ23" s="22">
        <f t="shared" ca="1" si="43"/>
        <v>45764</v>
      </c>
      <c r="AR23" s="15"/>
      <c r="AT23" s="12">
        <f t="shared" si="11"/>
        <v>50</v>
      </c>
      <c r="AU23" t="str">
        <f>IF(OR(VALUE(RIGHT(AT23,5))={11,12,13}),"th",IF(OR(VALUE(RIGHT(AT23))={1,2,3}),CHOOSE(RIGHT(AT23),"st","nd","rd"),"th"))</f>
        <v>th</v>
      </c>
      <c r="AV23">
        <f t="shared" si="12"/>
        <v>47</v>
      </c>
      <c r="AW23" t="str">
        <f>IF(OR(VALUE(RIGHT(AV23,5))={11,12,13}),"th",IF(OR(VALUE(RIGHT(AV23))={1,2,3}),CHOOSE(RIGHT(AV23),"st","nd","rd"),"th"))</f>
        <v>th</v>
      </c>
      <c r="AX23">
        <f t="shared" si="13"/>
        <v>42</v>
      </c>
      <c r="AY23" t="str">
        <f>IF(OR(VALUE(RIGHT(AX23,5))={11,12,13}),"th",IF(OR(VALUE(RIGHT(AX23))={1,2,3}),CHOOSE(RIGHT(AX23),"st","nd","rd"),"th"))</f>
        <v>nd</v>
      </c>
      <c r="AZ23">
        <f t="shared" si="14"/>
        <v>46</v>
      </c>
      <c r="BA23" t="str">
        <f>IF(OR(VALUE(RIGHT(AZ23,5))={11,12,13}),"th",IF(OR(VALUE(RIGHT(AZ23))={1,2,3}),CHOOSE(RIGHT(AZ23),"st","nd","rd"),"th"))</f>
        <v>th</v>
      </c>
      <c r="BB23">
        <f t="shared" si="15"/>
        <v>36</v>
      </c>
      <c r="BC23" t="str">
        <f>IF(OR(VALUE(RIGHT(BB23,5))={11,12,13}),"th",IF(OR(VALUE(RIGHT(BB23))={1,2,3}),CHOOSE(RIGHT(BB23),"st","nd","rd"),"th"))</f>
        <v>th</v>
      </c>
      <c r="BD23">
        <f t="shared" si="16"/>
        <v>9</v>
      </c>
      <c r="BE23" t="str">
        <f>IF(OR(VALUE(RIGHT(BD23,5))={11,12,13}),"th",IF(OR(VALUE(RIGHT(BD23))={1,2,3}),CHOOSE(RIGHT(BD23),"st","nd","rd"),"th"))</f>
        <v>th</v>
      </c>
      <c r="BF23">
        <f t="shared" si="17"/>
        <v>47</v>
      </c>
      <c r="BG23" t="str">
        <f>IF(OR(VALUE(RIGHT(BF23,5))={11,12,13}),"th",IF(OR(VALUE(RIGHT(BF23))={1,2,3}),CHOOSE(RIGHT(BF23),"st","nd","rd"),"th"))</f>
        <v>th</v>
      </c>
      <c r="BH23">
        <f t="shared" si="18"/>
        <v>49</v>
      </c>
      <c r="BI23" t="str">
        <f>IF(OR(VALUE(RIGHT(BH23,5))={11,12,13}),"th",IF(OR(VALUE(RIGHT(BH23))={1,2,3}),CHOOSE(RIGHT(BH23),"st","nd","rd"),"th"))</f>
        <v>th</v>
      </c>
      <c r="BJ23">
        <f t="shared" si="19"/>
        <v>28</v>
      </c>
      <c r="BK23" t="str" cm="1">
        <f t="array" ref="BK23">IF(OR(VALUE(RIGHT(BJ23,5))={11,12,13}),"th",IF(OR(VALUE(RIGHT(BJ23))={1,2,3}),CHOOSE(RIGHT(BJ23),"st","nd","rd"),"th"))</f>
        <v>th</v>
      </c>
      <c r="BL23">
        <f t="shared" si="20"/>
        <v>26</v>
      </c>
      <c r="BM23" t="str">
        <f>IF(OR(VALUE(RIGHT(BL23,5))={11,12,13}),"th",IF(OR(VALUE(RIGHT(BL23))={1,2,3}),CHOOSE(RIGHT(BL23),"st","nd","rd"),"th"))</f>
        <v>th</v>
      </c>
      <c r="BO23" s="30">
        <f t="shared" si="44"/>
        <v>426.5</v>
      </c>
      <c r="BP23">
        <f t="shared" si="21"/>
        <v>44</v>
      </c>
      <c r="BQ23" t="str">
        <f>IF(OR(VALUE(RIGHT(BP23,5))={11,12,13}),"th",IF(OR(VALUE(RIGHT(BP23))={1,2,3}),CHOOSE(RIGHT(BP23),"st","nd","rd"),"th"))</f>
        <v>th</v>
      </c>
      <c r="BS23" s="27">
        <f>ClassScore!M23</f>
        <v>36</v>
      </c>
      <c r="BT23" s="27">
        <f>ClassScore!N23</f>
        <v>34.5</v>
      </c>
      <c r="BU23" s="27">
        <f>ClassScore!O23</f>
        <v>27.5</v>
      </c>
      <c r="BV23" s="27">
        <f>ClassScore!P23</f>
        <v>15.5</v>
      </c>
      <c r="BW23" s="27">
        <f>ClassScore!Q23</f>
        <v>33.5</v>
      </c>
      <c r="BX23" s="27">
        <f>ClassScore!R23</f>
        <v>33</v>
      </c>
      <c r="BY23" s="27">
        <f>ClassScore!S23</f>
        <v>15</v>
      </c>
      <c r="BZ23" s="27">
        <f>ClassScore!T23</f>
        <v>15</v>
      </c>
      <c r="CA23" s="27">
        <f>ClassScore!U23</f>
        <v>28.5</v>
      </c>
      <c r="CB23" s="27">
        <f>ClassScore!V23</f>
        <v>38</v>
      </c>
      <c r="CD23" s="27">
        <f>Examscore!M23</f>
        <v>13.5</v>
      </c>
      <c r="CE23" s="27">
        <f>Examscore!N23</f>
        <v>13.5</v>
      </c>
      <c r="CF23" s="27">
        <f>Examscore!O23</f>
        <v>23.5</v>
      </c>
      <c r="CG23" s="27">
        <f>Examscore!P23</f>
        <v>11.5</v>
      </c>
      <c r="CH23" s="27">
        <f>Examscore!Q23</f>
        <v>14.5</v>
      </c>
      <c r="CI23" s="27">
        <f>Examscore!R23</f>
        <v>12</v>
      </c>
      <c r="CJ23" s="27">
        <f>Examscore!S23</f>
        <v>16.5</v>
      </c>
      <c r="CK23" s="27">
        <f>Examscore!T23</f>
        <v>10.5</v>
      </c>
      <c r="CL23" s="27">
        <f>Examscore!U23</f>
        <v>16</v>
      </c>
      <c r="CM23" s="27">
        <f>Examscore!V23</f>
        <v>18.5</v>
      </c>
    </row>
    <row r="24" spans="1:91" ht="15.75" x14ac:dyDescent="0.25">
      <c r="A24" s="5">
        <f>Student!A24</f>
        <v>4070</v>
      </c>
      <c r="B24" s="21" t="str">
        <f>Student!B24</f>
        <v xml:space="preserve">ACQUAH PRISCILLA  </v>
      </c>
      <c r="C24" s="28">
        <f>ClassScore!M24+Examscore!M24</f>
        <v>57</v>
      </c>
      <c r="D24" s="28">
        <f>ClassScore!N24+Examscore!N24</f>
        <v>53.5</v>
      </c>
      <c r="E24" s="28">
        <f>ClassScore!O24+Examscore!O24</f>
        <v>58</v>
      </c>
      <c r="F24" s="28">
        <f>ClassScore!P24+Examscore!P24</f>
        <v>38</v>
      </c>
      <c r="G24" s="28">
        <f>ClassScore!Q24+Examscore!Q24</f>
        <v>60</v>
      </c>
      <c r="H24" s="28">
        <f>ClassScore!R24+Examscore!R24</f>
        <v>54</v>
      </c>
      <c r="I24" s="28">
        <f>ClassScore!S24+Examscore!S24</f>
        <v>58</v>
      </c>
      <c r="J24" s="28">
        <f>ClassScore!T24+Examscore!T24</f>
        <v>34.5</v>
      </c>
      <c r="K24" s="28">
        <f>ClassScore!U24+Examscore!U24</f>
        <v>51</v>
      </c>
      <c r="L24" s="28">
        <f>ClassScore!V24+Examscore!V24</f>
        <v>57</v>
      </c>
      <c r="M24" s="5" t="str">
        <f t="shared" si="22"/>
        <v>Low Average</v>
      </c>
      <c r="N24" s="5" t="str">
        <f t="shared" si="23"/>
        <v>Low</v>
      </c>
      <c r="O24" s="5" t="str">
        <f t="shared" si="24"/>
        <v>Low Average</v>
      </c>
      <c r="P24" s="5" t="str">
        <f t="shared" si="25"/>
        <v>Lowest</v>
      </c>
      <c r="Q24" s="5" t="str">
        <f t="shared" si="26"/>
        <v>Average</v>
      </c>
      <c r="R24" s="5" t="str">
        <f t="shared" si="27"/>
        <v>Low</v>
      </c>
      <c r="S24" s="5" t="str">
        <f t="shared" si="28"/>
        <v>Low Average</v>
      </c>
      <c r="T24" s="5" t="str">
        <f t="shared" si="29"/>
        <v>Lowest</v>
      </c>
      <c r="U24" s="5" t="str">
        <f t="shared" si="30"/>
        <v>Low</v>
      </c>
      <c r="V24" s="5" t="str">
        <f t="shared" si="31"/>
        <v>Low Average</v>
      </c>
      <c r="W24" s="5">
        <f t="shared" si="32"/>
        <v>6</v>
      </c>
      <c r="X24" s="5">
        <f t="shared" si="33"/>
        <v>7</v>
      </c>
      <c r="Y24" s="5">
        <f t="shared" si="34"/>
        <v>6</v>
      </c>
      <c r="Z24" s="5">
        <f t="shared" si="35"/>
        <v>9</v>
      </c>
      <c r="AA24" s="5">
        <f t="shared" si="36"/>
        <v>5</v>
      </c>
      <c r="AB24" s="5">
        <f t="shared" si="37"/>
        <v>7</v>
      </c>
      <c r="AC24" s="5">
        <f t="shared" si="38"/>
        <v>6</v>
      </c>
      <c r="AD24" s="5">
        <f t="shared" si="39"/>
        <v>9</v>
      </c>
      <c r="AE24" s="5">
        <f t="shared" si="40"/>
        <v>7</v>
      </c>
      <c r="AF24" s="5">
        <f t="shared" si="41"/>
        <v>6</v>
      </c>
      <c r="AG24" s="34">
        <f>SUM(C24,D24,F24,G24)+LARGE((E24,H24,I24,J24,K24,L24),1)+LARGE((E24,H24,I24,J24,K24,L24),2)</f>
        <v>324.5</v>
      </c>
      <c r="AH24" s="5">
        <f>SUM(W24,X24,Z24,AA24)+SMALL((Y24,AB24,AC24,AD24,AE24,AF24),1)+SMALL((Y24,AB24,AC24,AD24,AE24,AF24),2)</f>
        <v>39</v>
      </c>
      <c r="AI24" s="15" t="str">
        <f>'Teacher''s Remarks'!M25</f>
        <v>PATIENCE AFUA MENSAH</v>
      </c>
      <c r="AJ24" s="15" t="str">
        <f>'Teacher''s Remarks'!N25</f>
        <v>Hardworking</v>
      </c>
      <c r="AK24" s="15" t="str">
        <f>'Teacher''s Remarks'!O25</f>
        <v>Slow to learning</v>
      </c>
      <c r="AL24" s="15" t="str">
        <f>'Teacher''s Remarks'!P25</f>
        <v>You have the potential to excel</v>
      </c>
      <c r="AM24" s="13" t="str">
        <f t="shared" si="42"/>
        <v xml:space="preserve">ACQUAH PRISCILLA  </v>
      </c>
      <c r="AN24" s="14">
        <f>Attendance!B24</f>
        <v>64</v>
      </c>
      <c r="AO24" s="15"/>
      <c r="AP24" s="15"/>
      <c r="AQ24" s="22">
        <f t="shared" ca="1" si="43"/>
        <v>45764</v>
      </c>
      <c r="AR24" s="15"/>
      <c r="AT24" s="12">
        <f t="shared" si="11"/>
        <v>25</v>
      </c>
      <c r="AU24" t="str">
        <f>IF(OR(VALUE(RIGHT(AT24,5))={11,12,13}),"th",IF(OR(VALUE(RIGHT(AT24))={1,2,3}),CHOOSE(RIGHT(AT24),"st","nd","rd"),"th"))</f>
        <v>th</v>
      </c>
      <c r="AV24">
        <f t="shared" si="12"/>
        <v>32</v>
      </c>
      <c r="AW24" t="str">
        <f>IF(OR(VALUE(RIGHT(AV24,5))={11,12,13}),"th",IF(OR(VALUE(RIGHT(AV24))={1,2,3}),CHOOSE(RIGHT(AV24),"st","nd","rd"),"th"))</f>
        <v>nd</v>
      </c>
      <c r="AX24">
        <f t="shared" si="13"/>
        <v>29</v>
      </c>
      <c r="AY24" t="str">
        <f>IF(OR(VALUE(RIGHT(AX24,5))={11,12,13}),"th",IF(OR(VALUE(RIGHT(AX24))={1,2,3}),CHOOSE(RIGHT(AX24),"st","nd","rd"),"th"))</f>
        <v>th</v>
      </c>
      <c r="AZ24">
        <f t="shared" si="14"/>
        <v>32</v>
      </c>
      <c r="BA24" t="str">
        <f>IF(OR(VALUE(RIGHT(AZ24,5))={11,12,13}),"th",IF(OR(VALUE(RIGHT(AZ24))={1,2,3}),CHOOSE(RIGHT(AZ24),"st","nd","rd"),"th"))</f>
        <v>nd</v>
      </c>
      <c r="BB24">
        <f t="shared" si="15"/>
        <v>10</v>
      </c>
      <c r="BC24" t="str">
        <f>IF(OR(VALUE(RIGHT(BB24,5))={11,12,13}),"th",IF(OR(VALUE(RIGHT(BB24))={1,2,3}),CHOOSE(RIGHT(BB24),"st","nd","rd"),"th"))</f>
        <v>th</v>
      </c>
      <c r="BD24">
        <f t="shared" si="16"/>
        <v>2</v>
      </c>
      <c r="BE24" t="str">
        <f>IF(OR(VALUE(RIGHT(BD24,5))={11,12,13}),"th",IF(OR(VALUE(RIGHT(BD24))={1,2,3}),CHOOSE(RIGHT(BD24),"st","nd","rd"),"th"))</f>
        <v>nd</v>
      </c>
      <c r="BF24">
        <f t="shared" si="17"/>
        <v>3</v>
      </c>
      <c r="BG24" t="str">
        <f>IF(OR(VALUE(RIGHT(BF24,5))={11,12,13}),"th",IF(OR(VALUE(RIGHT(BF24))={1,2,3}),CHOOSE(RIGHT(BF24),"st","nd","rd"),"th"))</f>
        <v>rd</v>
      </c>
      <c r="BH24">
        <f t="shared" si="18"/>
        <v>32</v>
      </c>
      <c r="BI24" t="str">
        <f>IF(OR(VALUE(RIGHT(BH24,5))={11,12,13}),"th",IF(OR(VALUE(RIGHT(BH24))={1,2,3}),CHOOSE(RIGHT(BH24),"st","nd","rd"),"th"))</f>
        <v>nd</v>
      </c>
      <c r="BJ24">
        <f t="shared" si="19"/>
        <v>14</v>
      </c>
      <c r="BK24" t="str" cm="1">
        <f t="array" ref="BK24">IF(OR(VALUE(RIGHT(BJ24,5))={11,12,13}),"th",IF(OR(VALUE(RIGHT(BJ24))={1,2,3}),CHOOSE(RIGHT(BJ24),"st","nd","rd"),"th"))</f>
        <v>th</v>
      </c>
      <c r="BL24">
        <f t="shared" si="20"/>
        <v>24</v>
      </c>
      <c r="BM24" t="str">
        <f>IF(OR(VALUE(RIGHT(BL24,5))={11,12,13}),"th",IF(OR(VALUE(RIGHT(BL24))={1,2,3}),CHOOSE(RIGHT(BL24),"st","nd","rd"),"th"))</f>
        <v>th</v>
      </c>
      <c r="BO24" s="30">
        <f t="shared" si="44"/>
        <v>521</v>
      </c>
      <c r="BP24">
        <f t="shared" si="21"/>
        <v>14</v>
      </c>
      <c r="BQ24" t="str">
        <f>IF(OR(VALUE(RIGHT(BP24,5))={11,12,13}),"th",IF(OR(VALUE(RIGHT(BP24))={1,2,3}),CHOOSE(RIGHT(BP24),"st","nd","rd"),"th"))</f>
        <v>th</v>
      </c>
      <c r="BS24" s="27">
        <f>ClassScore!M24</f>
        <v>41</v>
      </c>
      <c r="BT24" s="27">
        <f>ClassScore!N24</f>
        <v>37.5</v>
      </c>
      <c r="BU24" s="27">
        <f>ClassScore!O24</f>
        <v>21.5</v>
      </c>
      <c r="BV24" s="27">
        <f>ClassScore!P24</f>
        <v>29</v>
      </c>
      <c r="BW24" s="27">
        <f>ClassScore!Q24</f>
        <v>36.5</v>
      </c>
      <c r="BX24" s="27">
        <f>ClassScore!R24</f>
        <v>39</v>
      </c>
      <c r="BY24" s="27">
        <f>ClassScore!S24</f>
        <v>35</v>
      </c>
      <c r="BZ24" s="27">
        <f>ClassScore!T24</f>
        <v>20.5</v>
      </c>
      <c r="CA24" s="27">
        <f>ClassScore!U24</f>
        <v>25</v>
      </c>
      <c r="CB24" s="27">
        <f>ClassScore!V24</f>
        <v>37.5</v>
      </c>
      <c r="CD24" s="27">
        <f>Examscore!M24</f>
        <v>16</v>
      </c>
      <c r="CE24" s="27">
        <f>Examscore!N24</f>
        <v>16</v>
      </c>
      <c r="CF24" s="27">
        <f>Examscore!O24</f>
        <v>36.5</v>
      </c>
      <c r="CG24" s="27">
        <f>Examscore!P24</f>
        <v>9</v>
      </c>
      <c r="CH24" s="27">
        <f>Examscore!Q24</f>
        <v>23.5</v>
      </c>
      <c r="CI24" s="27">
        <f>Examscore!R24</f>
        <v>15</v>
      </c>
      <c r="CJ24" s="27">
        <f>Examscore!S24</f>
        <v>23</v>
      </c>
      <c r="CK24" s="27">
        <f>Examscore!T24</f>
        <v>14</v>
      </c>
      <c r="CL24" s="27">
        <f>Examscore!U24</f>
        <v>26</v>
      </c>
      <c r="CM24" s="27">
        <f>Examscore!V24</f>
        <v>19.5</v>
      </c>
    </row>
    <row r="25" spans="1:91" ht="15.75" x14ac:dyDescent="0.25">
      <c r="A25" s="5">
        <f>Student!A25</f>
        <v>624</v>
      </c>
      <c r="B25" s="21" t="str">
        <f>Student!B25</f>
        <v xml:space="preserve">ADI ROSE  </v>
      </c>
      <c r="C25" s="28">
        <f>ClassScore!M25+Examscore!M25</f>
        <v>54</v>
      </c>
      <c r="D25" s="28">
        <f>ClassScore!N25+Examscore!N25</f>
        <v>53</v>
      </c>
      <c r="E25" s="28">
        <f>ClassScore!O25+Examscore!O25</f>
        <v>49</v>
      </c>
      <c r="F25" s="28">
        <f>ClassScore!P25+Examscore!P25</f>
        <v>54</v>
      </c>
      <c r="G25" s="28">
        <f>ClassScore!Q25+Examscore!Q25</f>
        <v>60</v>
      </c>
      <c r="H25" s="28">
        <f>ClassScore!R25+Examscore!R25</f>
        <v>44.5</v>
      </c>
      <c r="I25" s="28">
        <f>ClassScore!S25+Examscore!S25</f>
        <v>55.5</v>
      </c>
      <c r="J25" s="28">
        <f>ClassScore!T25+Examscore!T25</f>
        <v>47</v>
      </c>
      <c r="K25" s="28">
        <f>ClassScore!U25+Examscore!U25</f>
        <v>37.5</v>
      </c>
      <c r="L25" s="28">
        <f>ClassScore!V25+Examscore!V25</f>
        <v>56</v>
      </c>
      <c r="M25" s="5" t="str">
        <f t="shared" si="22"/>
        <v>Low</v>
      </c>
      <c r="N25" s="5" t="str">
        <f t="shared" si="23"/>
        <v>Low</v>
      </c>
      <c r="O25" s="5" t="str">
        <f t="shared" si="24"/>
        <v>Lower</v>
      </c>
      <c r="P25" s="5" t="str">
        <f t="shared" si="25"/>
        <v>Low</v>
      </c>
      <c r="Q25" s="5" t="str">
        <f t="shared" si="26"/>
        <v>Average</v>
      </c>
      <c r="R25" s="5" t="str">
        <f t="shared" si="27"/>
        <v>Lower</v>
      </c>
      <c r="S25" s="5" t="str">
        <f t="shared" si="28"/>
        <v>Low Average</v>
      </c>
      <c r="T25" s="5" t="str">
        <f t="shared" si="29"/>
        <v>Lower</v>
      </c>
      <c r="U25" s="5" t="str">
        <f t="shared" si="30"/>
        <v>Lowest</v>
      </c>
      <c r="V25" s="5" t="str">
        <f t="shared" si="31"/>
        <v>Low Average</v>
      </c>
      <c r="W25" s="5">
        <f t="shared" si="32"/>
        <v>7</v>
      </c>
      <c r="X25" s="5">
        <f t="shared" si="33"/>
        <v>7</v>
      </c>
      <c r="Y25" s="5">
        <f t="shared" si="34"/>
        <v>8</v>
      </c>
      <c r="Z25" s="5">
        <f t="shared" si="35"/>
        <v>7</v>
      </c>
      <c r="AA25" s="5">
        <f t="shared" si="36"/>
        <v>5</v>
      </c>
      <c r="AB25" s="5">
        <f t="shared" si="37"/>
        <v>8</v>
      </c>
      <c r="AC25" s="5">
        <f t="shared" si="38"/>
        <v>6</v>
      </c>
      <c r="AD25" s="5">
        <f t="shared" si="39"/>
        <v>8</v>
      </c>
      <c r="AE25" s="5">
        <f t="shared" si="40"/>
        <v>9</v>
      </c>
      <c r="AF25" s="5">
        <f t="shared" si="41"/>
        <v>6</v>
      </c>
      <c r="AG25" s="34">
        <f>SUM(C25,D25,F25,G25)+LARGE((E25,H25,I25,J25,K25,L25),1)+LARGE((E25,H25,I25,J25,K25,L25),2)</f>
        <v>332.5</v>
      </c>
      <c r="AH25" s="5">
        <f>SUM(W25,X25,Z25,AA25)+SMALL((Y25,AB25,AC25,AD25,AE25,AF25),1)+SMALL((Y25,AB25,AC25,AD25,AE25,AF25),2)</f>
        <v>38</v>
      </c>
      <c r="AI25" s="15" t="str">
        <f>'Teacher''s Remarks'!M26</f>
        <v>PATIENCE AFUA MENSAH</v>
      </c>
      <c r="AJ25" s="15" t="str">
        <f>'Teacher''s Remarks'!N26</f>
        <v>playful</v>
      </c>
      <c r="AK25" s="15" t="str">
        <f>'Teacher''s Remarks'!O26</f>
        <v>Participates in class</v>
      </c>
      <c r="AL25" s="15" t="str">
        <f>'Teacher''s Remarks'!P26</f>
        <v>Needs special attention at home</v>
      </c>
      <c r="AM25" s="13" t="str">
        <f t="shared" si="42"/>
        <v xml:space="preserve">ADI ROSE  </v>
      </c>
      <c r="AN25" s="14">
        <f>Attendance!B25</f>
        <v>67</v>
      </c>
      <c r="AO25" s="15"/>
      <c r="AP25" s="15"/>
      <c r="AQ25" s="22">
        <f t="shared" ca="1" si="43"/>
        <v>45764</v>
      </c>
      <c r="AR25" s="15"/>
      <c r="AT25" s="12">
        <f t="shared" si="11"/>
        <v>34</v>
      </c>
      <c r="AU25" t="str">
        <f>IF(OR(VALUE(RIGHT(AT25,5))={11,12,13}),"th",IF(OR(VALUE(RIGHT(AT25))={1,2,3}),CHOOSE(RIGHT(AT25),"st","nd","rd"),"th"))</f>
        <v>th</v>
      </c>
      <c r="AV25">
        <f t="shared" si="12"/>
        <v>33</v>
      </c>
      <c r="AW25" t="str">
        <f>IF(OR(VALUE(RIGHT(AV25,5))={11,12,13}),"th",IF(OR(VALUE(RIGHT(AV25))={1,2,3}),CHOOSE(RIGHT(AV25),"st","nd","rd"),"th"))</f>
        <v>rd</v>
      </c>
      <c r="AX25">
        <f t="shared" si="13"/>
        <v>46</v>
      </c>
      <c r="AY25" t="str">
        <f>IF(OR(VALUE(RIGHT(AX25,5))={11,12,13}),"th",IF(OR(VALUE(RIGHT(AX25))={1,2,3}),CHOOSE(RIGHT(AX25),"st","nd","rd"),"th"))</f>
        <v>th</v>
      </c>
      <c r="AZ25">
        <f t="shared" si="14"/>
        <v>6</v>
      </c>
      <c r="BA25" t="str">
        <f>IF(OR(VALUE(RIGHT(AZ25,5))={11,12,13}),"th",IF(OR(VALUE(RIGHT(AZ25))={1,2,3}),CHOOSE(RIGHT(AZ25),"st","nd","rd"),"th"))</f>
        <v>th</v>
      </c>
      <c r="BB25">
        <f t="shared" si="15"/>
        <v>10</v>
      </c>
      <c r="BC25" t="str">
        <f>IF(OR(VALUE(RIGHT(BB25,5))={11,12,13}),"th",IF(OR(VALUE(RIGHT(BB25))={1,2,3}),CHOOSE(RIGHT(BB25),"st","nd","rd"),"th"))</f>
        <v>th</v>
      </c>
      <c r="BD25">
        <f t="shared" si="16"/>
        <v>10</v>
      </c>
      <c r="BE25" t="str">
        <f>IF(OR(VALUE(RIGHT(BD25,5))={11,12,13}),"th",IF(OR(VALUE(RIGHT(BD25))={1,2,3}),CHOOSE(RIGHT(BD25),"st","nd","rd"),"th"))</f>
        <v>th</v>
      </c>
      <c r="BF25">
        <f t="shared" si="17"/>
        <v>6</v>
      </c>
      <c r="BG25" t="str">
        <f>IF(OR(VALUE(RIGHT(BF25,5))={11,12,13}),"th",IF(OR(VALUE(RIGHT(BF25))={1,2,3}),CHOOSE(RIGHT(BF25),"st","nd","rd"),"th"))</f>
        <v>th</v>
      </c>
      <c r="BH25">
        <f t="shared" si="18"/>
        <v>15</v>
      </c>
      <c r="BI25" t="str">
        <f>IF(OR(VALUE(RIGHT(BH25,5))={11,12,13}),"th",IF(OR(VALUE(RIGHT(BH25))={1,2,3}),CHOOSE(RIGHT(BH25),"st","nd","rd"),"th"))</f>
        <v>th</v>
      </c>
      <c r="BJ25">
        <f t="shared" si="19"/>
        <v>43</v>
      </c>
      <c r="BK25" t="str" cm="1">
        <f t="array" ref="BK25">IF(OR(VALUE(RIGHT(BJ25,5))={11,12,13}),"th",IF(OR(VALUE(RIGHT(BJ25))={1,2,3}),CHOOSE(RIGHT(BJ25),"st","nd","rd"),"th"))</f>
        <v>rd</v>
      </c>
      <c r="BL25">
        <f t="shared" si="20"/>
        <v>28</v>
      </c>
      <c r="BM25" t="str">
        <f>IF(OR(VALUE(RIGHT(BL25,5))={11,12,13}),"th",IF(OR(VALUE(RIGHT(BL25))={1,2,3}),CHOOSE(RIGHT(BL25),"st","nd","rd"),"th"))</f>
        <v>th</v>
      </c>
      <c r="BO25" s="30">
        <f t="shared" si="44"/>
        <v>510.5</v>
      </c>
      <c r="BP25">
        <f t="shared" si="21"/>
        <v>16</v>
      </c>
      <c r="BQ25" t="str">
        <f>IF(OR(VALUE(RIGHT(BP25,5))={11,12,13}),"th",IF(OR(VALUE(RIGHT(BP25))={1,2,3}),CHOOSE(RIGHT(BP25),"st","nd","rd"),"th"))</f>
        <v>th</v>
      </c>
      <c r="BS25" s="27">
        <f>ClassScore!M25</f>
        <v>45</v>
      </c>
      <c r="BT25" s="27">
        <f>ClassScore!N25</f>
        <v>44</v>
      </c>
      <c r="BU25" s="27">
        <f>ClassScore!O25</f>
        <v>21.5</v>
      </c>
      <c r="BV25" s="27">
        <f>ClassScore!P25</f>
        <v>41.5</v>
      </c>
      <c r="BW25" s="27">
        <f>ClassScore!Q25</f>
        <v>42</v>
      </c>
      <c r="BX25" s="27">
        <f>ClassScore!R25</f>
        <v>26.5</v>
      </c>
      <c r="BY25" s="27">
        <f>ClassScore!S25</f>
        <v>28</v>
      </c>
      <c r="BZ25" s="27">
        <f>ClassScore!T25</f>
        <v>26.5</v>
      </c>
      <c r="CA25" s="27">
        <f>ClassScore!U25</f>
        <v>19.5</v>
      </c>
      <c r="CB25" s="27">
        <f>ClassScore!V25</f>
        <v>39.5</v>
      </c>
      <c r="CD25" s="27">
        <f>Examscore!M25</f>
        <v>9</v>
      </c>
      <c r="CE25" s="27">
        <f>Examscore!N25</f>
        <v>9</v>
      </c>
      <c r="CF25" s="27">
        <f>Examscore!O25</f>
        <v>27.5</v>
      </c>
      <c r="CG25" s="27">
        <f>Examscore!P25</f>
        <v>12.5</v>
      </c>
      <c r="CH25" s="27">
        <f>Examscore!Q25</f>
        <v>18</v>
      </c>
      <c r="CI25" s="27">
        <f>Examscore!R25</f>
        <v>18</v>
      </c>
      <c r="CJ25" s="27">
        <f>Examscore!S25</f>
        <v>27.5</v>
      </c>
      <c r="CK25" s="27">
        <f>Examscore!T25</f>
        <v>20.5</v>
      </c>
      <c r="CL25" s="27">
        <f>Examscore!U25</f>
        <v>18</v>
      </c>
      <c r="CM25" s="27">
        <f>Examscore!V25</f>
        <v>16.5</v>
      </c>
    </row>
    <row r="26" spans="1:91" ht="15.75" x14ac:dyDescent="0.25">
      <c r="A26" s="5">
        <f>Student!A26</f>
        <v>387</v>
      </c>
      <c r="B26" s="21" t="str">
        <f>Student!B26</f>
        <v xml:space="preserve">ADOMAKO PRISCILLA  </v>
      </c>
      <c r="C26" s="28">
        <f>ClassScore!M26+Examscore!M26</f>
        <v>47</v>
      </c>
      <c r="D26" s="28">
        <f>ClassScore!N26+Examscore!N26</f>
        <v>48.5</v>
      </c>
      <c r="E26" s="28">
        <f>ClassScore!O26+Examscore!O26</f>
        <v>54.5</v>
      </c>
      <c r="F26" s="28">
        <f>ClassScore!P26+Examscore!P26</f>
        <v>55.5</v>
      </c>
      <c r="G26" s="28">
        <f>ClassScore!Q26+Examscore!Q26</f>
        <v>60.5</v>
      </c>
      <c r="H26" s="28">
        <f>ClassScore!R26+Examscore!R26</f>
        <v>45.5</v>
      </c>
      <c r="I26" s="28">
        <f>ClassScore!S26+Examscore!S26</f>
        <v>34</v>
      </c>
      <c r="J26" s="28">
        <f>ClassScore!T26+Examscore!T26</f>
        <v>38.5</v>
      </c>
      <c r="K26" s="28">
        <f>ClassScore!U26+Examscore!U26</f>
        <v>40.5</v>
      </c>
      <c r="L26" s="28">
        <f>ClassScore!V26+Examscore!V26</f>
        <v>60.5</v>
      </c>
      <c r="M26" s="5" t="str">
        <f t="shared" si="22"/>
        <v>Lower</v>
      </c>
      <c r="N26" s="5" t="str">
        <f t="shared" si="23"/>
        <v>Lower</v>
      </c>
      <c r="O26" s="5" t="str">
        <f t="shared" si="24"/>
        <v>Low</v>
      </c>
      <c r="P26" s="5" t="str">
        <f t="shared" si="25"/>
        <v>Low Average</v>
      </c>
      <c r="Q26" s="5" t="str">
        <f t="shared" si="26"/>
        <v>Average</v>
      </c>
      <c r="R26" s="5" t="str">
        <f t="shared" si="27"/>
        <v>Lower</v>
      </c>
      <c r="S26" s="5" t="str">
        <f t="shared" si="28"/>
        <v>Lowest</v>
      </c>
      <c r="T26" s="5" t="str">
        <f t="shared" si="29"/>
        <v>Lowest</v>
      </c>
      <c r="U26" s="5" t="str">
        <f t="shared" si="30"/>
        <v>Lower</v>
      </c>
      <c r="V26" s="5" t="str">
        <f t="shared" si="31"/>
        <v>Average</v>
      </c>
      <c r="W26" s="5">
        <f t="shared" si="32"/>
        <v>8</v>
      </c>
      <c r="X26" s="5">
        <f t="shared" si="33"/>
        <v>8</v>
      </c>
      <c r="Y26" s="5">
        <f t="shared" si="34"/>
        <v>7</v>
      </c>
      <c r="Z26" s="5">
        <f t="shared" si="35"/>
        <v>6</v>
      </c>
      <c r="AA26" s="5">
        <f t="shared" si="36"/>
        <v>5</v>
      </c>
      <c r="AB26" s="5">
        <f t="shared" si="37"/>
        <v>8</v>
      </c>
      <c r="AC26" s="5">
        <f t="shared" si="38"/>
        <v>9</v>
      </c>
      <c r="AD26" s="5">
        <f t="shared" si="39"/>
        <v>9</v>
      </c>
      <c r="AE26" s="5">
        <f t="shared" si="40"/>
        <v>8</v>
      </c>
      <c r="AF26" s="5">
        <f t="shared" si="41"/>
        <v>5</v>
      </c>
      <c r="AG26" s="34">
        <f>SUM(C26,D26,F26,G26)+LARGE((E26,H26,I26,J26,K26,L26),1)+LARGE((E26,H26,I26,J26,K26,L26),2)</f>
        <v>326.5</v>
      </c>
      <c r="AH26" s="5">
        <f>SUM(W26,X26,Z26,AA26)+SMALL((Y26,AB26,AC26,AD26,AE26,AF26),1)+SMALL((Y26,AB26,AC26,AD26,AE26,AF26),2)</f>
        <v>39</v>
      </c>
      <c r="AI26" s="15" t="str">
        <f>'Teacher''s Remarks'!M27</f>
        <v>PATIENCE AFUA MENSAH</v>
      </c>
      <c r="AJ26" s="15" t="str">
        <f>'Teacher''s Remarks'!N27</f>
        <v>Helpful</v>
      </c>
      <c r="AK26" s="15" t="str">
        <f>'Teacher''s Remarks'!O27</f>
        <v>He is regular and puntual to school</v>
      </c>
      <c r="AL26" s="15" t="str">
        <f>'Teacher''s Remarks'!P27</f>
        <v>She is doing quite well but she should sit up</v>
      </c>
      <c r="AM26" s="13" t="str">
        <f t="shared" si="42"/>
        <v xml:space="preserve">ADOMAKO PRISCILLA  </v>
      </c>
      <c r="AN26" s="14">
        <f>Attendance!B26</f>
        <v>65</v>
      </c>
      <c r="AO26" s="15"/>
      <c r="AP26" s="15"/>
      <c r="AQ26" s="22">
        <f t="shared" ca="1" si="43"/>
        <v>45764</v>
      </c>
      <c r="AR26" s="15"/>
      <c r="AT26" s="12">
        <f t="shared" si="11"/>
        <v>51</v>
      </c>
      <c r="AU26" t="str">
        <f>IF(OR(VALUE(RIGHT(AT26,5))={11,12,13}),"th",IF(OR(VALUE(RIGHT(AT26))={1,2,3}),CHOOSE(RIGHT(AT26),"st","nd","rd"),"th"))</f>
        <v>st</v>
      </c>
      <c r="AV26">
        <f t="shared" si="12"/>
        <v>46</v>
      </c>
      <c r="AW26" t="str">
        <f>IF(OR(VALUE(RIGHT(AV26,5))={11,12,13}),"th",IF(OR(VALUE(RIGHT(AV26))={1,2,3}),CHOOSE(RIGHT(AV26),"st","nd","rd"),"th"))</f>
        <v>th</v>
      </c>
      <c r="AX26">
        <f t="shared" si="13"/>
        <v>37</v>
      </c>
      <c r="AY26" t="str">
        <f>IF(OR(VALUE(RIGHT(AX26,5))={11,12,13}),"th",IF(OR(VALUE(RIGHT(AX26))={1,2,3}),CHOOSE(RIGHT(AX26),"st","nd","rd"),"th"))</f>
        <v>th</v>
      </c>
      <c r="AZ26">
        <f t="shared" si="14"/>
        <v>5</v>
      </c>
      <c r="BA26" t="str">
        <f>IF(OR(VALUE(RIGHT(AZ26,5))={11,12,13}),"th",IF(OR(VALUE(RIGHT(AZ26))={1,2,3}),CHOOSE(RIGHT(AZ26),"st","nd","rd"),"th"))</f>
        <v>th</v>
      </c>
      <c r="BB26">
        <f t="shared" si="15"/>
        <v>9</v>
      </c>
      <c r="BC26" t="str">
        <f>IF(OR(VALUE(RIGHT(BB26,5))={11,12,13}),"th",IF(OR(VALUE(RIGHT(BB26))={1,2,3}),CHOOSE(RIGHT(BB26),"st","nd","rd"),"th"))</f>
        <v>th</v>
      </c>
      <c r="BD26">
        <f t="shared" si="16"/>
        <v>8</v>
      </c>
      <c r="BE26" t="str">
        <f>IF(OR(VALUE(RIGHT(BD26,5))={11,12,13}),"th",IF(OR(VALUE(RIGHT(BD26))={1,2,3}),CHOOSE(RIGHT(BD26),"st","nd","rd"),"th"))</f>
        <v>th</v>
      </c>
      <c r="BF26">
        <f t="shared" si="17"/>
        <v>41</v>
      </c>
      <c r="BG26" t="str">
        <f>IF(OR(VALUE(RIGHT(BF26,5))={11,12,13}),"th",IF(OR(VALUE(RIGHT(BF26))={1,2,3}),CHOOSE(RIGHT(BF26),"st","nd","rd"),"th"))</f>
        <v>st</v>
      </c>
      <c r="BH26">
        <f t="shared" si="18"/>
        <v>23</v>
      </c>
      <c r="BI26" t="str">
        <f>IF(OR(VALUE(RIGHT(BH26,5))={11,12,13}),"th",IF(OR(VALUE(RIGHT(BH26))={1,2,3}),CHOOSE(RIGHT(BH26),"st","nd","rd"),"th"))</f>
        <v>rd</v>
      </c>
      <c r="BJ26">
        <f t="shared" si="19"/>
        <v>34</v>
      </c>
      <c r="BK26" t="str" cm="1">
        <f t="array" ref="BK26">IF(OR(VALUE(RIGHT(BJ26,5))={11,12,13}),"th",IF(OR(VALUE(RIGHT(BJ26))={1,2,3}),CHOOSE(RIGHT(BJ26),"st","nd","rd"),"th"))</f>
        <v>th</v>
      </c>
      <c r="BL26">
        <f t="shared" si="20"/>
        <v>12</v>
      </c>
      <c r="BM26" t="str">
        <f>IF(OR(VALUE(RIGHT(BL26,5))={11,12,13}),"th",IF(OR(VALUE(RIGHT(BL26))={1,2,3}),CHOOSE(RIGHT(BL26),"st","nd","rd"),"th"))</f>
        <v>th</v>
      </c>
      <c r="BO26" s="30">
        <f t="shared" si="44"/>
        <v>485</v>
      </c>
      <c r="BP26">
        <f t="shared" si="21"/>
        <v>26</v>
      </c>
      <c r="BQ26" t="str">
        <f>IF(OR(VALUE(RIGHT(BP26,5))={11,12,13}),"th",IF(OR(VALUE(RIGHT(BP26))={1,2,3}),CHOOSE(RIGHT(BP26),"st","nd","rd"),"th"))</f>
        <v>th</v>
      </c>
      <c r="BS26" s="27">
        <f>ClassScore!M26</f>
        <v>34</v>
      </c>
      <c r="BT26" s="27">
        <f>ClassScore!N26</f>
        <v>35.5</v>
      </c>
      <c r="BU26" s="27">
        <f>ClassScore!O26</f>
        <v>21.5</v>
      </c>
      <c r="BV26" s="27">
        <f>ClassScore!P26</f>
        <v>44</v>
      </c>
      <c r="BW26" s="27">
        <f>ClassScore!Q26</f>
        <v>37.5</v>
      </c>
      <c r="BX26" s="27">
        <f>ClassScore!R26</f>
        <v>35</v>
      </c>
      <c r="BY26" s="27">
        <f>ClassScore!S26</f>
        <v>15</v>
      </c>
      <c r="BZ26" s="27">
        <f>ClassScore!T26</f>
        <v>24</v>
      </c>
      <c r="CA26" s="27">
        <f>ClassScore!U26</f>
        <v>23</v>
      </c>
      <c r="CB26" s="27">
        <f>ClassScore!V26</f>
        <v>41</v>
      </c>
      <c r="CD26" s="27">
        <f>Examscore!M26</f>
        <v>13</v>
      </c>
      <c r="CE26" s="27">
        <f>Examscore!N26</f>
        <v>13</v>
      </c>
      <c r="CF26" s="27">
        <f>Examscore!O26</f>
        <v>33</v>
      </c>
      <c r="CG26" s="27">
        <f>Examscore!P26</f>
        <v>11.5</v>
      </c>
      <c r="CH26" s="27">
        <f>Examscore!Q26</f>
        <v>23</v>
      </c>
      <c r="CI26" s="27">
        <f>Examscore!R26</f>
        <v>10.5</v>
      </c>
      <c r="CJ26" s="27">
        <f>Examscore!S26</f>
        <v>19</v>
      </c>
      <c r="CK26" s="27">
        <f>Examscore!T26</f>
        <v>14.5</v>
      </c>
      <c r="CL26" s="27">
        <f>Examscore!U26</f>
        <v>17.5</v>
      </c>
      <c r="CM26" s="27">
        <f>Examscore!V26</f>
        <v>19.5</v>
      </c>
    </row>
    <row r="27" spans="1:91" ht="15.75" x14ac:dyDescent="0.25">
      <c r="A27" s="5">
        <f>Student!A27</f>
        <v>554</v>
      </c>
      <c r="B27" s="21" t="str">
        <f>Student!B27</f>
        <v xml:space="preserve">AGBEMAZI PRECIOUS  </v>
      </c>
      <c r="C27" s="28">
        <f>ClassScore!M27+Examscore!M27</f>
        <v>59</v>
      </c>
      <c r="D27" s="28">
        <f>ClassScore!N27+Examscore!N27</f>
        <v>56</v>
      </c>
      <c r="E27" s="28">
        <f>ClassScore!O27+Examscore!O27</f>
        <v>45.5</v>
      </c>
      <c r="F27" s="28">
        <f>ClassScore!P27+Examscore!P27</f>
        <v>49</v>
      </c>
      <c r="G27" s="28">
        <f>ClassScore!Q27+Examscore!Q27</f>
        <v>48.5</v>
      </c>
      <c r="H27" s="28">
        <f>ClassScore!R27+Examscore!R27</f>
        <v>40.5</v>
      </c>
      <c r="I27" s="28">
        <f>ClassScore!S27+Examscore!S27</f>
        <v>39</v>
      </c>
      <c r="J27" s="28">
        <f>ClassScore!T27+Examscore!T27</f>
        <v>57</v>
      </c>
      <c r="K27" s="28">
        <f>ClassScore!U27+Examscore!U27</f>
        <v>50</v>
      </c>
      <c r="L27" s="28">
        <f>ClassScore!V27+Examscore!V27</f>
        <v>57.5</v>
      </c>
      <c r="M27" s="5" t="str">
        <f t="shared" si="22"/>
        <v>Low Average</v>
      </c>
      <c r="N27" s="5" t="str">
        <f t="shared" si="23"/>
        <v>Low Average</v>
      </c>
      <c r="O27" s="5" t="str">
        <f t="shared" si="24"/>
        <v>Lower</v>
      </c>
      <c r="P27" s="5" t="str">
        <f t="shared" si="25"/>
        <v>Lower</v>
      </c>
      <c r="Q27" s="5" t="str">
        <f t="shared" si="26"/>
        <v>Lower</v>
      </c>
      <c r="R27" s="5" t="str">
        <f t="shared" si="27"/>
        <v>Lower</v>
      </c>
      <c r="S27" s="5" t="str">
        <f t="shared" si="28"/>
        <v>Lowest</v>
      </c>
      <c r="T27" s="5" t="str">
        <f t="shared" si="29"/>
        <v>Low Average</v>
      </c>
      <c r="U27" s="5" t="str">
        <f t="shared" si="30"/>
        <v>Low</v>
      </c>
      <c r="V27" s="5" t="str">
        <f t="shared" si="31"/>
        <v>Low Average</v>
      </c>
      <c r="W27" s="5">
        <f t="shared" si="32"/>
        <v>6</v>
      </c>
      <c r="X27" s="5">
        <f t="shared" si="33"/>
        <v>6</v>
      </c>
      <c r="Y27" s="5">
        <f t="shared" si="34"/>
        <v>8</v>
      </c>
      <c r="Z27" s="5">
        <f t="shared" si="35"/>
        <v>8</v>
      </c>
      <c r="AA27" s="5">
        <f t="shared" si="36"/>
        <v>8</v>
      </c>
      <c r="AB27" s="5">
        <f t="shared" si="37"/>
        <v>8</v>
      </c>
      <c r="AC27" s="5">
        <f t="shared" si="38"/>
        <v>9</v>
      </c>
      <c r="AD27" s="5">
        <f t="shared" si="39"/>
        <v>6</v>
      </c>
      <c r="AE27" s="5">
        <f t="shared" si="40"/>
        <v>7</v>
      </c>
      <c r="AF27" s="5">
        <f t="shared" si="41"/>
        <v>6</v>
      </c>
      <c r="AG27" s="34">
        <f>SUM(C27,D27,F27,G27)+LARGE((E27,H27,I27,J27,K27,L27),1)+LARGE((E27,H27,I27,J27,K27,L27),2)</f>
        <v>327</v>
      </c>
      <c r="AH27" s="5">
        <f>SUM(W27,X27,Z27,AA27)+SMALL((Y27,AB27,AC27,AD27,AE27,AF27),1)+SMALL((Y27,AB27,AC27,AD27,AE27,AF27),2)</f>
        <v>40</v>
      </c>
      <c r="AI27" s="15" t="str">
        <f>'Teacher''s Remarks'!M28</f>
        <v>PATIENCE AFUA MENSAH</v>
      </c>
      <c r="AJ27" s="15" t="str">
        <f>'Teacher''s Remarks'!N28</f>
        <v>Hardworking</v>
      </c>
      <c r="AK27" s="15" t="str">
        <f>'Teacher''s Remarks'!O28</f>
        <v>He is regular and puntual to school</v>
      </c>
      <c r="AL27" s="15" t="str">
        <f>'Teacher''s Remarks'!P28</f>
        <v>Needs special attention at home</v>
      </c>
      <c r="AM27" s="13" t="str">
        <f t="shared" si="42"/>
        <v xml:space="preserve">AGBEMAZI PRECIOUS  </v>
      </c>
      <c r="AN27" s="14">
        <f>Attendance!B27</f>
        <v>62</v>
      </c>
      <c r="AO27" s="15"/>
      <c r="AP27" s="15"/>
      <c r="AQ27" s="22">
        <f t="shared" ca="1" si="43"/>
        <v>45764</v>
      </c>
      <c r="AR27" s="15"/>
      <c r="AT27" s="12">
        <f t="shared" si="11"/>
        <v>23</v>
      </c>
      <c r="AU27" t="str">
        <f>IF(OR(VALUE(RIGHT(AT27,5))={11,12,13}),"th",IF(OR(VALUE(RIGHT(AT27))={1,2,3}),CHOOSE(RIGHT(AT27),"st","nd","rd"),"th"))</f>
        <v>rd</v>
      </c>
      <c r="AV27">
        <f t="shared" si="12"/>
        <v>25</v>
      </c>
      <c r="AW27" t="str">
        <f>IF(OR(VALUE(RIGHT(AV27,5))={11,12,13}),"th",IF(OR(VALUE(RIGHT(AV27))={1,2,3}),CHOOSE(RIGHT(AV27),"st","nd","rd"),"th"))</f>
        <v>th</v>
      </c>
      <c r="AX27">
        <f t="shared" si="13"/>
        <v>47</v>
      </c>
      <c r="AY27" t="str">
        <f>IF(OR(VALUE(RIGHT(AX27,5))={11,12,13}),"th",IF(OR(VALUE(RIGHT(AX27))={1,2,3}),CHOOSE(RIGHT(AX27),"st","nd","rd"),"th"))</f>
        <v>th</v>
      </c>
      <c r="AZ27">
        <f t="shared" si="14"/>
        <v>20</v>
      </c>
      <c r="BA27" t="str">
        <f>IF(OR(VALUE(RIGHT(AZ27,5))={11,12,13}),"th",IF(OR(VALUE(RIGHT(AZ27))={1,2,3}),CHOOSE(RIGHT(AZ27),"st","nd","rd"),"th"))</f>
        <v>th</v>
      </c>
      <c r="BB27">
        <f t="shared" si="15"/>
        <v>31</v>
      </c>
      <c r="BC27" t="str">
        <f>IF(OR(VALUE(RIGHT(BB27,5))={11,12,13}),"th",IF(OR(VALUE(RIGHT(BB27))={1,2,3}),CHOOSE(RIGHT(BB27),"st","nd","rd"),"th"))</f>
        <v>st</v>
      </c>
      <c r="BD27">
        <f t="shared" si="16"/>
        <v>23</v>
      </c>
      <c r="BE27" t="str">
        <f>IF(OR(VALUE(RIGHT(BD27,5))={11,12,13}),"th",IF(OR(VALUE(RIGHT(BD27))={1,2,3}),CHOOSE(RIGHT(BD27),"st","nd","rd"),"th"))</f>
        <v>rd</v>
      </c>
      <c r="BF27">
        <f t="shared" si="17"/>
        <v>29</v>
      </c>
      <c r="BG27" t="str">
        <f>IF(OR(VALUE(RIGHT(BF27,5))={11,12,13}),"th",IF(OR(VALUE(RIGHT(BF27))={1,2,3}),CHOOSE(RIGHT(BF27),"st","nd","rd"),"th"))</f>
        <v>th</v>
      </c>
      <c r="BH27">
        <f t="shared" si="18"/>
        <v>7</v>
      </c>
      <c r="BI27" t="str">
        <f>IF(OR(VALUE(RIGHT(BH27,5))={11,12,13}),"th",IF(OR(VALUE(RIGHT(BH27))={1,2,3}),CHOOSE(RIGHT(BH27),"st","nd","rd"),"th"))</f>
        <v>th</v>
      </c>
      <c r="BJ27">
        <f t="shared" si="19"/>
        <v>15</v>
      </c>
      <c r="BK27" t="str" cm="1">
        <f t="array" ref="BK27">IF(OR(VALUE(RIGHT(BJ27,5))={11,12,13}),"th",IF(OR(VALUE(RIGHT(BJ27))={1,2,3}),CHOOSE(RIGHT(BJ27),"st","nd","rd"),"th"))</f>
        <v>th</v>
      </c>
      <c r="BL27">
        <f t="shared" si="20"/>
        <v>19</v>
      </c>
      <c r="BM27" t="str">
        <f>IF(OR(VALUE(RIGHT(BL27,5))={11,12,13}),"th",IF(OR(VALUE(RIGHT(BL27))={1,2,3}),CHOOSE(RIGHT(BL27),"st","nd","rd"),"th"))</f>
        <v>th</v>
      </c>
      <c r="BO27" s="30">
        <f t="shared" si="44"/>
        <v>502</v>
      </c>
      <c r="BP27">
        <f t="shared" si="21"/>
        <v>19</v>
      </c>
      <c r="BQ27" t="str">
        <f>IF(OR(VALUE(RIGHT(BP27,5))={11,12,13}),"th",IF(OR(VALUE(RIGHT(BP27))={1,2,3}),CHOOSE(RIGHT(BP27),"st","nd","rd"),"th"))</f>
        <v>th</v>
      </c>
      <c r="BS27" s="27">
        <f>ClassScore!M27</f>
        <v>45</v>
      </c>
      <c r="BT27" s="27">
        <f>ClassScore!N27</f>
        <v>42</v>
      </c>
      <c r="BU27" s="27">
        <f>ClassScore!O27</f>
        <v>23</v>
      </c>
      <c r="BV27" s="27">
        <f>ClassScore!P27</f>
        <v>39</v>
      </c>
      <c r="BW27" s="27">
        <f>ClassScore!Q27</f>
        <v>36</v>
      </c>
      <c r="BX27" s="27">
        <f>ClassScore!R27</f>
        <v>33</v>
      </c>
      <c r="BY27" s="27">
        <f>ClassScore!S27</f>
        <v>20</v>
      </c>
      <c r="BZ27" s="27">
        <f>ClassScore!T27</f>
        <v>32.5</v>
      </c>
      <c r="CA27" s="27">
        <f>ClassScore!U27</f>
        <v>25</v>
      </c>
      <c r="CB27" s="27">
        <f>ClassScore!V27</f>
        <v>39</v>
      </c>
      <c r="CD27" s="27">
        <f>Examscore!M27</f>
        <v>14</v>
      </c>
      <c r="CE27" s="27">
        <f>Examscore!N27</f>
        <v>14</v>
      </c>
      <c r="CF27" s="27">
        <f>Examscore!O27</f>
        <v>22.5</v>
      </c>
      <c r="CG27" s="27">
        <f>Examscore!P27</f>
        <v>10</v>
      </c>
      <c r="CH27" s="27">
        <f>Examscore!Q27</f>
        <v>12.5</v>
      </c>
      <c r="CI27" s="27">
        <f>Examscore!R27</f>
        <v>7.5</v>
      </c>
      <c r="CJ27" s="27">
        <f>Examscore!S27</f>
        <v>19</v>
      </c>
      <c r="CK27" s="27">
        <f>Examscore!T27</f>
        <v>24.5</v>
      </c>
      <c r="CL27" s="27">
        <f>Examscore!U27</f>
        <v>25</v>
      </c>
      <c r="CM27" s="27">
        <f>Examscore!V27</f>
        <v>18.5</v>
      </c>
    </row>
    <row r="28" spans="1:91" ht="15.75" x14ac:dyDescent="0.25">
      <c r="A28" s="5">
        <f>Student!A28</f>
        <v>365</v>
      </c>
      <c r="B28" s="21" t="str">
        <f>Student!B28</f>
        <v xml:space="preserve">AGBENYEFIA BRIDGET </v>
      </c>
      <c r="C28" s="28">
        <f>ClassScore!M28+Examscore!M28</f>
        <v>47</v>
      </c>
      <c r="D28" s="28">
        <f>ClassScore!N28+Examscore!N28</f>
        <v>45</v>
      </c>
      <c r="E28" s="28">
        <f>ClassScore!O28+Examscore!O28</f>
        <v>55</v>
      </c>
      <c r="F28" s="28">
        <f>ClassScore!P28+Examscore!P28</f>
        <v>36</v>
      </c>
      <c r="G28" s="28">
        <f>ClassScore!Q28+Examscore!Q28</f>
        <v>48.5</v>
      </c>
      <c r="H28" s="28">
        <f>ClassScore!R28+Examscore!R28</f>
        <v>33.5</v>
      </c>
      <c r="I28" s="28">
        <f>ClassScore!S28+Examscore!S28</f>
        <v>38.5</v>
      </c>
      <c r="J28" s="28">
        <f>ClassScore!T28+Examscore!T28</f>
        <v>41</v>
      </c>
      <c r="K28" s="28">
        <f>ClassScore!U28+Examscore!U28</f>
        <v>39.5</v>
      </c>
      <c r="L28" s="28">
        <f>ClassScore!V28+Examscore!V28</f>
        <v>60.5</v>
      </c>
      <c r="M28" s="5" t="str">
        <f t="shared" si="22"/>
        <v>Lower</v>
      </c>
      <c r="N28" s="5" t="str">
        <f t="shared" si="23"/>
        <v>Lower</v>
      </c>
      <c r="O28" s="5" t="str">
        <f t="shared" si="24"/>
        <v>Low Average</v>
      </c>
      <c r="P28" s="5" t="str">
        <f t="shared" si="25"/>
        <v>Lowest</v>
      </c>
      <c r="Q28" s="5" t="str">
        <f t="shared" si="26"/>
        <v>Lower</v>
      </c>
      <c r="R28" s="5" t="str">
        <f t="shared" si="27"/>
        <v>Lowest</v>
      </c>
      <c r="S28" s="5" t="str">
        <f t="shared" si="28"/>
        <v>Lowest</v>
      </c>
      <c r="T28" s="5" t="str">
        <f t="shared" si="29"/>
        <v>Lower</v>
      </c>
      <c r="U28" s="5" t="str">
        <f t="shared" si="30"/>
        <v>Lowest</v>
      </c>
      <c r="V28" s="5" t="str">
        <f t="shared" si="31"/>
        <v>Average</v>
      </c>
      <c r="W28" s="5">
        <f t="shared" si="32"/>
        <v>8</v>
      </c>
      <c r="X28" s="5">
        <f t="shared" si="33"/>
        <v>8</v>
      </c>
      <c r="Y28" s="5">
        <f t="shared" si="34"/>
        <v>6</v>
      </c>
      <c r="Z28" s="5">
        <f t="shared" si="35"/>
        <v>9</v>
      </c>
      <c r="AA28" s="5">
        <f t="shared" si="36"/>
        <v>8</v>
      </c>
      <c r="AB28" s="5">
        <f t="shared" si="37"/>
        <v>9</v>
      </c>
      <c r="AC28" s="5">
        <f t="shared" si="38"/>
        <v>9</v>
      </c>
      <c r="AD28" s="5">
        <f t="shared" si="39"/>
        <v>8</v>
      </c>
      <c r="AE28" s="5">
        <f t="shared" si="40"/>
        <v>9</v>
      </c>
      <c r="AF28" s="5">
        <f t="shared" si="41"/>
        <v>5</v>
      </c>
      <c r="AG28" s="34">
        <f>SUM(C28,D28,F28,G28)+LARGE((E28,H28,I28,J28,K28,L28),1)+LARGE((E28,H28,I28,J28,K28,L28),2)</f>
        <v>292</v>
      </c>
      <c r="AH28" s="5">
        <f>SUM(W28,X28,Z28,AA28)+SMALL((Y28,AB28,AC28,AD28,AE28,AF28),1)+SMALL((Y28,AB28,AC28,AD28,AE28,AF28),2)</f>
        <v>44</v>
      </c>
      <c r="AI28" s="15" t="str">
        <f>'Teacher''s Remarks'!M29</f>
        <v>PATIENCE AFUA MENSAH</v>
      </c>
      <c r="AJ28" s="15" t="str">
        <f>'Teacher''s Remarks'!N29</f>
        <v>Friendly</v>
      </c>
      <c r="AK28" s="15" t="str">
        <f>'Teacher''s Remarks'!O29</f>
        <v>She is regular but not punctual to school</v>
      </c>
      <c r="AL28" s="15" t="str">
        <f>'Teacher''s Remarks'!P29</f>
        <v>She is doing quite well but she should sit up</v>
      </c>
      <c r="AM28" s="13" t="str">
        <f t="shared" si="42"/>
        <v xml:space="preserve">AGBENYEFIA BRIDGET </v>
      </c>
      <c r="AN28" s="14">
        <f>Attendance!B28</f>
        <v>63</v>
      </c>
      <c r="AO28" s="15"/>
      <c r="AP28" s="15"/>
      <c r="AQ28" s="22">
        <f t="shared" ca="1" si="43"/>
        <v>45764</v>
      </c>
      <c r="AR28" s="15"/>
      <c r="AT28" s="12">
        <f t="shared" si="11"/>
        <v>51</v>
      </c>
      <c r="AU28" t="str">
        <f>IF(OR(VALUE(RIGHT(AT28,5))={11,12,13}),"th",IF(OR(VALUE(RIGHT(AT28))={1,2,3}),CHOOSE(RIGHT(AT28),"st","nd","rd"),"th"))</f>
        <v>st</v>
      </c>
      <c r="AV28">
        <f t="shared" si="12"/>
        <v>50</v>
      </c>
      <c r="AW28" t="str">
        <f>IF(OR(VALUE(RIGHT(AV28,5))={11,12,13}),"th",IF(OR(VALUE(RIGHT(AV28))={1,2,3}),CHOOSE(RIGHT(AV28),"st","nd","rd"),"th"))</f>
        <v>th</v>
      </c>
      <c r="AX28">
        <f t="shared" si="13"/>
        <v>36</v>
      </c>
      <c r="AY28" t="str">
        <f>IF(OR(VALUE(RIGHT(AX28,5))={11,12,13}),"th",IF(OR(VALUE(RIGHT(AX28))={1,2,3}),CHOOSE(RIGHT(AX28),"st","nd","rd"),"th"))</f>
        <v>th</v>
      </c>
      <c r="AZ28">
        <f t="shared" si="14"/>
        <v>36</v>
      </c>
      <c r="BA28" t="str">
        <f>IF(OR(VALUE(RIGHT(AZ28,5))={11,12,13}),"th",IF(OR(VALUE(RIGHT(AZ28))={1,2,3}),CHOOSE(RIGHT(AZ28),"st","nd","rd"),"th"))</f>
        <v>th</v>
      </c>
      <c r="BB28">
        <f t="shared" si="15"/>
        <v>31</v>
      </c>
      <c r="BC28" t="str">
        <f>IF(OR(VALUE(RIGHT(BB28,5))={11,12,13}),"th",IF(OR(VALUE(RIGHT(BB28))={1,2,3}),CHOOSE(RIGHT(BB28),"st","nd","rd"),"th"))</f>
        <v>st</v>
      </c>
      <c r="BD28">
        <f t="shared" si="16"/>
        <v>37</v>
      </c>
      <c r="BE28" t="str">
        <f>IF(OR(VALUE(RIGHT(BD28,5))={11,12,13}),"th",IF(OR(VALUE(RIGHT(BD28))={1,2,3}),CHOOSE(RIGHT(BD28),"st","nd","rd"),"th"))</f>
        <v>th</v>
      </c>
      <c r="BF28">
        <f t="shared" si="17"/>
        <v>32</v>
      </c>
      <c r="BG28" t="str">
        <f>IF(OR(VALUE(RIGHT(BF28,5))={11,12,13}),"th",IF(OR(VALUE(RIGHT(BF28))={1,2,3}),CHOOSE(RIGHT(BF28),"st","nd","rd"),"th"))</f>
        <v>nd</v>
      </c>
      <c r="BH28">
        <f t="shared" si="18"/>
        <v>19</v>
      </c>
      <c r="BI28" t="str">
        <f>IF(OR(VALUE(RIGHT(BH28,5))={11,12,13}),"th",IF(OR(VALUE(RIGHT(BH28))={1,2,3}),CHOOSE(RIGHT(BH28),"st","nd","rd"),"th"))</f>
        <v>th</v>
      </c>
      <c r="BJ28">
        <f t="shared" si="19"/>
        <v>37</v>
      </c>
      <c r="BK28" t="str" cm="1">
        <f t="array" ref="BK28">IF(OR(VALUE(RIGHT(BJ28,5))={11,12,13}),"th",IF(OR(VALUE(RIGHT(BJ28))={1,2,3}),CHOOSE(RIGHT(BJ28),"st","nd","rd"),"th"))</f>
        <v>th</v>
      </c>
      <c r="BL28">
        <f t="shared" si="20"/>
        <v>12</v>
      </c>
      <c r="BM28" t="str">
        <f>IF(OR(VALUE(RIGHT(BL28,5))={11,12,13}),"th",IF(OR(VALUE(RIGHT(BL28))={1,2,3}),CHOOSE(RIGHT(BL28),"st","nd","rd"),"th"))</f>
        <v>th</v>
      </c>
      <c r="BO28" s="30">
        <f t="shared" si="44"/>
        <v>444.5</v>
      </c>
      <c r="BP28">
        <f t="shared" si="21"/>
        <v>38</v>
      </c>
      <c r="BQ28" t="str">
        <f>IF(OR(VALUE(RIGHT(BP28,5))={11,12,13}),"th",IF(OR(VALUE(RIGHT(BP28))={1,2,3}),CHOOSE(RIGHT(BP28),"st","nd","rd"),"th"))</f>
        <v>th</v>
      </c>
      <c r="BS28" s="27">
        <f>ClassScore!M28</f>
        <v>31</v>
      </c>
      <c r="BT28" s="27">
        <f>ClassScore!N28</f>
        <v>29</v>
      </c>
      <c r="BU28" s="27">
        <f>ClassScore!O28</f>
        <v>20.5</v>
      </c>
      <c r="BV28" s="27">
        <f>ClassScore!P28</f>
        <v>31.5</v>
      </c>
      <c r="BW28" s="27">
        <f>ClassScore!Q28</f>
        <v>31.5</v>
      </c>
      <c r="BX28" s="27">
        <f>ClassScore!R28</f>
        <v>25.5</v>
      </c>
      <c r="BY28" s="27">
        <f>ClassScore!S28</f>
        <v>19</v>
      </c>
      <c r="BZ28" s="27">
        <f>ClassScore!T28</f>
        <v>22.5</v>
      </c>
      <c r="CA28" s="27">
        <f>ClassScore!U28</f>
        <v>22</v>
      </c>
      <c r="CB28" s="27">
        <f>ClassScore!V28</f>
        <v>42</v>
      </c>
      <c r="CD28" s="27">
        <f>Examscore!M28</f>
        <v>16</v>
      </c>
      <c r="CE28" s="27">
        <f>Examscore!N28</f>
        <v>16</v>
      </c>
      <c r="CF28" s="27">
        <f>Examscore!O28</f>
        <v>34.5</v>
      </c>
      <c r="CG28" s="27">
        <f>Examscore!P28</f>
        <v>4.5</v>
      </c>
      <c r="CH28" s="27">
        <f>Examscore!Q28</f>
        <v>17</v>
      </c>
      <c r="CI28" s="27">
        <f>Examscore!R28</f>
        <v>8</v>
      </c>
      <c r="CJ28" s="27">
        <f>Examscore!S28</f>
        <v>19.5</v>
      </c>
      <c r="CK28" s="27">
        <f>Examscore!T28</f>
        <v>18.5</v>
      </c>
      <c r="CL28" s="27">
        <f>Examscore!U28</f>
        <v>17.5</v>
      </c>
      <c r="CM28" s="27">
        <f>Examscore!V28</f>
        <v>18.5</v>
      </c>
    </row>
    <row r="29" spans="1:91" ht="15.75" customHeight="1" x14ac:dyDescent="0.25">
      <c r="A29" s="5">
        <f>Student!A29</f>
        <v>445</v>
      </c>
      <c r="B29" s="21" t="str">
        <f>Student!B29</f>
        <v xml:space="preserve">AKATAYURE REGINA  </v>
      </c>
      <c r="C29" s="28">
        <f>ClassScore!M29+Examscore!M29</f>
        <v>50.5</v>
      </c>
      <c r="D29" s="28">
        <f>ClassScore!N29+Examscore!N29</f>
        <v>50.5</v>
      </c>
      <c r="E29" s="28">
        <f>ClassScore!O29+Examscore!O29</f>
        <v>49.5</v>
      </c>
      <c r="F29" s="28">
        <f>ClassScore!P29+Examscore!P29</f>
        <v>37</v>
      </c>
      <c r="G29" s="28">
        <f>ClassScore!Q29+Examscore!Q29</f>
        <v>40</v>
      </c>
      <c r="H29" s="28">
        <f>ClassScore!R29+Examscore!R29</f>
        <v>30</v>
      </c>
      <c r="I29" s="28">
        <f>ClassScore!S29+Examscore!S29</f>
        <v>34.5</v>
      </c>
      <c r="J29" s="28">
        <f>ClassScore!T29+Examscore!T29</f>
        <v>40.5</v>
      </c>
      <c r="K29" s="28">
        <f>ClassScore!U29+Examscore!U29</f>
        <v>36</v>
      </c>
      <c r="L29" s="28">
        <f>ClassScore!V29+Examscore!V29</f>
        <v>43</v>
      </c>
      <c r="M29" s="5" t="str">
        <f t="shared" si="22"/>
        <v>Low</v>
      </c>
      <c r="N29" s="5" t="str">
        <f t="shared" si="23"/>
        <v>Low</v>
      </c>
      <c r="O29" s="5" t="str">
        <f t="shared" si="24"/>
        <v>Lower</v>
      </c>
      <c r="P29" s="5" t="str">
        <f t="shared" si="25"/>
        <v>Lowest</v>
      </c>
      <c r="Q29" s="5" t="str">
        <f t="shared" si="26"/>
        <v>Lower</v>
      </c>
      <c r="R29" s="5" t="str">
        <f t="shared" si="27"/>
        <v>Lowest</v>
      </c>
      <c r="S29" s="5" t="str">
        <f t="shared" si="28"/>
        <v>Lowest</v>
      </c>
      <c r="T29" s="5" t="str">
        <f t="shared" si="29"/>
        <v>Lower</v>
      </c>
      <c r="U29" s="5" t="str">
        <f t="shared" si="30"/>
        <v>Lowest</v>
      </c>
      <c r="V29" s="5" t="str">
        <f t="shared" si="31"/>
        <v>Lower</v>
      </c>
      <c r="W29" s="5">
        <f t="shared" si="32"/>
        <v>7</v>
      </c>
      <c r="X29" s="5">
        <f t="shared" si="33"/>
        <v>7</v>
      </c>
      <c r="Y29" s="5">
        <f t="shared" si="34"/>
        <v>8</v>
      </c>
      <c r="Z29" s="5">
        <f t="shared" si="35"/>
        <v>9</v>
      </c>
      <c r="AA29" s="5">
        <f t="shared" si="36"/>
        <v>8</v>
      </c>
      <c r="AB29" s="5">
        <f t="shared" si="37"/>
        <v>9</v>
      </c>
      <c r="AC29" s="5">
        <f t="shared" si="38"/>
        <v>9</v>
      </c>
      <c r="AD29" s="5">
        <f t="shared" si="39"/>
        <v>8</v>
      </c>
      <c r="AE29" s="5">
        <f t="shared" si="40"/>
        <v>9</v>
      </c>
      <c r="AF29" s="5">
        <f t="shared" si="41"/>
        <v>8</v>
      </c>
      <c r="AG29" s="34">
        <f>SUM(C29,D29,F29,G29)+LARGE((E29,H29,I29,J29,K29,L29),1)+LARGE((E29,H29,I29,J29,K29,L29),2)</f>
        <v>270.5</v>
      </c>
      <c r="AH29" s="5">
        <f>SUM(W29,X29,Z29,AA29)+SMALL((Y29,AB29,AC29,AD29,AE29,AF29),1)+SMALL((Y29,AB29,AC29,AD29,AE29,AF29),2)</f>
        <v>47</v>
      </c>
      <c r="AI29" s="15" t="str">
        <f>'Teacher''s Remarks'!M30</f>
        <v>PATIENCE AFUA MENSAH</v>
      </c>
      <c r="AJ29" s="15" t="str">
        <f>'Teacher''s Remarks'!N30</f>
        <v>Dutiful</v>
      </c>
      <c r="AK29" s="15" t="str">
        <f>'Teacher''s Remarks'!O30</f>
        <v>She is regular but not punctual to school</v>
      </c>
      <c r="AL29" s="15" t="str">
        <f>'Teacher''s Remarks'!P30</f>
        <v>Not encouraging, she should sit up</v>
      </c>
      <c r="AM29" s="13" t="str">
        <f t="shared" si="42"/>
        <v xml:space="preserve">AKATAYURE REGINA  </v>
      </c>
      <c r="AN29" s="14">
        <f>Attendance!B29</f>
        <v>65</v>
      </c>
      <c r="AO29" s="15"/>
      <c r="AP29" s="15"/>
      <c r="AQ29" s="22">
        <f t="shared" ca="1" si="43"/>
        <v>45764</v>
      </c>
      <c r="AR29" s="15"/>
      <c r="AT29" s="12">
        <f t="shared" si="11"/>
        <v>46</v>
      </c>
      <c r="AU29" t="str">
        <f>IF(OR(VALUE(RIGHT(AT29,5))={11,12,13}),"th",IF(OR(VALUE(RIGHT(AT29))={1,2,3}),CHOOSE(RIGHT(AT29),"st","nd","rd"),"th"))</f>
        <v>th</v>
      </c>
      <c r="AV29">
        <f t="shared" si="12"/>
        <v>40</v>
      </c>
      <c r="AW29" t="str">
        <f>IF(OR(VALUE(RIGHT(AV29,5))={11,12,13}),"th",IF(OR(VALUE(RIGHT(AV29))={1,2,3}),CHOOSE(RIGHT(AV29),"st","nd","rd"),"th"))</f>
        <v>th</v>
      </c>
      <c r="AX29">
        <f t="shared" si="13"/>
        <v>45</v>
      </c>
      <c r="AY29" t="str">
        <f>IF(OR(VALUE(RIGHT(AX29,5))={11,12,13}),"th",IF(OR(VALUE(RIGHT(AX29))={1,2,3}),CHOOSE(RIGHT(AX29),"st","nd","rd"),"th"))</f>
        <v>th</v>
      </c>
      <c r="AZ29">
        <f t="shared" si="14"/>
        <v>34</v>
      </c>
      <c r="BA29" t="str">
        <f>IF(OR(VALUE(RIGHT(AZ29,5))={11,12,13}),"th",IF(OR(VALUE(RIGHT(AZ29))={1,2,3}),CHOOSE(RIGHT(AZ29),"st","nd","rd"),"th"))</f>
        <v>th</v>
      </c>
      <c r="BB29">
        <f t="shared" si="15"/>
        <v>52</v>
      </c>
      <c r="BC29" t="str">
        <f>IF(OR(VALUE(RIGHT(BB29,5))={11,12,13}),"th",IF(OR(VALUE(RIGHT(BB29))={1,2,3}),CHOOSE(RIGHT(BB29),"st","nd","rd"),"th"))</f>
        <v>nd</v>
      </c>
      <c r="BD29">
        <f t="shared" si="16"/>
        <v>49</v>
      </c>
      <c r="BE29" t="str">
        <f>IF(OR(VALUE(RIGHT(BD29,5))={11,12,13}),"th",IF(OR(VALUE(RIGHT(BD29))={1,2,3}),CHOOSE(RIGHT(BD29),"st","nd","rd"),"th"))</f>
        <v>th</v>
      </c>
      <c r="BF29">
        <f t="shared" si="17"/>
        <v>38</v>
      </c>
      <c r="BG29" t="str">
        <f>IF(OR(VALUE(RIGHT(BF29,5))={11,12,13}),"th",IF(OR(VALUE(RIGHT(BF29))={1,2,3}),CHOOSE(RIGHT(BF29),"st","nd","rd"),"th"))</f>
        <v>th</v>
      </c>
      <c r="BH29">
        <f t="shared" si="18"/>
        <v>20</v>
      </c>
      <c r="BI29" t="str">
        <f>IF(OR(VALUE(RIGHT(BH29,5))={11,12,13}),"th",IF(OR(VALUE(RIGHT(BH29))={1,2,3}),CHOOSE(RIGHT(BH29),"st","nd","rd"),"th"))</f>
        <v>th</v>
      </c>
      <c r="BJ29">
        <f t="shared" si="19"/>
        <v>46</v>
      </c>
      <c r="BK29" t="str" cm="1">
        <f t="array" ref="BK29">IF(OR(VALUE(RIGHT(BJ29,5))={11,12,13}),"th",IF(OR(VALUE(RIGHT(BJ29))={1,2,3}),CHOOSE(RIGHT(BJ29),"st","nd","rd"),"th"))</f>
        <v>th</v>
      </c>
      <c r="BL29">
        <f t="shared" si="20"/>
        <v>52</v>
      </c>
      <c r="BM29" t="str">
        <f>IF(OR(VALUE(RIGHT(BL29,5))={11,12,13}),"th",IF(OR(VALUE(RIGHT(BL29))={1,2,3}),CHOOSE(RIGHT(BL29),"st","nd","rd"),"th"))</f>
        <v>nd</v>
      </c>
      <c r="BO29" s="30">
        <f t="shared" si="44"/>
        <v>411.5</v>
      </c>
      <c r="BP29">
        <f t="shared" si="21"/>
        <v>48</v>
      </c>
      <c r="BQ29" t="str">
        <f>IF(OR(VALUE(RIGHT(BP29,5))={11,12,13}),"th",IF(OR(VALUE(RIGHT(BP29))={1,2,3}),CHOOSE(RIGHT(BP29),"st","nd","rd"),"th"))</f>
        <v>th</v>
      </c>
      <c r="BS29" s="27">
        <f>ClassScore!M29</f>
        <v>39</v>
      </c>
      <c r="BT29" s="27">
        <f>ClassScore!N29</f>
        <v>39</v>
      </c>
      <c r="BU29" s="27">
        <f>ClassScore!O29</f>
        <v>20.5</v>
      </c>
      <c r="BV29" s="27">
        <f>ClassScore!P29</f>
        <v>32.5</v>
      </c>
      <c r="BW29" s="27">
        <f>ClassScore!Q29</f>
        <v>32</v>
      </c>
      <c r="BX29" s="27">
        <f>ClassScore!R29</f>
        <v>25</v>
      </c>
      <c r="BY29" s="27">
        <f>ClassScore!S29</f>
        <v>20</v>
      </c>
      <c r="BZ29" s="27">
        <f>ClassScore!T29</f>
        <v>31.5</v>
      </c>
      <c r="CA29" s="27">
        <f>ClassScore!U29</f>
        <v>20.5</v>
      </c>
      <c r="CB29" s="27">
        <f>ClassScore!V29</f>
        <v>32</v>
      </c>
      <c r="CD29" s="27">
        <f>Examscore!M29</f>
        <v>11.5</v>
      </c>
      <c r="CE29" s="27">
        <f>Examscore!N29</f>
        <v>11.5</v>
      </c>
      <c r="CF29" s="27">
        <f>Examscore!O29</f>
        <v>29</v>
      </c>
      <c r="CG29" s="27">
        <f>Examscore!P29</f>
        <v>4.5</v>
      </c>
      <c r="CH29" s="27">
        <f>Examscore!Q29</f>
        <v>8</v>
      </c>
      <c r="CI29" s="27">
        <f>Examscore!R29</f>
        <v>5</v>
      </c>
      <c r="CJ29" s="27">
        <f>Examscore!S29</f>
        <v>14.5</v>
      </c>
      <c r="CK29" s="27">
        <f>Examscore!T29</f>
        <v>9</v>
      </c>
      <c r="CL29" s="27">
        <f>Examscore!U29</f>
        <v>15.5</v>
      </c>
      <c r="CM29" s="27">
        <f>Examscore!V29</f>
        <v>11</v>
      </c>
    </row>
    <row r="30" spans="1:91" ht="15.75" customHeight="1" x14ac:dyDescent="0.25">
      <c r="A30" s="5" t="str">
        <f>Student!A30</f>
        <v>A071</v>
      </c>
      <c r="B30" s="21" t="str">
        <f>Student!B30</f>
        <v>AKROFI DORCAS</v>
      </c>
      <c r="C30" s="28">
        <f>ClassScore!M30+Examscore!M30</f>
        <v>44</v>
      </c>
      <c r="D30" s="28">
        <f>ClassScore!N30+Examscore!N30</f>
        <v>58</v>
      </c>
      <c r="E30" s="28">
        <f>ClassScore!O30+Examscore!O30</f>
        <v>50.5</v>
      </c>
      <c r="F30" s="28">
        <f>ClassScore!P30+Examscore!P30</f>
        <v>31</v>
      </c>
      <c r="G30" s="28">
        <f>ClassScore!Q30+Examscore!Q30</f>
        <v>48</v>
      </c>
      <c r="H30" s="28">
        <f>ClassScore!R30+Examscore!R30</f>
        <v>34</v>
      </c>
      <c r="I30" s="28">
        <f>ClassScore!S30+Examscore!S30</f>
        <v>30.5</v>
      </c>
      <c r="J30" s="28">
        <f>ClassScore!T30+Examscore!T30</f>
        <v>46.5</v>
      </c>
      <c r="K30" s="28">
        <f>ClassScore!U30+Examscore!U30</f>
        <v>42</v>
      </c>
      <c r="L30" s="28">
        <f>ClassScore!V30+Examscore!V30</f>
        <v>43.5</v>
      </c>
      <c r="M30" s="5" t="str">
        <f t="shared" si="22"/>
        <v>Lower</v>
      </c>
      <c r="N30" s="5" t="str">
        <f t="shared" si="23"/>
        <v>Low Average</v>
      </c>
      <c r="O30" s="5" t="str">
        <f t="shared" si="24"/>
        <v>Low</v>
      </c>
      <c r="P30" s="5" t="str">
        <f t="shared" si="25"/>
        <v>Lowest</v>
      </c>
      <c r="Q30" s="5" t="str">
        <f t="shared" si="26"/>
        <v>Lower</v>
      </c>
      <c r="R30" s="5" t="str">
        <f t="shared" si="27"/>
        <v>Lowest</v>
      </c>
      <c r="S30" s="5" t="str">
        <f t="shared" si="28"/>
        <v>Lowest</v>
      </c>
      <c r="T30" s="5" t="str">
        <f t="shared" si="29"/>
        <v>Lower</v>
      </c>
      <c r="U30" s="5" t="str">
        <f t="shared" si="30"/>
        <v>Lower</v>
      </c>
      <c r="V30" s="5" t="str">
        <f t="shared" si="31"/>
        <v>Lower</v>
      </c>
      <c r="W30" s="5">
        <f t="shared" si="32"/>
        <v>8</v>
      </c>
      <c r="X30" s="5">
        <f t="shared" si="33"/>
        <v>6</v>
      </c>
      <c r="Y30" s="5">
        <f t="shared" si="34"/>
        <v>7</v>
      </c>
      <c r="Z30" s="5">
        <f t="shared" si="35"/>
        <v>9</v>
      </c>
      <c r="AA30" s="5">
        <f t="shared" si="36"/>
        <v>8</v>
      </c>
      <c r="AB30" s="5">
        <f t="shared" si="37"/>
        <v>9</v>
      </c>
      <c r="AC30" s="5">
        <f t="shared" si="38"/>
        <v>9</v>
      </c>
      <c r="AD30" s="5">
        <f t="shared" si="39"/>
        <v>8</v>
      </c>
      <c r="AE30" s="5">
        <f t="shared" si="40"/>
        <v>8</v>
      </c>
      <c r="AF30" s="5">
        <f t="shared" si="41"/>
        <v>8</v>
      </c>
      <c r="AG30" s="34">
        <f>SUM(C30,D30,F30,G30)+LARGE((E30,H30,I30,J30,K30,L30),1)+LARGE((E30,H30,I30,J30,K30,L30),2)</f>
        <v>278</v>
      </c>
      <c r="AH30" s="5">
        <f>SUM(W30,X30,Z30,AA30)+SMALL((Y30,AB30,AC30,AD30,AE30,AF30),1)+SMALL((Y30,AB30,AC30,AD30,AE30,AF30),2)</f>
        <v>46</v>
      </c>
      <c r="AI30" s="15" t="str">
        <f>'Teacher''s Remarks'!M31</f>
        <v>PATIENCE AFUA MENSAH</v>
      </c>
      <c r="AJ30" s="15" t="str">
        <f>'Teacher''s Remarks'!N31</f>
        <v>Active</v>
      </c>
      <c r="AK30" s="15" t="str">
        <f>'Teacher''s Remarks'!O31</f>
        <v>She is regular and puntual to school</v>
      </c>
      <c r="AL30" s="15" t="str">
        <f>'Teacher''s Remarks'!P31</f>
        <v>She is doing quite well but she should sit up</v>
      </c>
      <c r="AM30" s="13" t="str">
        <f t="shared" si="42"/>
        <v>AKROFI DORCAS</v>
      </c>
      <c r="AN30" s="14">
        <f>Attendance!B30</f>
        <v>63</v>
      </c>
      <c r="AO30" s="15"/>
      <c r="AP30" s="15"/>
      <c r="AQ30" s="22">
        <f t="shared" ca="1" si="43"/>
        <v>45764</v>
      </c>
      <c r="AR30" s="15"/>
      <c r="AT30" s="12">
        <f t="shared" si="11"/>
        <v>54</v>
      </c>
      <c r="AU30" t="str">
        <f>IF(OR(VALUE(RIGHT(AT30,5))={11,12,13}),"th",IF(OR(VALUE(RIGHT(AT30))={1,2,3}),CHOOSE(RIGHT(AT30),"st","nd","rd"),"th"))</f>
        <v>th</v>
      </c>
      <c r="AV30">
        <f t="shared" si="12"/>
        <v>20</v>
      </c>
      <c r="AW30" t="str">
        <f>IF(OR(VALUE(RIGHT(AV30,5))={11,12,13}),"th",IF(OR(VALUE(RIGHT(AV30))={1,2,3}),CHOOSE(RIGHT(AV30),"st","nd","rd"),"th"))</f>
        <v>th</v>
      </c>
      <c r="AX30">
        <f t="shared" si="13"/>
        <v>43</v>
      </c>
      <c r="AY30" t="str">
        <f>IF(OR(VALUE(RIGHT(AX30,5))={11,12,13}),"th",IF(OR(VALUE(RIGHT(AX30))={1,2,3}),CHOOSE(RIGHT(AX30),"st","nd","rd"),"th"))</f>
        <v>rd</v>
      </c>
      <c r="AZ30">
        <f t="shared" si="14"/>
        <v>42</v>
      </c>
      <c r="BA30" t="str">
        <f>IF(OR(VALUE(RIGHT(AZ30,5))={11,12,13}),"th",IF(OR(VALUE(RIGHT(AZ30))={1,2,3}),CHOOSE(RIGHT(AZ30),"st","nd","rd"),"th"))</f>
        <v>nd</v>
      </c>
      <c r="BB30">
        <f t="shared" si="15"/>
        <v>36</v>
      </c>
      <c r="BC30" t="str">
        <f>IF(OR(VALUE(RIGHT(BB30,5))={11,12,13}),"th",IF(OR(VALUE(RIGHT(BB30))={1,2,3}),CHOOSE(RIGHT(BB30),"st","nd","rd"),"th"))</f>
        <v>th</v>
      </c>
      <c r="BD30">
        <f t="shared" si="16"/>
        <v>34</v>
      </c>
      <c r="BE30" t="str">
        <f>IF(OR(VALUE(RIGHT(BD30,5))={11,12,13}),"th",IF(OR(VALUE(RIGHT(BD30))={1,2,3}),CHOOSE(RIGHT(BD30),"st","nd","rd"),"th"))</f>
        <v>th</v>
      </c>
      <c r="BF30">
        <f t="shared" si="17"/>
        <v>50</v>
      </c>
      <c r="BG30" t="str">
        <f>IF(OR(VALUE(RIGHT(BF30,5))={11,12,13}),"th",IF(OR(VALUE(RIGHT(BF30))={1,2,3}),CHOOSE(RIGHT(BF30),"st","nd","rd"),"th"))</f>
        <v>th</v>
      </c>
      <c r="BH30">
        <f t="shared" si="18"/>
        <v>16</v>
      </c>
      <c r="BI30" t="str">
        <f>IF(OR(VALUE(RIGHT(BH30,5))={11,12,13}),"th",IF(OR(VALUE(RIGHT(BH30))={1,2,3}),CHOOSE(RIGHT(BH30),"st","nd","rd"),"th"))</f>
        <v>th</v>
      </c>
      <c r="BJ30">
        <f t="shared" si="19"/>
        <v>32</v>
      </c>
      <c r="BK30" t="str" cm="1">
        <f t="array" ref="BK30">IF(OR(VALUE(RIGHT(BJ30,5))={11,12,13}),"th",IF(OR(VALUE(RIGHT(BJ30))={1,2,3}),CHOOSE(RIGHT(BJ30),"st","nd","rd"),"th"))</f>
        <v>nd</v>
      </c>
      <c r="BL30">
        <f t="shared" si="20"/>
        <v>51</v>
      </c>
      <c r="BM30" t="str">
        <f>IF(OR(VALUE(RIGHT(BL30,5))={11,12,13}),"th",IF(OR(VALUE(RIGHT(BL30))={1,2,3}),CHOOSE(RIGHT(BL30),"st","nd","rd"),"th"))</f>
        <v>st</v>
      </c>
      <c r="BO30" s="30">
        <f t="shared" si="44"/>
        <v>428</v>
      </c>
      <c r="BP30">
        <f t="shared" si="21"/>
        <v>43</v>
      </c>
      <c r="BQ30" t="str">
        <f>IF(OR(VALUE(RIGHT(BP30,5))={11,12,13}),"th",IF(OR(VALUE(RIGHT(BP30))={1,2,3}),CHOOSE(RIGHT(BP30),"st","nd","rd"),"th"))</f>
        <v>rd</v>
      </c>
      <c r="BS30" s="27">
        <f>ClassScore!M30</f>
        <v>28</v>
      </c>
      <c r="BT30" s="27">
        <f>ClassScore!N30</f>
        <v>42</v>
      </c>
      <c r="BU30" s="27">
        <f>ClassScore!O30</f>
        <v>29</v>
      </c>
      <c r="BV30" s="27">
        <f>ClassScore!P30</f>
        <v>23.5</v>
      </c>
      <c r="BW30" s="27">
        <f>ClassScore!Q30</f>
        <v>32.5</v>
      </c>
      <c r="BX30" s="27">
        <f>ClassScore!R30</f>
        <v>25</v>
      </c>
      <c r="BY30" s="27">
        <f>ClassScore!S30</f>
        <v>15</v>
      </c>
      <c r="BZ30" s="27">
        <f>ClassScore!T30</f>
        <v>34</v>
      </c>
      <c r="CA30" s="27">
        <f>ClassScore!U30</f>
        <v>26.5</v>
      </c>
      <c r="CB30" s="27">
        <f>ClassScore!V30</f>
        <v>33</v>
      </c>
      <c r="CD30" s="27">
        <f>Examscore!M30</f>
        <v>16</v>
      </c>
      <c r="CE30" s="27">
        <f>Examscore!N30</f>
        <v>16</v>
      </c>
      <c r="CF30" s="27">
        <f>Examscore!O30</f>
        <v>21.5</v>
      </c>
      <c r="CG30" s="27">
        <f>Examscore!P30</f>
        <v>7.5</v>
      </c>
      <c r="CH30" s="27">
        <f>Examscore!Q30</f>
        <v>15.5</v>
      </c>
      <c r="CI30" s="27">
        <f>Examscore!R30</f>
        <v>9</v>
      </c>
      <c r="CJ30" s="27">
        <f>Examscore!S30</f>
        <v>15.5</v>
      </c>
      <c r="CK30" s="27">
        <f>Examscore!T30</f>
        <v>12.5</v>
      </c>
      <c r="CL30" s="27">
        <f>Examscore!U30</f>
        <v>15.5</v>
      </c>
      <c r="CM30" s="27">
        <f>Examscore!V30</f>
        <v>10.5</v>
      </c>
    </row>
    <row r="31" spans="1:91" ht="15.75" x14ac:dyDescent="0.25">
      <c r="A31" s="5">
        <f>Student!A31</f>
        <v>511</v>
      </c>
      <c r="B31" s="21" t="str">
        <f>Student!B31</f>
        <v xml:space="preserve">AMOAH SAFOA </v>
      </c>
      <c r="C31" s="28">
        <f>ClassScore!M31+Examscore!M31</f>
        <v>69.5</v>
      </c>
      <c r="D31" s="28">
        <f>ClassScore!N31+Examscore!N31</f>
        <v>66</v>
      </c>
      <c r="E31" s="28">
        <f>ClassScore!O31+Examscore!O31</f>
        <v>69</v>
      </c>
      <c r="F31" s="28">
        <f>ClassScore!P31+Examscore!P31</f>
        <v>53</v>
      </c>
      <c r="G31" s="28">
        <f>ClassScore!Q31+Examscore!Q31</f>
        <v>59.5</v>
      </c>
      <c r="H31" s="28">
        <f>ClassScore!R31+Examscore!R31</f>
        <v>43</v>
      </c>
      <c r="I31" s="28">
        <f>ClassScore!S31+Examscore!S31</f>
        <v>32</v>
      </c>
      <c r="J31" s="28">
        <f>ClassScore!T31+Examscore!T31</f>
        <v>34</v>
      </c>
      <c r="K31" s="28">
        <f>ClassScore!U31+Examscore!U31</f>
        <v>48.5</v>
      </c>
      <c r="L31" s="28">
        <f>ClassScore!V31+Examscore!V31</f>
        <v>54</v>
      </c>
      <c r="M31" s="5" t="str">
        <f t="shared" si="22"/>
        <v>High Average</v>
      </c>
      <c r="N31" s="5" t="str">
        <f t="shared" si="23"/>
        <v>High Average</v>
      </c>
      <c r="O31" s="5" t="str">
        <f t="shared" si="24"/>
        <v>High Average</v>
      </c>
      <c r="P31" s="5" t="str">
        <f t="shared" si="25"/>
        <v>Low</v>
      </c>
      <c r="Q31" s="5" t="str">
        <f t="shared" si="26"/>
        <v>Low Average</v>
      </c>
      <c r="R31" s="5" t="str">
        <f t="shared" si="27"/>
        <v>Lower</v>
      </c>
      <c r="S31" s="5" t="str">
        <f t="shared" si="28"/>
        <v>Lowest</v>
      </c>
      <c r="T31" s="5" t="str">
        <f t="shared" si="29"/>
        <v>Lowest</v>
      </c>
      <c r="U31" s="5" t="str">
        <f t="shared" si="30"/>
        <v>Lower</v>
      </c>
      <c r="V31" s="5" t="str">
        <f t="shared" si="31"/>
        <v>Low</v>
      </c>
      <c r="W31" s="5">
        <f t="shared" si="32"/>
        <v>4</v>
      </c>
      <c r="X31" s="5">
        <f t="shared" si="33"/>
        <v>4</v>
      </c>
      <c r="Y31" s="5">
        <f t="shared" si="34"/>
        <v>4</v>
      </c>
      <c r="Z31" s="5">
        <f t="shared" si="35"/>
        <v>7</v>
      </c>
      <c r="AA31" s="5">
        <f t="shared" si="36"/>
        <v>6</v>
      </c>
      <c r="AB31" s="5">
        <f t="shared" si="37"/>
        <v>8</v>
      </c>
      <c r="AC31" s="5">
        <f t="shared" si="38"/>
        <v>9</v>
      </c>
      <c r="AD31" s="5">
        <f t="shared" si="39"/>
        <v>9</v>
      </c>
      <c r="AE31" s="5">
        <f t="shared" si="40"/>
        <v>8</v>
      </c>
      <c r="AF31" s="5">
        <f t="shared" si="41"/>
        <v>7</v>
      </c>
      <c r="AG31" s="34">
        <f>SUM(C31,D31,F31,G31)+LARGE((E31,H31,I31,J31,K31,L31),1)+LARGE((E31,H31,I31,J31,K31,L31),2)</f>
        <v>371</v>
      </c>
      <c r="AH31" s="5">
        <f>SUM(W31,X31,Z31,AA31)+SMALL((Y31,AB31,AC31,AD31,AE31,AF31),1)+SMALL((Y31,AB31,AC31,AD31,AE31,AF31),2)</f>
        <v>32</v>
      </c>
      <c r="AI31" s="15" t="str">
        <f>'Teacher''s Remarks'!M32</f>
        <v>PATIENCE AFUA MENSAH</v>
      </c>
      <c r="AJ31" s="15" t="str">
        <f>'Teacher''s Remarks'!N32</f>
        <v>Calm</v>
      </c>
      <c r="AK31" s="15" t="str">
        <f>'Teacher''s Remarks'!O32</f>
        <v>She is regular and puntual to school</v>
      </c>
      <c r="AL31" s="15" t="str">
        <f>'Teacher''s Remarks'!P32</f>
        <v>She is doing quite well but she should sit up</v>
      </c>
      <c r="AM31" s="13" t="str">
        <f t="shared" si="42"/>
        <v xml:space="preserve">AMOAH SAFOA </v>
      </c>
      <c r="AN31" s="14">
        <f>Attendance!B31</f>
        <v>67</v>
      </c>
      <c r="AO31" s="15"/>
      <c r="AP31" s="15"/>
      <c r="AQ31" s="22">
        <f t="shared" ca="1" si="43"/>
        <v>45764</v>
      </c>
      <c r="AR31" s="15"/>
      <c r="AT31" s="12">
        <f t="shared" si="11"/>
        <v>6</v>
      </c>
      <c r="AU31" t="str">
        <f>IF(OR(VALUE(RIGHT(AT31,5))={11,12,13}),"th",IF(OR(VALUE(RIGHT(AT31))={1,2,3}),CHOOSE(RIGHT(AT31),"st","nd","rd"),"th"))</f>
        <v>th</v>
      </c>
      <c r="AV31">
        <f t="shared" si="12"/>
        <v>8</v>
      </c>
      <c r="AW31" t="str">
        <f>IF(OR(VALUE(RIGHT(AV31,5))={11,12,13}),"th",IF(OR(VALUE(RIGHT(AV31))={1,2,3}),CHOOSE(RIGHT(AV31),"st","nd","rd"),"th"))</f>
        <v>th</v>
      </c>
      <c r="AX31">
        <f t="shared" si="13"/>
        <v>16</v>
      </c>
      <c r="AY31" t="str">
        <f>IF(OR(VALUE(RIGHT(AX31,5))={11,12,13}),"th",IF(OR(VALUE(RIGHT(AX31))={1,2,3}),CHOOSE(RIGHT(AX31),"st","nd","rd"),"th"))</f>
        <v>th</v>
      </c>
      <c r="AZ31">
        <f t="shared" si="14"/>
        <v>9</v>
      </c>
      <c r="BA31" t="str">
        <f>IF(OR(VALUE(RIGHT(AZ31,5))={11,12,13}),"th",IF(OR(VALUE(RIGHT(AZ31))={1,2,3}),CHOOSE(RIGHT(AZ31),"st","nd","rd"),"th"))</f>
        <v>th</v>
      </c>
      <c r="BB31">
        <f t="shared" si="15"/>
        <v>14</v>
      </c>
      <c r="BC31" t="str">
        <f>IF(OR(VALUE(RIGHT(BB31,5))={11,12,13}),"th",IF(OR(VALUE(RIGHT(BB31))={1,2,3}),CHOOSE(RIGHT(BB31),"st","nd","rd"),"th"))</f>
        <v>th</v>
      </c>
      <c r="BD31">
        <f t="shared" si="16"/>
        <v>12</v>
      </c>
      <c r="BE31" t="str">
        <f>IF(OR(VALUE(RIGHT(BD31,5))={11,12,13}),"th",IF(OR(VALUE(RIGHT(BD31))={1,2,3}),CHOOSE(RIGHT(BD31),"st","nd","rd"),"th"))</f>
        <v>th</v>
      </c>
      <c r="BF31">
        <f t="shared" si="17"/>
        <v>45</v>
      </c>
      <c r="BG31" t="str">
        <f>IF(OR(VALUE(RIGHT(BF31,5))={11,12,13}),"th",IF(OR(VALUE(RIGHT(BF31))={1,2,3}),CHOOSE(RIGHT(BF31),"st","nd","rd"),"th"))</f>
        <v>th</v>
      </c>
      <c r="BH31">
        <f t="shared" si="18"/>
        <v>35</v>
      </c>
      <c r="BI31" t="str">
        <f>IF(OR(VALUE(RIGHT(BH31,5))={11,12,13}),"th",IF(OR(VALUE(RIGHT(BH31))={1,2,3}),CHOOSE(RIGHT(BH31),"st","nd","rd"),"th"))</f>
        <v>th</v>
      </c>
      <c r="BJ31">
        <f t="shared" si="19"/>
        <v>17</v>
      </c>
      <c r="BK31" t="str" cm="1">
        <f t="array" ref="BK31">IF(OR(VALUE(RIGHT(BJ31,5))={11,12,13}),"th",IF(OR(VALUE(RIGHT(BJ31))={1,2,3}),CHOOSE(RIGHT(BJ31),"st","nd","rd"),"th"))</f>
        <v>th</v>
      </c>
      <c r="BL31">
        <f t="shared" si="20"/>
        <v>35</v>
      </c>
      <c r="BM31" t="str">
        <f>IF(OR(VALUE(RIGHT(BL31,5))={11,12,13}),"th",IF(OR(VALUE(RIGHT(BL31))={1,2,3}),CHOOSE(RIGHT(BL31),"st","nd","rd"),"th"))</f>
        <v>th</v>
      </c>
      <c r="BO31" s="30">
        <f t="shared" si="44"/>
        <v>528.5</v>
      </c>
      <c r="BP31">
        <f t="shared" si="21"/>
        <v>13</v>
      </c>
      <c r="BQ31" t="str">
        <f>IF(OR(VALUE(RIGHT(BP31,5))={11,12,13}),"th",IF(OR(VALUE(RIGHT(BP31))={1,2,3}),CHOOSE(RIGHT(BP31),"st","nd","rd"),"th"))</f>
        <v>th</v>
      </c>
      <c r="BS31" s="27">
        <f>ClassScore!M31</f>
        <v>48</v>
      </c>
      <c r="BT31" s="27">
        <f>ClassScore!N31</f>
        <v>44.5</v>
      </c>
      <c r="BU31" s="27">
        <f>ClassScore!O31</f>
        <v>36.5</v>
      </c>
      <c r="BV31" s="27">
        <f>ClassScore!P31</f>
        <v>39.5</v>
      </c>
      <c r="BW31" s="27">
        <f>ClassScore!Q31</f>
        <v>37.5</v>
      </c>
      <c r="BX31" s="27">
        <f>ClassScore!R31</f>
        <v>27.5</v>
      </c>
      <c r="BY31" s="27">
        <f>ClassScore!S31</f>
        <v>15</v>
      </c>
      <c r="BZ31" s="27">
        <f>ClassScore!T31</f>
        <v>20</v>
      </c>
      <c r="CA31" s="27">
        <f>ClassScore!U31</f>
        <v>26.5</v>
      </c>
      <c r="CB31" s="27">
        <f>ClassScore!V31</f>
        <v>34.5</v>
      </c>
      <c r="CD31" s="27">
        <f>Examscore!M31</f>
        <v>21.5</v>
      </c>
      <c r="CE31" s="27">
        <f>Examscore!N31</f>
        <v>21.5</v>
      </c>
      <c r="CF31" s="27">
        <f>Examscore!O31</f>
        <v>32.5</v>
      </c>
      <c r="CG31" s="27">
        <f>Examscore!P31</f>
        <v>13.5</v>
      </c>
      <c r="CH31" s="27">
        <f>Examscore!Q31</f>
        <v>22</v>
      </c>
      <c r="CI31" s="27">
        <f>Examscore!R31</f>
        <v>15.5</v>
      </c>
      <c r="CJ31" s="27">
        <f>Examscore!S31</f>
        <v>17</v>
      </c>
      <c r="CK31" s="27">
        <f>Examscore!T31</f>
        <v>14</v>
      </c>
      <c r="CL31" s="27">
        <f>Examscore!U31</f>
        <v>22</v>
      </c>
      <c r="CM31" s="27">
        <f>Examscore!V31</f>
        <v>19.5</v>
      </c>
    </row>
    <row r="32" spans="1:91" ht="15.75" x14ac:dyDescent="0.25">
      <c r="A32" s="5">
        <f>Student!A32</f>
        <v>698</v>
      </c>
      <c r="B32" s="21" t="str">
        <f>Student!B32</f>
        <v>ANIM AMOAH NHYIRABA</v>
      </c>
      <c r="C32" s="28">
        <f>ClassScore!M32+Examscore!M32</f>
        <v>55</v>
      </c>
      <c r="D32" s="28">
        <f>ClassScore!N32+Examscore!N32</f>
        <v>54.5</v>
      </c>
      <c r="E32" s="28">
        <f>ClassScore!O32+Examscore!O32</f>
        <v>68.5</v>
      </c>
      <c r="F32" s="28">
        <f>ClassScore!P32+Examscore!P32</f>
        <v>36.5</v>
      </c>
      <c r="G32" s="28">
        <f>ClassScore!Q32+Examscore!Q32</f>
        <v>60</v>
      </c>
      <c r="H32" s="28">
        <f>ClassScore!R32+Examscore!R32</f>
        <v>40</v>
      </c>
      <c r="I32" s="28">
        <f>ClassScore!S32+Examscore!S32</f>
        <v>45.5</v>
      </c>
      <c r="J32" s="28">
        <f>ClassScore!T32+Examscore!T32</f>
        <v>20</v>
      </c>
      <c r="K32" s="28">
        <f>ClassScore!U32+Examscore!U32</f>
        <v>47.5</v>
      </c>
      <c r="L32" s="28">
        <f>ClassScore!V32+Examscore!V32</f>
        <v>60</v>
      </c>
      <c r="M32" s="5" t="str">
        <f t="shared" si="22"/>
        <v>Low Average</v>
      </c>
      <c r="N32" s="5" t="str">
        <f t="shared" si="23"/>
        <v>Low</v>
      </c>
      <c r="O32" s="5" t="str">
        <f t="shared" si="24"/>
        <v>High Average</v>
      </c>
      <c r="P32" s="5" t="str">
        <f t="shared" si="25"/>
        <v>Lowest</v>
      </c>
      <c r="Q32" s="5" t="str">
        <f t="shared" si="26"/>
        <v>Average</v>
      </c>
      <c r="R32" s="5" t="str">
        <f t="shared" si="27"/>
        <v>Lower</v>
      </c>
      <c r="S32" s="5" t="str">
        <f t="shared" si="28"/>
        <v>Lower</v>
      </c>
      <c r="T32" s="5" t="str">
        <f t="shared" si="29"/>
        <v>Lowest</v>
      </c>
      <c r="U32" s="5" t="str">
        <f t="shared" si="30"/>
        <v>Lower</v>
      </c>
      <c r="V32" s="5" t="str">
        <f t="shared" si="31"/>
        <v>Average</v>
      </c>
      <c r="W32" s="5">
        <f t="shared" si="32"/>
        <v>6</v>
      </c>
      <c r="X32" s="5">
        <f t="shared" si="33"/>
        <v>7</v>
      </c>
      <c r="Y32" s="5">
        <f t="shared" si="34"/>
        <v>4</v>
      </c>
      <c r="Z32" s="5">
        <f t="shared" si="35"/>
        <v>9</v>
      </c>
      <c r="AA32" s="5">
        <f t="shared" si="36"/>
        <v>5</v>
      </c>
      <c r="AB32" s="5">
        <f t="shared" si="37"/>
        <v>8</v>
      </c>
      <c r="AC32" s="5">
        <f t="shared" si="38"/>
        <v>8</v>
      </c>
      <c r="AD32" s="5">
        <f t="shared" si="39"/>
        <v>9</v>
      </c>
      <c r="AE32" s="5">
        <f t="shared" si="40"/>
        <v>8</v>
      </c>
      <c r="AF32" s="5">
        <f t="shared" si="41"/>
        <v>5</v>
      </c>
      <c r="AG32" s="34">
        <f>SUM(C32,D32,F32,G32)+LARGE((E32,H32,I32,J32,K32,L32),1)+LARGE((E32,H32,I32,J32,K32,L32),2)</f>
        <v>334.5</v>
      </c>
      <c r="AH32" s="5">
        <f>SUM(W32,X32,Z32,AA32)+SMALL((Y32,AB32,AC32,AD32,AE32,AF32),1)+SMALL((Y32,AB32,AC32,AD32,AE32,AF32),2)</f>
        <v>36</v>
      </c>
      <c r="AI32" s="15" t="str">
        <f>'Teacher''s Remarks'!M33</f>
        <v>PATIENCE AFUA MENSAH</v>
      </c>
      <c r="AJ32" s="15" t="str">
        <f>'Teacher''s Remarks'!N33</f>
        <v>Active</v>
      </c>
      <c r="AK32" s="15" t="str">
        <f>'Teacher''s Remarks'!O33</f>
        <v>She is regular and puntual to school</v>
      </c>
      <c r="AL32" s="15" t="str">
        <f>'Teacher''s Remarks'!P33</f>
        <v>She is doing quite well but she should sit up</v>
      </c>
      <c r="AM32" s="13" t="str">
        <f t="shared" si="42"/>
        <v>ANIM AMOAH NHYIRABA</v>
      </c>
      <c r="AN32" s="14">
        <f>Attendance!B32</f>
        <v>64</v>
      </c>
      <c r="AO32" s="15"/>
      <c r="AP32" s="15"/>
      <c r="AQ32" s="22">
        <f t="shared" ca="1" si="43"/>
        <v>45764</v>
      </c>
      <c r="AR32" s="15"/>
      <c r="AT32" s="12">
        <f t="shared" si="11"/>
        <v>29</v>
      </c>
      <c r="AU32" t="str">
        <f>IF(OR(VALUE(RIGHT(AT32,5))={11,12,13}),"th",IF(OR(VALUE(RIGHT(AT32))={1,2,3}),CHOOSE(RIGHT(AT32),"st","nd","rd"),"th"))</f>
        <v>th</v>
      </c>
      <c r="AV32">
        <f t="shared" si="12"/>
        <v>29</v>
      </c>
      <c r="AW32" t="str">
        <f>IF(OR(VALUE(RIGHT(AV32,5))={11,12,13}),"th",IF(OR(VALUE(RIGHT(AV32))={1,2,3}),CHOOSE(RIGHT(AV32),"st","nd","rd"),"th"))</f>
        <v>th</v>
      </c>
      <c r="AX32">
        <f t="shared" si="13"/>
        <v>17</v>
      </c>
      <c r="AY32" t="str">
        <f>IF(OR(VALUE(RIGHT(AX32,5))={11,12,13}),"th",IF(OR(VALUE(RIGHT(AX32))={1,2,3}),CHOOSE(RIGHT(AX32),"st","nd","rd"),"th"))</f>
        <v>th</v>
      </c>
      <c r="AZ32">
        <f t="shared" si="14"/>
        <v>35</v>
      </c>
      <c r="BA32" t="str">
        <f>IF(OR(VALUE(RIGHT(AZ32,5))={11,12,13}),"th",IF(OR(VALUE(RIGHT(AZ32))={1,2,3}),CHOOSE(RIGHT(AZ32),"st","nd","rd"),"th"))</f>
        <v>th</v>
      </c>
      <c r="BB32">
        <f t="shared" si="15"/>
        <v>10</v>
      </c>
      <c r="BC32" t="str">
        <f>IF(OR(VALUE(RIGHT(BB32,5))={11,12,13}),"th",IF(OR(VALUE(RIGHT(BB32))={1,2,3}),CHOOSE(RIGHT(BB32),"st","nd","rd"),"th"))</f>
        <v>th</v>
      </c>
      <c r="BD32">
        <f t="shared" si="16"/>
        <v>24</v>
      </c>
      <c r="BE32" t="str">
        <f>IF(OR(VALUE(RIGHT(BD32,5))={11,12,13}),"th",IF(OR(VALUE(RIGHT(BD32))={1,2,3}),CHOOSE(RIGHT(BD32),"st","nd","rd"),"th"))</f>
        <v>th</v>
      </c>
      <c r="BF32">
        <f t="shared" si="17"/>
        <v>18</v>
      </c>
      <c r="BG32" t="str">
        <f>IF(OR(VALUE(RIGHT(BF32,5))={11,12,13}),"th",IF(OR(VALUE(RIGHT(BF32))={1,2,3}),CHOOSE(RIGHT(BF32),"st","nd","rd"),"th"))</f>
        <v>th</v>
      </c>
      <c r="BH32">
        <f t="shared" si="18"/>
        <v>55</v>
      </c>
      <c r="BI32" t="str">
        <f>IF(OR(VALUE(RIGHT(BH32,5))={11,12,13}),"th",IF(OR(VALUE(RIGHT(BH32))={1,2,3}),CHOOSE(RIGHT(BH32),"st","nd","rd"),"th"))</f>
        <v>th</v>
      </c>
      <c r="BJ32">
        <f t="shared" si="19"/>
        <v>18</v>
      </c>
      <c r="BK32" t="str" cm="1">
        <f t="array" ref="BK32">IF(OR(VALUE(RIGHT(BJ32,5))={11,12,13}),"th",IF(OR(VALUE(RIGHT(BJ32))={1,2,3}),CHOOSE(RIGHT(BJ32),"st","nd","rd"),"th"))</f>
        <v>th</v>
      </c>
      <c r="BL32">
        <f t="shared" si="20"/>
        <v>14</v>
      </c>
      <c r="BM32" t="str">
        <f>IF(OR(VALUE(RIGHT(BL32,5))={11,12,13}),"th",IF(OR(VALUE(RIGHT(BL32))={1,2,3}),CHOOSE(RIGHT(BL32),"st","nd","rd"),"th"))</f>
        <v>th</v>
      </c>
      <c r="BO32" s="30">
        <f t="shared" si="44"/>
        <v>487.5</v>
      </c>
      <c r="BP32">
        <f t="shared" si="21"/>
        <v>25</v>
      </c>
      <c r="BQ32" t="str">
        <f>IF(OR(VALUE(RIGHT(BP32,5))={11,12,13}),"th",IF(OR(VALUE(RIGHT(BP32))={1,2,3}),CHOOSE(RIGHT(BP32),"st","nd","rd"),"th"))</f>
        <v>th</v>
      </c>
      <c r="BS32" s="27">
        <f>ClassScore!M32</f>
        <v>39</v>
      </c>
      <c r="BT32" s="27">
        <f>ClassScore!N32</f>
        <v>38.5</v>
      </c>
      <c r="BU32" s="27">
        <f>ClassScore!O32</f>
        <v>35</v>
      </c>
      <c r="BV32" s="27">
        <f>ClassScore!P32</f>
        <v>25.5</v>
      </c>
      <c r="BW32" s="27">
        <f>ClassScore!Q32</f>
        <v>35.5</v>
      </c>
      <c r="BX32" s="27">
        <f>ClassScore!R32</f>
        <v>27.5</v>
      </c>
      <c r="BY32" s="27">
        <f>ClassScore!S32</f>
        <v>15</v>
      </c>
      <c r="BZ32" s="27">
        <f>ClassScore!T32</f>
        <v>5</v>
      </c>
      <c r="CA32" s="27">
        <f>ClassScore!U32</f>
        <v>25</v>
      </c>
      <c r="CB32" s="27">
        <f>ClassScore!V32</f>
        <v>41</v>
      </c>
      <c r="CD32" s="27">
        <f>Examscore!M32</f>
        <v>16</v>
      </c>
      <c r="CE32" s="27">
        <f>Examscore!N32</f>
        <v>16</v>
      </c>
      <c r="CF32" s="27">
        <f>Examscore!O32</f>
        <v>33.5</v>
      </c>
      <c r="CG32" s="27">
        <f>Examscore!P32</f>
        <v>11</v>
      </c>
      <c r="CH32" s="27">
        <f>Examscore!Q32</f>
        <v>24.5</v>
      </c>
      <c r="CI32" s="27">
        <f>Examscore!R32</f>
        <v>12.5</v>
      </c>
      <c r="CJ32" s="27">
        <f>Examscore!S32</f>
        <v>30.5</v>
      </c>
      <c r="CK32" s="27">
        <f>Examscore!T32</f>
        <v>15</v>
      </c>
      <c r="CL32" s="27">
        <f>Examscore!U32</f>
        <v>22.5</v>
      </c>
      <c r="CM32" s="27">
        <f>Examscore!V32</f>
        <v>19</v>
      </c>
    </row>
    <row r="33" spans="1:91" ht="15.75" x14ac:dyDescent="0.25">
      <c r="A33" s="5">
        <f>Student!A33</f>
        <v>432</v>
      </c>
      <c r="B33" s="21" t="str">
        <f>Student!B33</f>
        <v xml:space="preserve">APPIAH GLADYS  </v>
      </c>
      <c r="C33" s="28">
        <f>ClassScore!M33+Examscore!M33</f>
        <v>66</v>
      </c>
      <c r="D33" s="28">
        <f>ClassScore!N33+Examscore!N33</f>
        <v>62</v>
      </c>
      <c r="E33" s="28">
        <f>ClassScore!O33+Examscore!O33</f>
        <v>70</v>
      </c>
      <c r="F33" s="28">
        <f>ClassScore!P33+Examscore!P33</f>
        <v>50.5</v>
      </c>
      <c r="G33" s="28">
        <f>ClassScore!Q33+Examscore!Q33</f>
        <v>63.5</v>
      </c>
      <c r="H33" s="28">
        <f>ClassScore!R33+Examscore!R33</f>
        <v>42</v>
      </c>
      <c r="I33" s="28">
        <f>ClassScore!S33+Examscore!S33</f>
        <v>51.5</v>
      </c>
      <c r="J33" s="28">
        <f>ClassScore!T33+Examscore!T33</f>
        <v>55</v>
      </c>
      <c r="K33" s="28">
        <f>ClassScore!U33+Examscore!U33</f>
        <v>47</v>
      </c>
      <c r="L33" s="28">
        <f>ClassScore!V33+Examscore!V33</f>
        <v>56.5</v>
      </c>
      <c r="M33" s="5" t="str">
        <f t="shared" si="22"/>
        <v>High Average</v>
      </c>
      <c r="N33" s="5" t="str">
        <f t="shared" si="23"/>
        <v>Average</v>
      </c>
      <c r="O33" s="5" t="str">
        <f t="shared" si="24"/>
        <v>High</v>
      </c>
      <c r="P33" s="5" t="str">
        <f t="shared" si="25"/>
        <v>Low</v>
      </c>
      <c r="Q33" s="5" t="str">
        <f t="shared" si="26"/>
        <v>Average</v>
      </c>
      <c r="R33" s="5" t="str">
        <f t="shared" si="27"/>
        <v>Lower</v>
      </c>
      <c r="S33" s="5" t="str">
        <f t="shared" si="28"/>
        <v>Low</v>
      </c>
      <c r="T33" s="5" t="str">
        <f t="shared" si="29"/>
        <v>Low Average</v>
      </c>
      <c r="U33" s="5" t="str">
        <f t="shared" si="30"/>
        <v>Lower</v>
      </c>
      <c r="V33" s="5" t="str">
        <f t="shared" si="31"/>
        <v>Low Average</v>
      </c>
      <c r="W33" s="5">
        <f t="shared" si="32"/>
        <v>4</v>
      </c>
      <c r="X33" s="5">
        <f t="shared" si="33"/>
        <v>5</v>
      </c>
      <c r="Y33" s="5">
        <f t="shared" si="34"/>
        <v>3</v>
      </c>
      <c r="Z33" s="5">
        <f t="shared" si="35"/>
        <v>7</v>
      </c>
      <c r="AA33" s="5">
        <f t="shared" si="36"/>
        <v>5</v>
      </c>
      <c r="AB33" s="5">
        <f t="shared" si="37"/>
        <v>8</v>
      </c>
      <c r="AC33" s="5">
        <f t="shared" si="38"/>
        <v>7</v>
      </c>
      <c r="AD33" s="5">
        <f t="shared" si="39"/>
        <v>6</v>
      </c>
      <c r="AE33" s="5">
        <f t="shared" si="40"/>
        <v>8</v>
      </c>
      <c r="AF33" s="5">
        <f t="shared" si="41"/>
        <v>6</v>
      </c>
      <c r="AG33" s="34">
        <f>SUM(C33,D33,F33,G33)+LARGE((E33,H33,I33,J33,K33,L33),1)+LARGE((E33,H33,I33,J33,K33,L33),2)</f>
        <v>368.5</v>
      </c>
      <c r="AH33" s="5">
        <f>SUM(W33,X33,Z33,AA33)+SMALL((Y33,AB33,AC33,AD33,AE33,AF33),1)+SMALL((Y33,AB33,AC33,AD33,AE33,AF33),2)</f>
        <v>30</v>
      </c>
      <c r="AI33" s="15" t="str">
        <f>'Teacher''s Remarks'!M34</f>
        <v>PATIENCE AFUA MENSAH</v>
      </c>
      <c r="AJ33" s="15" t="str">
        <f>'Teacher''s Remarks'!N34</f>
        <v>Dutiful</v>
      </c>
      <c r="AK33" s="15" t="str">
        <f>'Teacher''s Remarks'!O34</f>
        <v>She is regular and puntual to school</v>
      </c>
      <c r="AL33" s="15" t="str">
        <f>'Teacher''s Remarks'!P34</f>
        <v>You have the potential to excel</v>
      </c>
      <c r="AM33" s="13" t="str">
        <f t="shared" si="42"/>
        <v xml:space="preserve">APPIAH GLADYS  </v>
      </c>
      <c r="AN33" s="14">
        <f>Attendance!B33</f>
        <v>66</v>
      </c>
      <c r="AO33" s="15"/>
      <c r="AP33" s="15"/>
      <c r="AQ33" s="22">
        <f t="shared" ca="1" si="43"/>
        <v>45764</v>
      </c>
      <c r="AR33" s="15"/>
      <c r="AT33" s="12">
        <f t="shared" si="11"/>
        <v>9</v>
      </c>
      <c r="AU33" t="str">
        <f>IF(OR(VALUE(RIGHT(AT33,5))={11,12,13}),"th",IF(OR(VALUE(RIGHT(AT33))={1,2,3}),CHOOSE(RIGHT(AT33),"st","nd","rd"),"th"))</f>
        <v>th</v>
      </c>
      <c r="AV33">
        <f t="shared" si="12"/>
        <v>12</v>
      </c>
      <c r="AW33" t="str">
        <f>IF(OR(VALUE(RIGHT(AV33,5))={11,12,13}),"th",IF(OR(VALUE(RIGHT(AV33))={1,2,3}),CHOOSE(RIGHT(AV33),"st","nd","rd"),"th"))</f>
        <v>th</v>
      </c>
      <c r="AX33">
        <f t="shared" si="13"/>
        <v>13</v>
      </c>
      <c r="AY33" t="str">
        <f>IF(OR(VALUE(RIGHT(AX33,5))={11,12,13}),"th",IF(OR(VALUE(RIGHT(AX33))={1,2,3}),CHOOSE(RIGHT(AX33),"st","nd","rd"),"th"))</f>
        <v>th</v>
      </c>
      <c r="AZ33">
        <f t="shared" si="14"/>
        <v>12</v>
      </c>
      <c r="BA33" t="str">
        <f>IF(OR(VALUE(RIGHT(AZ33,5))={11,12,13}),"th",IF(OR(VALUE(RIGHT(AZ33))={1,2,3}),CHOOSE(RIGHT(AZ33),"st","nd","rd"),"th"))</f>
        <v>th</v>
      </c>
      <c r="BB33">
        <f t="shared" si="15"/>
        <v>7</v>
      </c>
      <c r="BC33" t="str">
        <f>IF(OR(VALUE(RIGHT(BB33,5))={11,12,13}),"th",IF(OR(VALUE(RIGHT(BB33))={1,2,3}),CHOOSE(RIGHT(BB33),"st","nd","rd"),"th"))</f>
        <v>th</v>
      </c>
      <c r="BD33">
        <f t="shared" si="16"/>
        <v>17</v>
      </c>
      <c r="BE33" t="str">
        <f>IF(OR(VALUE(RIGHT(BD33,5))={11,12,13}),"th",IF(OR(VALUE(RIGHT(BD33))={1,2,3}),CHOOSE(RIGHT(BD33),"st","nd","rd"),"th"))</f>
        <v>th</v>
      </c>
      <c r="BF33">
        <f t="shared" si="17"/>
        <v>9</v>
      </c>
      <c r="BG33" t="str">
        <f>IF(OR(VALUE(RIGHT(BF33,5))={11,12,13}),"th",IF(OR(VALUE(RIGHT(BF33))={1,2,3}),CHOOSE(RIGHT(BF33),"st","nd","rd"),"th"))</f>
        <v>th</v>
      </c>
      <c r="BH33">
        <f t="shared" si="18"/>
        <v>10</v>
      </c>
      <c r="BI33" t="str">
        <f>IF(OR(VALUE(RIGHT(BH33,5))={11,12,13}),"th",IF(OR(VALUE(RIGHT(BH33))={1,2,3}),CHOOSE(RIGHT(BH33),"st","nd","rd"),"th"))</f>
        <v>th</v>
      </c>
      <c r="BJ33">
        <f t="shared" si="19"/>
        <v>20</v>
      </c>
      <c r="BK33" t="str" cm="1">
        <f t="array" ref="BK33">IF(OR(VALUE(RIGHT(BJ33,5))={11,12,13}),"th",IF(OR(VALUE(RIGHT(BJ33))={1,2,3}),CHOOSE(RIGHT(BJ33),"st","nd","rd"),"th"))</f>
        <v>th</v>
      </c>
      <c r="BL33">
        <f t="shared" si="20"/>
        <v>26</v>
      </c>
      <c r="BM33" t="str">
        <f>IF(OR(VALUE(RIGHT(BL33,5))={11,12,13}),"th",IF(OR(VALUE(RIGHT(BL33))={1,2,3}),CHOOSE(RIGHT(BL33),"st","nd","rd"),"th"))</f>
        <v>th</v>
      </c>
      <c r="BO33" s="30">
        <f t="shared" si="44"/>
        <v>564</v>
      </c>
      <c r="BP33">
        <f t="shared" si="21"/>
        <v>7</v>
      </c>
      <c r="BQ33" t="str">
        <f>IF(OR(VALUE(RIGHT(BP33,5))={11,12,13}),"th",IF(OR(VALUE(RIGHT(BP33))={1,2,3}),CHOOSE(RIGHT(BP33),"st","nd","rd"),"th"))</f>
        <v>th</v>
      </c>
      <c r="BS33" s="27">
        <f>ClassScore!M33</f>
        <v>45</v>
      </c>
      <c r="BT33" s="27">
        <f>ClassScore!N33</f>
        <v>41</v>
      </c>
      <c r="BU33" s="27">
        <f>ClassScore!O33</f>
        <v>29</v>
      </c>
      <c r="BV33" s="27">
        <f>ClassScore!P33</f>
        <v>39.5</v>
      </c>
      <c r="BW33" s="27">
        <f>ClassScore!Q33</f>
        <v>33</v>
      </c>
      <c r="BX33" s="27">
        <f>ClassScore!R33</f>
        <v>26.5</v>
      </c>
      <c r="BY33" s="27">
        <f>ClassScore!S33</f>
        <v>27</v>
      </c>
      <c r="BZ33" s="27">
        <f>ClassScore!T33</f>
        <v>28</v>
      </c>
      <c r="CA33" s="27">
        <f>ClassScore!U33</f>
        <v>20</v>
      </c>
      <c r="CB33" s="27">
        <f>ClassScore!V33</f>
        <v>38</v>
      </c>
      <c r="CD33" s="27">
        <f>Examscore!M33</f>
        <v>21</v>
      </c>
      <c r="CE33" s="27">
        <f>Examscore!N33</f>
        <v>21</v>
      </c>
      <c r="CF33" s="27">
        <f>Examscore!O33</f>
        <v>41</v>
      </c>
      <c r="CG33" s="27">
        <f>Examscore!P33</f>
        <v>11</v>
      </c>
      <c r="CH33" s="27">
        <f>Examscore!Q33</f>
        <v>30.5</v>
      </c>
      <c r="CI33" s="27">
        <f>Examscore!R33</f>
        <v>15.5</v>
      </c>
      <c r="CJ33" s="27">
        <f>Examscore!S33</f>
        <v>24.5</v>
      </c>
      <c r="CK33" s="27">
        <f>Examscore!T33</f>
        <v>27</v>
      </c>
      <c r="CL33" s="27">
        <f>Examscore!U33</f>
        <v>27</v>
      </c>
      <c r="CM33" s="27">
        <f>Examscore!V33</f>
        <v>18.5</v>
      </c>
    </row>
    <row r="34" spans="1:91" ht="15.75" x14ac:dyDescent="0.25">
      <c r="A34" s="5">
        <f>Student!A34</f>
        <v>320</v>
      </c>
      <c r="B34" s="21" t="str">
        <f>Student!B34</f>
        <v xml:space="preserve">ASAMOAH STELLA  </v>
      </c>
      <c r="C34" s="28">
        <f>ClassScore!M34+Examscore!M34</f>
        <v>64</v>
      </c>
      <c r="D34" s="28">
        <f>ClassScore!N34+Examscore!N34</f>
        <v>60.5</v>
      </c>
      <c r="E34" s="28">
        <f>ClassScore!O34+Examscore!O34</f>
        <v>43.5</v>
      </c>
      <c r="F34" s="28">
        <f>ClassScore!P34+Examscore!P34</f>
        <v>41.5</v>
      </c>
      <c r="G34" s="28">
        <f>ClassScore!Q34+Examscore!Q34</f>
        <v>48</v>
      </c>
      <c r="H34" s="28">
        <f>ClassScore!R34+Examscore!R34</f>
        <v>41</v>
      </c>
      <c r="I34" s="28">
        <f>ClassScore!S34+Examscore!S34</f>
        <v>35.5</v>
      </c>
      <c r="J34" s="28">
        <f>ClassScore!T34+Examscore!T34</f>
        <v>29.5</v>
      </c>
      <c r="K34" s="28">
        <f>ClassScore!U34+Examscore!U34</f>
        <v>39.5</v>
      </c>
      <c r="L34" s="28">
        <f>ClassScore!V34+Examscore!V34</f>
        <v>50</v>
      </c>
      <c r="M34" s="5" t="str">
        <f t="shared" si="22"/>
        <v>Average</v>
      </c>
      <c r="N34" s="5" t="str">
        <f t="shared" si="23"/>
        <v>Average</v>
      </c>
      <c r="O34" s="5" t="str">
        <f t="shared" si="24"/>
        <v>Lower</v>
      </c>
      <c r="P34" s="5" t="str">
        <f t="shared" si="25"/>
        <v>Lower</v>
      </c>
      <c r="Q34" s="5" t="str">
        <f t="shared" si="26"/>
        <v>Lower</v>
      </c>
      <c r="R34" s="5" t="str">
        <f t="shared" si="27"/>
        <v>Lower</v>
      </c>
      <c r="S34" s="5" t="str">
        <f t="shared" si="28"/>
        <v>Lowest</v>
      </c>
      <c r="T34" s="5" t="str">
        <f t="shared" si="29"/>
        <v>Lowest</v>
      </c>
      <c r="U34" s="5" t="str">
        <f t="shared" si="30"/>
        <v>Lowest</v>
      </c>
      <c r="V34" s="5" t="str">
        <f t="shared" si="31"/>
        <v>Low</v>
      </c>
      <c r="W34" s="5">
        <f t="shared" si="32"/>
        <v>5</v>
      </c>
      <c r="X34" s="5">
        <f t="shared" si="33"/>
        <v>5</v>
      </c>
      <c r="Y34" s="5">
        <f t="shared" si="34"/>
        <v>8</v>
      </c>
      <c r="Z34" s="5">
        <f t="shared" si="35"/>
        <v>8</v>
      </c>
      <c r="AA34" s="5">
        <f t="shared" si="36"/>
        <v>8</v>
      </c>
      <c r="AB34" s="5">
        <f t="shared" si="37"/>
        <v>8</v>
      </c>
      <c r="AC34" s="5">
        <f t="shared" si="38"/>
        <v>9</v>
      </c>
      <c r="AD34" s="5">
        <f t="shared" si="39"/>
        <v>9</v>
      </c>
      <c r="AE34" s="5">
        <f t="shared" si="40"/>
        <v>9</v>
      </c>
      <c r="AF34" s="5">
        <f t="shared" si="41"/>
        <v>7</v>
      </c>
      <c r="AG34" s="34">
        <f>SUM(C34,D34,F34,G34)+LARGE((E34,H34,I34,J34,K34,L34),1)+LARGE((E34,H34,I34,J34,K34,L34),2)</f>
        <v>307.5</v>
      </c>
      <c r="AH34" s="5">
        <f>SUM(W34,X34,Z34,AA34)+SMALL((Y34,AB34,AC34,AD34,AE34,AF34),1)+SMALL((Y34,AB34,AC34,AD34,AE34,AF34),2)</f>
        <v>41</v>
      </c>
      <c r="AI34" s="15" t="str">
        <f>'Teacher''s Remarks'!M35</f>
        <v>PATIENCE AFUA MENSAH</v>
      </c>
      <c r="AJ34" s="15" t="str">
        <f>'Teacher''s Remarks'!N35</f>
        <v>Helpful</v>
      </c>
      <c r="AK34" s="15" t="str">
        <f>'Teacher''s Remarks'!O35</f>
        <v>She is regular and puntual to school</v>
      </c>
      <c r="AL34" s="15" t="str">
        <f>'Teacher''s Remarks'!P35</f>
        <v>You have the potential to excel</v>
      </c>
      <c r="AM34" s="13" t="str">
        <f t="shared" si="42"/>
        <v xml:space="preserve">ASAMOAH STELLA  </v>
      </c>
      <c r="AN34" s="14">
        <f>Attendance!B34</f>
        <v>67</v>
      </c>
      <c r="AO34" s="15"/>
      <c r="AP34" s="15"/>
      <c r="AQ34" s="22">
        <f t="shared" ca="1" si="43"/>
        <v>45764</v>
      </c>
      <c r="AR34" s="15"/>
      <c r="AT34" s="12">
        <f t="shared" ref="AT34:AT65" si="45">RANK(C34,$C$2:$C$117)</f>
        <v>16</v>
      </c>
      <c r="AU34" t="str">
        <f>IF(OR(VALUE(RIGHT(AT34,5))={11,12,13}),"th",IF(OR(VALUE(RIGHT(AT34))={1,2,3}),CHOOSE(RIGHT(AT34),"st","nd","rd"),"th"))</f>
        <v>th</v>
      </c>
      <c r="AV34">
        <f t="shared" ref="AV34:AV65" si="46">RANK(D34,$D$2:$D$117)</f>
        <v>16</v>
      </c>
      <c r="AW34" t="str">
        <f>IF(OR(VALUE(RIGHT(AV34,5))={11,12,13}),"th",IF(OR(VALUE(RIGHT(AV34))={1,2,3}),CHOOSE(RIGHT(AV34),"st","nd","rd"),"th"))</f>
        <v>th</v>
      </c>
      <c r="AX34">
        <f t="shared" ref="AX34:AX65" si="47">RANK(E34,$E$2:$E$117)</f>
        <v>49</v>
      </c>
      <c r="AY34" t="str">
        <f>IF(OR(VALUE(RIGHT(AX34,5))={11,12,13}),"th",IF(OR(VALUE(RIGHT(AX34))={1,2,3}),CHOOSE(RIGHT(AX34),"st","nd","rd"),"th"))</f>
        <v>th</v>
      </c>
      <c r="AZ34">
        <f t="shared" ref="AZ34:AZ65" si="48">RANK(F34,$F$2:$F$117)</f>
        <v>29</v>
      </c>
      <c r="BA34" t="str">
        <f>IF(OR(VALUE(RIGHT(AZ34,5))={11,12,13}),"th",IF(OR(VALUE(RIGHT(AZ34))={1,2,3}),CHOOSE(RIGHT(AZ34),"st","nd","rd"),"th"))</f>
        <v>th</v>
      </c>
      <c r="BB34">
        <f t="shared" ref="BB34:BB65" si="49">RANK(G34,$G$2:$G$117)</f>
        <v>36</v>
      </c>
      <c r="BC34" t="str">
        <f>IF(OR(VALUE(RIGHT(BB34,5))={11,12,13}),"th",IF(OR(VALUE(RIGHT(BB34))={1,2,3}),CHOOSE(RIGHT(BB34),"st","nd","rd"),"th"))</f>
        <v>th</v>
      </c>
      <c r="BD34">
        <f t="shared" ref="BD34:BD65" si="50">RANK(H34,$H$2:$H$117)</f>
        <v>22</v>
      </c>
      <c r="BE34" t="str">
        <f>IF(OR(VALUE(RIGHT(BD34,5))={11,12,13}),"th",IF(OR(VALUE(RIGHT(BD34))={1,2,3}),CHOOSE(RIGHT(BD34),"st","nd","rd"),"th"))</f>
        <v>nd</v>
      </c>
      <c r="BF34">
        <f t="shared" ref="BF34:BF65" si="51">RANK(I34,$I$2:$I$117)</f>
        <v>35</v>
      </c>
      <c r="BG34" t="str">
        <f>IF(OR(VALUE(RIGHT(BF34,5))={11,12,13}),"th",IF(OR(VALUE(RIGHT(BF34))={1,2,3}),CHOOSE(RIGHT(BF34),"st","nd","rd"),"th"))</f>
        <v>th</v>
      </c>
      <c r="BH34">
        <f t="shared" ref="BH34:BH65" si="52">RANK(J34,$J$2:$J$117)</f>
        <v>42</v>
      </c>
      <c r="BI34" t="str">
        <f>IF(OR(VALUE(RIGHT(BH34,5))={11,12,13}),"th",IF(OR(VALUE(RIGHT(BH34))={1,2,3}),CHOOSE(RIGHT(BH34),"st","nd","rd"),"th"))</f>
        <v>nd</v>
      </c>
      <c r="BJ34">
        <f t="shared" ref="BJ34:BJ65" si="53">RANK(K34,$K$2:$K$117)</f>
        <v>37</v>
      </c>
      <c r="BK34" t="str" cm="1">
        <f t="array" ref="BK34">IF(OR(VALUE(RIGHT(BJ34,5))={11,12,13}),"th",IF(OR(VALUE(RIGHT(BJ34))={1,2,3}),CHOOSE(RIGHT(BJ34),"st","nd","rd"),"th"))</f>
        <v>th</v>
      </c>
      <c r="BL34">
        <f t="shared" ref="BL34:BL65" si="54">RANK(L34,$L$2:$L$117)</f>
        <v>40</v>
      </c>
      <c r="BM34" t="str">
        <f>IF(OR(VALUE(RIGHT(BL34,5))={11,12,13}),"th",IF(OR(VALUE(RIGHT(BL34))={1,2,3}),CHOOSE(RIGHT(BL34),"st","nd","rd"),"th"))</f>
        <v>th</v>
      </c>
      <c r="BO34" s="30">
        <f t="shared" si="44"/>
        <v>453</v>
      </c>
      <c r="BP34">
        <f t="shared" ref="BP34:BP65" si="55">RANK(BO34,$BO$2:$BO$117)</f>
        <v>37</v>
      </c>
      <c r="BQ34" t="str">
        <f>IF(OR(VALUE(RIGHT(BP34,5))={11,12,13}),"th",IF(OR(VALUE(RIGHT(BP34))={1,2,3}),CHOOSE(RIGHT(BP34),"st","nd","rd"),"th"))</f>
        <v>th</v>
      </c>
      <c r="BS34" s="27">
        <f>ClassScore!M34</f>
        <v>49</v>
      </c>
      <c r="BT34" s="27">
        <f>ClassScore!N34</f>
        <v>45.5</v>
      </c>
      <c r="BU34" s="27">
        <f>ClassScore!O34</f>
        <v>21.5</v>
      </c>
      <c r="BV34" s="27">
        <f>ClassScore!P34</f>
        <v>30.5</v>
      </c>
      <c r="BW34" s="27">
        <f>ClassScore!Q34</f>
        <v>31</v>
      </c>
      <c r="BX34" s="27">
        <f>ClassScore!R34</f>
        <v>26.5</v>
      </c>
      <c r="BY34" s="27">
        <f>ClassScore!S34</f>
        <v>15</v>
      </c>
      <c r="BZ34" s="27">
        <f>ClassScore!T34</f>
        <v>20.5</v>
      </c>
      <c r="CA34" s="27">
        <f>ClassScore!U34</f>
        <v>17.5</v>
      </c>
      <c r="CB34" s="27">
        <f>ClassScore!V34</f>
        <v>36.5</v>
      </c>
      <c r="CD34" s="27">
        <f>Examscore!M34</f>
        <v>15</v>
      </c>
      <c r="CE34" s="27">
        <f>Examscore!N34</f>
        <v>15</v>
      </c>
      <c r="CF34" s="27">
        <f>Examscore!O34</f>
        <v>22</v>
      </c>
      <c r="CG34" s="27">
        <f>Examscore!P34</f>
        <v>11</v>
      </c>
      <c r="CH34" s="27">
        <f>Examscore!Q34</f>
        <v>17</v>
      </c>
      <c r="CI34" s="27">
        <f>Examscore!R34</f>
        <v>14.5</v>
      </c>
      <c r="CJ34" s="27">
        <f>Examscore!S34</f>
        <v>20.5</v>
      </c>
      <c r="CK34" s="27">
        <f>Examscore!T34</f>
        <v>9</v>
      </c>
      <c r="CL34" s="27">
        <f>Examscore!U34</f>
        <v>22</v>
      </c>
      <c r="CM34" s="27">
        <f>Examscore!V34</f>
        <v>13.5</v>
      </c>
    </row>
    <row r="35" spans="1:91" ht="15.75" x14ac:dyDescent="0.25">
      <c r="A35" s="5">
        <f>Student!A35</f>
        <v>2325</v>
      </c>
      <c r="B35" s="21" t="str">
        <f>Student!B35</f>
        <v xml:space="preserve">ASHANGBOR ABIGAIL  </v>
      </c>
      <c r="C35" s="28">
        <f>ClassScore!M35+Examscore!M35</f>
        <v>54.5</v>
      </c>
      <c r="D35" s="28">
        <f>ClassScore!N35+Examscore!N35</f>
        <v>55</v>
      </c>
      <c r="E35" s="28">
        <f>ClassScore!O35+Examscore!O35</f>
        <v>59</v>
      </c>
      <c r="F35" s="28">
        <f>ClassScore!P35+Examscore!P35</f>
        <v>50</v>
      </c>
      <c r="G35" s="28">
        <f>ClassScore!Q35+Examscore!Q35</f>
        <v>45.5</v>
      </c>
      <c r="H35" s="28">
        <f>ClassScore!R35+Examscore!R35</f>
        <v>33.5</v>
      </c>
      <c r="I35" s="28">
        <f>ClassScore!S35+Examscore!S35</f>
        <v>41</v>
      </c>
      <c r="J35" s="28">
        <f>ClassScore!T35+Examscore!T35</f>
        <v>29.5</v>
      </c>
      <c r="K35" s="28">
        <f>ClassScore!U35+Examscore!U35</f>
        <v>43</v>
      </c>
      <c r="L35" s="28">
        <f>ClassScore!V35+Examscore!V35</f>
        <v>47</v>
      </c>
      <c r="M35" s="5" t="str">
        <f t="shared" si="22"/>
        <v>Low</v>
      </c>
      <c r="N35" s="5" t="str">
        <f t="shared" si="23"/>
        <v>Low Average</v>
      </c>
      <c r="O35" s="5" t="str">
        <f t="shared" si="24"/>
        <v>Low Average</v>
      </c>
      <c r="P35" s="5" t="str">
        <f t="shared" si="25"/>
        <v>Low</v>
      </c>
      <c r="Q35" s="5" t="str">
        <f t="shared" si="26"/>
        <v>Lower</v>
      </c>
      <c r="R35" s="5" t="str">
        <f t="shared" si="27"/>
        <v>Lowest</v>
      </c>
      <c r="S35" s="5" t="str">
        <f t="shared" si="28"/>
        <v>Lower</v>
      </c>
      <c r="T35" s="5" t="str">
        <f t="shared" si="29"/>
        <v>Lowest</v>
      </c>
      <c r="U35" s="5" t="str">
        <f t="shared" si="30"/>
        <v>Lower</v>
      </c>
      <c r="V35" s="5" t="str">
        <f t="shared" si="31"/>
        <v>Lower</v>
      </c>
      <c r="W35" s="5">
        <f t="shared" si="32"/>
        <v>7</v>
      </c>
      <c r="X35" s="5">
        <f t="shared" si="33"/>
        <v>6</v>
      </c>
      <c r="Y35" s="5">
        <f t="shared" si="34"/>
        <v>6</v>
      </c>
      <c r="Z35" s="5">
        <f t="shared" si="35"/>
        <v>7</v>
      </c>
      <c r="AA35" s="5">
        <f t="shared" si="36"/>
        <v>8</v>
      </c>
      <c r="AB35" s="5">
        <f t="shared" si="37"/>
        <v>9</v>
      </c>
      <c r="AC35" s="5">
        <f t="shared" si="38"/>
        <v>8</v>
      </c>
      <c r="AD35" s="5">
        <f t="shared" si="39"/>
        <v>9</v>
      </c>
      <c r="AE35" s="5">
        <f t="shared" si="40"/>
        <v>8</v>
      </c>
      <c r="AF35" s="5">
        <f t="shared" si="41"/>
        <v>8</v>
      </c>
      <c r="AG35" s="34">
        <f>SUM(C35,D35,F35,G35)+LARGE((E35,H35,I35,J35,K35,L35),1)+LARGE((E35,H35,I35,J35,K35,L35),2)</f>
        <v>311</v>
      </c>
      <c r="AH35" s="5">
        <f>SUM(W35,X35,Z35,AA35)+SMALL((Y35,AB35,AC35,AD35,AE35,AF35),1)+SMALL((Y35,AB35,AC35,AD35,AE35,AF35),2)</f>
        <v>42</v>
      </c>
      <c r="AI35" s="15" t="str">
        <f>'Teacher''s Remarks'!M36</f>
        <v>PATIENCE AFUA MENSAH</v>
      </c>
      <c r="AJ35" s="15" t="str">
        <f>'Teacher''s Remarks'!N36</f>
        <v>Dutiful</v>
      </c>
      <c r="AK35" s="15" t="str">
        <f>'Teacher''s Remarks'!O36</f>
        <v>She is regular and puntual to school</v>
      </c>
      <c r="AL35" s="15" t="str">
        <f>'Teacher''s Remarks'!P36</f>
        <v>She is doing quite well but she should sit up</v>
      </c>
      <c r="AM35" s="13" t="str">
        <f t="shared" si="42"/>
        <v xml:space="preserve">ASHANGBOR ABIGAIL  </v>
      </c>
      <c r="AN35" s="14">
        <f>Attendance!B35</f>
        <v>63</v>
      </c>
      <c r="AO35" s="15"/>
      <c r="AP35" s="15"/>
      <c r="AQ35" s="22">
        <f t="shared" ca="1" si="43"/>
        <v>45764</v>
      </c>
      <c r="AR35" s="15"/>
      <c r="AT35" s="12">
        <f t="shared" si="45"/>
        <v>30</v>
      </c>
      <c r="AU35" t="str">
        <f>IF(OR(VALUE(RIGHT(AT35,5))={11,12,13}),"th",IF(OR(VALUE(RIGHT(AT35))={1,2,3}),CHOOSE(RIGHT(AT35),"st","nd","rd"),"th"))</f>
        <v>th</v>
      </c>
      <c r="AV35">
        <f t="shared" si="46"/>
        <v>27</v>
      </c>
      <c r="AW35" t="str">
        <f>IF(OR(VALUE(RIGHT(AV35,5))={11,12,13}),"th",IF(OR(VALUE(RIGHT(AV35))={1,2,3}),CHOOSE(RIGHT(AV35),"st","nd","rd"),"th"))</f>
        <v>th</v>
      </c>
      <c r="AX35">
        <f t="shared" si="47"/>
        <v>27</v>
      </c>
      <c r="AY35" t="str">
        <f>IF(OR(VALUE(RIGHT(AX35,5))={11,12,13}),"th",IF(OR(VALUE(RIGHT(AX35))={1,2,3}),CHOOSE(RIGHT(AX35),"st","nd","rd"),"th"))</f>
        <v>th</v>
      </c>
      <c r="AZ35">
        <f t="shared" si="48"/>
        <v>16</v>
      </c>
      <c r="BA35" t="str">
        <f>IF(OR(VALUE(RIGHT(AZ35,5))={11,12,13}),"th",IF(OR(VALUE(RIGHT(AZ35))={1,2,3}),CHOOSE(RIGHT(AZ35),"st","nd","rd"),"th"))</f>
        <v>th</v>
      </c>
      <c r="BB35">
        <f t="shared" si="49"/>
        <v>43</v>
      </c>
      <c r="BC35" t="str">
        <f>IF(OR(VALUE(RIGHT(BB35,5))={11,12,13}),"th",IF(OR(VALUE(RIGHT(BB35))={1,2,3}),CHOOSE(RIGHT(BB35),"st","nd","rd"),"th"))</f>
        <v>rd</v>
      </c>
      <c r="BD35">
        <f t="shared" si="50"/>
        <v>37</v>
      </c>
      <c r="BE35" t="str">
        <f>IF(OR(VALUE(RIGHT(BD35,5))={11,12,13}),"th",IF(OR(VALUE(RIGHT(BD35))={1,2,3}),CHOOSE(RIGHT(BD35),"st","nd","rd"),"th"))</f>
        <v>th</v>
      </c>
      <c r="BF35">
        <f t="shared" si="51"/>
        <v>25</v>
      </c>
      <c r="BG35" t="str">
        <f>IF(OR(VALUE(RIGHT(BF35,5))={11,12,13}),"th",IF(OR(VALUE(RIGHT(BF35))={1,2,3}),CHOOSE(RIGHT(BF35),"st","nd","rd"),"th"))</f>
        <v>th</v>
      </c>
      <c r="BH35">
        <f t="shared" si="52"/>
        <v>42</v>
      </c>
      <c r="BI35" t="str">
        <f>IF(OR(VALUE(RIGHT(BH35,5))={11,12,13}),"th",IF(OR(VALUE(RIGHT(BH35))={1,2,3}),CHOOSE(RIGHT(BH35),"st","nd","rd"),"th"))</f>
        <v>nd</v>
      </c>
      <c r="BJ35">
        <f t="shared" si="53"/>
        <v>30</v>
      </c>
      <c r="BK35" t="str" cm="1">
        <f t="array" ref="BK35">IF(OR(VALUE(RIGHT(BJ35,5))={11,12,13}),"th",IF(OR(VALUE(RIGHT(BJ35))={1,2,3}),CHOOSE(RIGHT(BJ35),"st","nd","rd"),"th"))</f>
        <v>th</v>
      </c>
      <c r="BL35">
        <f t="shared" si="54"/>
        <v>48</v>
      </c>
      <c r="BM35" t="str">
        <f>IF(OR(VALUE(RIGHT(BL35,5))={11,12,13}),"th",IF(OR(VALUE(RIGHT(BL35))={1,2,3}),CHOOSE(RIGHT(BL35),"st","nd","rd"),"th"))</f>
        <v>th</v>
      </c>
      <c r="BO35" s="30">
        <f t="shared" si="44"/>
        <v>458</v>
      </c>
      <c r="BP35">
        <f t="shared" si="55"/>
        <v>36</v>
      </c>
      <c r="BQ35" t="str">
        <f>IF(OR(VALUE(RIGHT(BP35,5))={11,12,13}),"th",IF(OR(VALUE(RIGHT(BP35))={1,2,3}),CHOOSE(RIGHT(BP35),"st","nd","rd"),"th"))</f>
        <v>th</v>
      </c>
      <c r="BS35" s="27">
        <f>ClassScore!M35</f>
        <v>39</v>
      </c>
      <c r="BT35" s="27">
        <f>ClassScore!N35</f>
        <v>39.5</v>
      </c>
      <c r="BU35" s="27">
        <f>ClassScore!O35</f>
        <v>31.5</v>
      </c>
      <c r="BV35" s="27">
        <f>ClassScore!P35</f>
        <v>45.5</v>
      </c>
      <c r="BW35" s="27">
        <f>ClassScore!Q35</f>
        <v>36.5</v>
      </c>
      <c r="BX35" s="27">
        <f>ClassScore!R35</f>
        <v>21.5</v>
      </c>
      <c r="BY35" s="27">
        <f>ClassScore!S35</f>
        <v>24</v>
      </c>
      <c r="BZ35" s="27">
        <f>ClassScore!T35</f>
        <v>22.5</v>
      </c>
      <c r="CA35" s="27">
        <f>ClassScore!U35</f>
        <v>28</v>
      </c>
      <c r="CB35" s="27">
        <f>ClassScore!V35</f>
        <v>36.5</v>
      </c>
      <c r="CD35" s="27">
        <f>Examscore!M35</f>
        <v>15.5</v>
      </c>
      <c r="CE35" s="27">
        <f>Examscore!N35</f>
        <v>15.5</v>
      </c>
      <c r="CF35" s="27">
        <f>Examscore!O35</f>
        <v>27.5</v>
      </c>
      <c r="CG35" s="27">
        <f>Examscore!P35</f>
        <v>4.5</v>
      </c>
      <c r="CH35" s="27">
        <f>Examscore!Q35</f>
        <v>9</v>
      </c>
      <c r="CI35" s="27">
        <f>Examscore!R35</f>
        <v>12</v>
      </c>
      <c r="CJ35" s="27">
        <f>Examscore!S35</f>
        <v>17</v>
      </c>
      <c r="CK35" s="27">
        <f>Examscore!T35</f>
        <v>7</v>
      </c>
      <c r="CL35" s="27">
        <f>Examscore!U35</f>
        <v>15</v>
      </c>
      <c r="CM35" s="27">
        <f>Examscore!V35</f>
        <v>10.5</v>
      </c>
    </row>
    <row r="36" spans="1:91" ht="15.75" x14ac:dyDescent="0.25">
      <c r="A36" s="5">
        <f>Student!A36</f>
        <v>272</v>
      </c>
      <c r="B36" s="21" t="str">
        <f>Student!B36</f>
        <v xml:space="preserve">ASIGBEY JOYCE  </v>
      </c>
      <c r="C36" s="28">
        <f>ClassScore!M36+Examscore!M36</f>
        <v>65</v>
      </c>
      <c r="D36" s="28">
        <f>ClassScore!N36+Examscore!N36</f>
        <v>62</v>
      </c>
      <c r="E36" s="28">
        <f>ClassScore!O36+Examscore!O36</f>
        <v>51.5</v>
      </c>
      <c r="F36" s="28">
        <f>ClassScore!P36+Examscore!P36</f>
        <v>29.5</v>
      </c>
      <c r="G36" s="28">
        <f>ClassScore!Q36+Examscore!Q36</f>
        <v>42.5</v>
      </c>
      <c r="H36" s="28">
        <f>ClassScore!R36+Examscore!R36</f>
        <v>32</v>
      </c>
      <c r="I36" s="28">
        <f>ClassScore!S36+Examscore!S36</f>
        <v>34</v>
      </c>
      <c r="J36" s="28">
        <f>ClassScore!T36+Examscore!T36</f>
        <v>27.5</v>
      </c>
      <c r="K36" s="28">
        <f>ClassScore!U36+Examscore!U36</f>
        <v>43.5</v>
      </c>
      <c r="L36" s="28">
        <f>ClassScore!V36+Examscore!V36</f>
        <v>46</v>
      </c>
      <c r="M36" s="5" t="str">
        <f t="shared" si="22"/>
        <v>High Average</v>
      </c>
      <c r="N36" s="5" t="str">
        <f t="shared" si="23"/>
        <v>Average</v>
      </c>
      <c r="O36" s="5" t="str">
        <f t="shared" si="24"/>
        <v>Low</v>
      </c>
      <c r="P36" s="5" t="str">
        <f t="shared" si="25"/>
        <v>Lowest</v>
      </c>
      <c r="Q36" s="5" t="str">
        <f t="shared" si="26"/>
        <v>Lower</v>
      </c>
      <c r="R36" s="5" t="str">
        <f t="shared" si="27"/>
        <v>Lowest</v>
      </c>
      <c r="S36" s="5" t="str">
        <f t="shared" si="28"/>
        <v>Lowest</v>
      </c>
      <c r="T36" s="5" t="str">
        <f t="shared" si="29"/>
        <v>Lowest</v>
      </c>
      <c r="U36" s="5" t="str">
        <f t="shared" si="30"/>
        <v>Lower</v>
      </c>
      <c r="V36" s="5" t="str">
        <f t="shared" si="31"/>
        <v>Lower</v>
      </c>
      <c r="W36" s="5">
        <f t="shared" si="32"/>
        <v>4</v>
      </c>
      <c r="X36" s="5">
        <f t="shared" si="33"/>
        <v>5</v>
      </c>
      <c r="Y36" s="5">
        <f t="shared" si="34"/>
        <v>7</v>
      </c>
      <c r="Z36" s="5">
        <f t="shared" si="35"/>
        <v>9</v>
      </c>
      <c r="AA36" s="5">
        <f t="shared" si="36"/>
        <v>8</v>
      </c>
      <c r="AB36" s="5">
        <f t="shared" si="37"/>
        <v>9</v>
      </c>
      <c r="AC36" s="5">
        <f t="shared" si="38"/>
        <v>9</v>
      </c>
      <c r="AD36" s="5">
        <f t="shared" si="39"/>
        <v>9</v>
      </c>
      <c r="AE36" s="5">
        <f t="shared" si="40"/>
        <v>8</v>
      </c>
      <c r="AF36" s="5">
        <f t="shared" si="41"/>
        <v>8</v>
      </c>
      <c r="AG36" s="34">
        <f>SUM(C36,D36,F36,G36)+LARGE((E36,H36,I36,J36,K36,L36),1)+LARGE((E36,H36,I36,J36,K36,L36),2)</f>
        <v>296.5</v>
      </c>
      <c r="AH36" s="5">
        <f>SUM(W36,X36,Z36,AA36)+SMALL((Y36,AB36,AC36,AD36,AE36,AF36),1)+SMALL((Y36,AB36,AC36,AD36,AE36,AF36),2)</f>
        <v>41</v>
      </c>
      <c r="AI36" s="15" t="str">
        <f>'Teacher''s Remarks'!M37</f>
        <v>PATIENCE AFUA MENSAH</v>
      </c>
      <c r="AJ36" s="15" t="str">
        <f>'Teacher''s Remarks'!N37</f>
        <v>Friendly</v>
      </c>
      <c r="AK36" s="15" t="str">
        <f>'Teacher''s Remarks'!O37</f>
        <v>She is regular and puntual to school</v>
      </c>
      <c r="AL36" s="15" t="str">
        <f>'Teacher''s Remarks'!P37</f>
        <v>She is doing quite well but she should sit up</v>
      </c>
      <c r="AM36" s="13" t="str">
        <f t="shared" si="42"/>
        <v xml:space="preserve">ASIGBEY JOYCE  </v>
      </c>
      <c r="AN36" s="14">
        <f>Attendance!B36</f>
        <v>67</v>
      </c>
      <c r="AO36" s="15"/>
      <c r="AP36" s="15"/>
      <c r="AQ36" s="22">
        <f t="shared" ca="1" si="43"/>
        <v>45764</v>
      </c>
      <c r="AR36" s="15"/>
      <c r="AT36" s="12">
        <f t="shared" si="45"/>
        <v>14</v>
      </c>
      <c r="AU36" t="str">
        <f>IF(OR(VALUE(RIGHT(AT36,5))={11,12,13}),"th",IF(OR(VALUE(RIGHT(AT36))={1,2,3}),CHOOSE(RIGHT(AT36),"st","nd","rd"),"th"))</f>
        <v>th</v>
      </c>
      <c r="AV36">
        <f t="shared" si="46"/>
        <v>12</v>
      </c>
      <c r="AW36" t="str">
        <f>IF(OR(VALUE(RIGHT(AV36,5))={11,12,13}),"th",IF(OR(VALUE(RIGHT(AV36))={1,2,3}),CHOOSE(RIGHT(AV36),"st","nd","rd"),"th"))</f>
        <v>th</v>
      </c>
      <c r="AX36">
        <f t="shared" si="47"/>
        <v>41</v>
      </c>
      <c r="AY36" t="str">
        <f>IF(OR(VALUE(RIGHT(AX36,5))={11,12,13}),"th",IF(OR(VALUE(RIGHT(AX36))={1,2,3}),CHOOSE(RIGHT(AX36),"st","nd","rd"),"th"))</f>
        <v>st</v>
      </c>
      <c r="AZ36">
        <f t="shared" si="48"/>
        <v>43</v>
      </c>
      <c r="BA36" t="str">
        <f>IF(OR(VALUE(RIGHT(AZ36,5))={11,12,13}),"th",IF(OR(VALUE(RIGHT(AZ36))={1,2,3}),CHOOSE(RIGHT(AZ36),"st","nd","rd"),"th"))</f>
        <v>rd</v>
      </c>
      <c r="BB36">
        <f t="shared" si="49"/>
        <v>47</v>
      </c>
      <c r="BC36" t="str">
        <f>IF(OR(VALUE(RIGHT(BB36,5))={11,12,13}),"th",IF(OR(VALUE(RIGHT(BB36))={1,2,3}),CHOOSE(RIGHT(BB36),"st","nd","rd"),"th"))</f>
        <v>th</v>
      </c>
      <c r="BD36">
        <f t="shared" si="50"/>
        <v>42</v>
      </c>
      <c r="BE36" t="str">
        <f>IF(OR(VALUE(RIGHT(BD36,5))={11,12,13}),"th",IF(OR(VALUE(RIGHT(BD36))={1,2,3}),CHOOSE(RIGHT(BD36),"st","nd","rd"),"th"))</f>
        <v>nd</v>
      </c>
      <c r="BF36">
        <f t="shared" si="51"/>
        <v>41</v>
      </c>
      <c r="BG36" t="str">
        <f>IF(OR(VALUE(RIGHT(BF36,5))={11,12,13}),"th",IF(OR(VALUE(RIGHT(BF36))={1,2,3}),CHOOSE(RIGHT(BF36),"st","nd","rd"),"th"))</f>
        <v>st</v>
      </c>
      <c r="BH36">
        <f t="shared" si="52"/>
        <v>46</v>
      </c>
      <c r="BI36" t="str">
        <f>IF(OR(VALUE(RIGHT(BH36,5))={11,12,13}),"th",IF(OR(VALUE(RIGHT(BH36))={1,2,3}),CHOOSE(RIGHT(BH36),"st","nd","rd"),"th"))</f>
        <v>th</v>
      </c>
      <c r="BJ36">
        <f t="shared" si="53"/>
        <v>29</v>
      </c>
      <c r="BK36" t="str" cm="1">
        <f t="array" ref="BK36">IF(OR(VALUE(RIGHT(BJ36,5))={11,12,13}),"th",IF(OR(VALUE(RIGHT(BJ36))={1,2,3}),CHOOSE(RIGHT(BJ36),"st","nd","rd"),"th"))</f>
        <v>th</v>
      </c>
      <c r="BL36">
        <f t="shared" si="54"/>
        <v>49</v>
      </c>
      <c r="BM36" t="str">
        <f>IF(OR(VALUE(RIGHT(BL36,5))={11,12,13}),"th",IF(OR(VALUE(RIGHT(BL36))={1,2,3}),CHOOSE(RIGHT(BL36),"st","nd","rd"),"th"))</f>
        <v>th</v>
      </c>
      <c r="BO36" s="30">
        <f t="shared" si="44"/>
        <v>433.5</v>
      </c>
      <c r="BP36">
        <f t="shared" si="55"/>
        <v>41</v>
      </c>
      <c r="BQ36" t="str">
        <f>IF(OR(VALUE(RIGHT(BP36,5))={11,12,13}),"th",IF(OR(VALUE(RIGHT(BP36))={1,2,3}),CHOOSE(RIGHT(BP36),"st","nd","rd"),"th"))</f>
        <v>st</v>
      </c>
      <c r="BS36" s="27">
        <f>ClassScore!M36</f>
        <v>50</v>
      </c>
      <c r="BT36" s="27">
        <f>ClassScore!N36</f>
        <v>47</v>
      </c>
      <c r="BU36" s="27">
        <f>ClassScore!O36</f>
        <v>21.5</v>
      </c>
      <c r="BV36" s="27">
        <f>ClassScore!P36</f>
        <v>22.5</v>
      </c>
      <c r="BW36" s="27">
        <f>ClassScore!Q36</f>
        <v>35.5</v>
      </c>
      <c r="BX36" s="27">
        <f>ClassScore!R36</f>
        <v>22</v>
      </c>
      <c r="BY36" s="27">
        <f>ClassScore!S36</f>
        <v>15</v>
      </c>
      <c r="BZ36" s="27">
        <f>ClassScore!T36</f>
        <v>17.5</v>
      </c>
      <c r="CA36" s="27">
        <f>ClassScore!U36</f>
        <v>30</v>
      </c>
      <c r="CB36" s="27">
        <f>ClassScore!V36</f>
        <v>29</v>
      </c>
      <c r="CD36" s="27">
        <f>Examscore!M36</f>
        <v>15</v>
      </c>
      <c r="CE36" s="27">
        <f>Examscore!N36</f>
        <v>15</v>
      </c>
      <c r="CF36" s="27">
        <f>Examscore!O36</f>
        <v>30</v>
      </c>
      <c r="CG36" s="27">
        <f>Examscore!P36</f>
        <v>7</v>
      </c>
      <c r="CH36" s="27">
        <f>Examscore!Q36</f>
        <v>7</v>
      </c>
      <c r="CI36" s="27">
        <f>Examscore!R36</f>
        <v>10</v>
      </c>
      <c r="CJ36" s="27">
        <f>Examscore!S36</f>
        <v>19</v>
      </c>
      <c r="CK36" s="27">
        <f>Examscore!T36</f>
        <v>10</v>
      </c>
      <c r="CL36" s="27">
        <f>Examscore!U36</f>
        <v>13.5</v>
      </c>
      <c r="CM36" s="27">
        <f>Examscore!V36</f>
        <v>17</v>
      </c>
    </row>
    <row r="37" spans="1:91" ht="15.75" x14ac:dyDescent="0.25">
      <c r="A37" s="5">
        <f>Student!A37</f>
        <v>643</v>
      </c>
      <c r="B37" s="21" t="str">
        <f>Student!B37</f>
        <v xml:space="preserve">ATTIPOE EUNICE </v>
      </c>
      <c r="C37" s="28">
        <f>ClassScore!M37+Examscore!M37</f>
        <v>70</v>
      </c>
      <c r="D37" s="28">
        <f>ClassScore!N37+Examscore!N37</f>
        <v>68.5</v>
      </c>
      <c r="E37" s="28">
        <f>ClassScore!O37+Examscore!O37</f>
        <v>73.5</v>
      </c>
      <c r="F37" s="28">
        <f>ClassScore!P37+Examscore!P37</f>
        <v>74.5</v>
      </c>
      <c r="G37" s="28">
        <f>ClassScore!Q37+Examscore!Q37</f>
        <v>67.5</v>
      </c>
      <c r="H37" s="28">
        <f>ClassScore!R37+Examscore!R37</f>
        <v>42</v>
      </c>
      <c r="I37" s="28">
        <f>ClassScore!S37+Examscore!S37</f>
        <v>68</v>
      </c>
      <c r="J37" s="28">
        <f>ClassScore!T37+Examscore!T37</f>
        <v>59.5</v>
      </c>
      <c r="K37" s="28">
        <f>ClassScore!U37+Examscore!U37</f>
        <v>54.5</v>
      </c>
      <c r="L37" s="28">
        <f>ClassScore!V37+Examscore!V37</f>
        <v>75</v>
      </c>
      <c r="M37" s="5" t="str">
        <f t="shared" si="22"/>
        <v>High</v>
      </c>
      <c r="N37" s="5" t="str">
        <f t="shared" si="23"/>
        <v>High Average</v>
      </c>
      <c r="O37" s="5" t="str">
        <f t="shared" si="24"/>
        <v>High</v>
      </c>
      <c r="P37" s="5" t="str">
        <f t="shared" si="25"/>
        <v>High</v>
      </c>
      <c r="Q37" s="5" t="str">
        <f t="shared" si="26"/>
        <v>High Average</v>
      </c>
      <c r="R37" s="5" t="str">
        <f t="shared" si="27"/>
        <v>Lower</v>
      </c>
      <c r="S37" s="5" t="str">
        <f t="shared" si="28"/>
        <v>High Average</v>
      </c>
      <c r="T37" s="5" t="str">
        <f t="shared" si="29"/>
        <v>Low Average</v>
      </c>
      <c r="U37" s="5" t="str">
        <f t="shared" si="30"/>
        <v>Low</v>
      </c>
      <c r="V37" s="5" t="str">
        <f t="shared" si="31"/>
        <v>High</v>
      </c>
      <c r="W37" s="5">
        <f t="shared" si="32"/>
        <v>3</v>
      </c>
      <c r="X37" s="5">
        <f t="shared" si="33"/>
        <v>4</v>
      </c>
      <c r="Y37" s="5">
        <f t="shared" si="34"/>
        <v>3</v>
      </c>
      <c r="Z37" s="5">
        <f t="shared" si="35"/>
        <v>3</v>
      </c>
      <c r="AA37" s="5">
        <f t="shared" si="36"/>
        <v>4</v>
      </c>
      <c r="AB37" s="5">
        <f t="shared" si="37"/>
        <v>8</v>
      </c>
      <c r="AC37" s="5">
        <f t="shared" si="38"/>
        <v>4</v>
      </c>
      <c r="AD37" s="5">
        <f t="shared" si="39"/>
        <v>6</v>
      </c>
      <c r="AE37" s="5">
        <f t="shared" si="40"/>
        <v>7</v>
      </c>
      <c r="AF37" s="5">
        <f t="shared" si="41"/>
        <v>3</v>
      </c>
      <c r="AG37" s="34">
        <f>SUM(C37,D37,F37,G37)+LARGE((E37,H37,I37,J37,K37,L37),1)+LARGE((E37,H37,I37,J37,K37,L37),2)</f>
        <v>429</v>
      </c>
      <c r="AH37" s="5">
        <f>SUM(W37,X37,Z37,AA37)+SMALL((Y37,AB37,AC37,AD37,AE37,AF37),1)+SMALL((Y37,AB37,AC37,AD37,AE37,AF37),2)</f>
        <v>20</v>
      </c>
      <c r="AI37" s="15" t="str">
        <f>'Teacher''s Remarks'!M38</f>
        <v>PATIENCE AFUA MENSAH</v>
      </c>
      <c r="AJ37" s="15" t="str">
        <f>'Teacher''s Remarks'!N38</f>
        <v>Respectful</v>
      </c>
      <c r="AK37" s="15" t="str">
        <f>'Teacher''s Remarks'!O38</f>
        <v>She is regular and puntual to school</v>
      </c>
      <c r="AL37" s="15" t="str">
        <f>'Teacher''s Remarks'!P38</f>
        <v>She is doing quite well but she should sit up</v>
      </c>
      <c r="AM37" s="13" t="str">
        <f t="shared" si="42"/>
        <v xml:space="preserve">ATTIPOE EUNICE </v>
      </c>
      <c r="AN37" s="14">
        <f>Attendance!B37</f>
        <v>62</v>
      </c>
      <c r="AO37" s="15"/>
      <c r="AP37" s="15"/>
      <c r="AQ37" s="22">
        <f t="shared" ca="1" si="43"/>
        <v>45764</v>
      </c>
      <c r="AR37" s="15"/>
      <c r="AT37" s="12">
        <f t="shared" si="45"/>
        <v>5</v>
      </c>
      <c r="AU37" t="str">
        <f>IF(OR(VALUE(RIGHT(AT37,5))={11,12,13}),"th",IF(OR(VALUE(RIGHT(AT37))={1,2,3}),CHOOSE(RIGHT(AT37),"st","nd","rd"),"th"))</f>
        <v>th</v>
      </c>
      <c r="AV37">
        <f t="shared" si="46"/>
        <v>4</v>
      </c>
      <c r="AW37" t="str">
        <f>IF(OR(VALUE(RIGHT(AV37,5))={11,12,13}),"th",IF(OR(VALUE(RIGHT(AV37))={1,2,3}),CHOOSE(RIGHT(AV37),"st","nd","rd"),"th"))</f>
        <v>th</v>
      </c>
      <c r="AX37">
        <f t="shared" si="47"/>
        <v>9</v>
      </c>
      <c r="AY37" t="str">
        <f>IF(OR(VALUE(RIGHT(AX37,5))={11,12,13}),"th",IF(OR(VALUE(RIGHT(AX37))={1,2,3}),CHOOSE(RIGHT(AX37),"st","nd","rd"),"th"))</f>
        <v>th</v>
      </c>
      <c r="AZ37">
        <f t="shared" si="48"/>
        <v>1</v>
      </c>
      <c r="BA37" t="str">
        <f>IF(OR(VALUE(RIGHT(AZ37,5))={11,12,13}),"th",IF(OR(VALUE(RIGHT(AZ37))={1,2,3}),CHOOSE(RIGHT(AZ37),"st","nd","rd"),"th"))</f>
        <v>st</v>
      </c>
      <c r="BB37">
        <f t="shared" si="49"/>
        <v>5</v>
      </c>
      <c r="BC37" t="str">
        <f>IF(OR(VALUE(RIGHT(BB37,5))={11,12,13}),"th",IF(OR(VALUE(RIGHT(BB37))={1,2,3}),CHOOSE(RIGHT(BB37),"st","nd","rd"),"th"))</f>
        <v>th</v>
      </c>
      <c r="BD37">
        <f t="shared" si="50"/>
        <v>17</v>
      </c>
      <c r="BE37" t="str">
        <f>IF(OR(VALUE(RIGHT(BD37,5))={11,12,13}),"th",IF(OR(VALUE(RIGHT(BD37))={1,2,3}),CHOOSE(RIGHT(BD37),"st","nd","rd"),"th"))</f>
        <v>th</v>
      </c>
      <c r="BF37">
        <f t="shared" si="51"/>
        <v>1</v>
      </c>
      <c r="BG37" t="str">
        <f>IF(OR(VALUE(RIGHT(BF37,5))={11,12,13}),"th",IF(OR(VALUE(RIGHT(BF37))={1,2,3}),CHOOSE(RIGHT(BF37),"st","nd","rd"),"th"))</f>
        <v>st</v>
      </c>
      <c r="BH37">
        <f t="shared" si="52"/>
        <v>5</v>
      </c>
      <c r="BI37" t="str">
        <f>IF(OR(VALUE(RIGHT(BH37,5))={11,12,13}),"th",IF(OR(VALUE(RIGHT(BH37))={1,2,3}),CHOOSE(RIGHT(BH37),"st","nd","rd"),"th"))</f>
        <v>th</v>
      </c>
      <c r="BJ37">
        <f t="shared" si="53"/>
        <v>9</v>
      </c>
      <c r="BK37" t="str" cm="1">
        <f t="array" ref="BK37">IF(OR(VALUE(RIGHT(BJ37,5))={11,12,13}),"th",IF(OR(VALUE(RIGHT(BJ37))={1,2,3}),CHOOSE(RIGHT(BJ37),"st","nd","rd"),"th"))</f>
        <v>th</v>
      </c>
      <c r="BL37">
        <f t="shared" si="54"/>
        <v>3</v>
      </c>
      <c r="BM37" t="str">
        <f>IF(OR(VALUE(RIGHT(BL37,5))={11,12,13}),"th",IF(OR(VALUE(RIGHT(BL37))={1,2,3}),CHOOSE(RIGHT(BL37),"st","nd","rd"),"th"))</f>
        <v>rd</v>
      </c>
      <c r="BO37" s="30">
        <f t="shared" si="44"/>
        <v>653</v>
      </c>
      <c r="BP37">
        <f t="shared" si="55"/>
        <v>3</v>
      </c>
      <c r="BQ37" t="str">
        <f>IF(OR(VALUE(RIGHT(BP37,5))={11,12,13}),"th",IF(OR(VALUE(RIGHT(BP37))={1,2,3}),CHOOSE(RIGHT(BP37),"st","nd","rd"),"th"))</f>
        <v>rd</v>
      </c>
      <c r="BS37" s="27">
        <f>ClassScore!M37</f>
        <v>43</v>
      </c>
      <c r="BT37" s="27">
        <f>ClassScore!N37</f>
        <v>41.5</v>
      </c>
      <c r="BU37" s="27">
        <f>ClassScore!O37</f>
        <v>37</v>
      </c>
      <c r="BV37" s="27">
        <f>ClassScore!P37</f>
        <v>47.5</v>
      </c>
      <c r="BW37" s="27">
        <f>ClassScore!Q37</f>
        <v>40</v>
      </c>
      <c r="BX37" s="27">
        <f>ClassScore!R37</f>
        <v>34</v>
      </c>
      <c r="BY37" s="27">
        <f>ClassScore!S37</f>
        <v>37</v>
      </c>
      <c r="BZ37" s="27">
        <f>ClassScore!T37</f>
        <v>30</v>
      </c>
      <c r="CA37" s="27">
        <f>ClassScore!U37</f>
        <v>26</v>
      </c>
      <c r="CB37" s="27">
        <f>ClassScore!V37</f>
        <v>50</v>
      </c>
      <c r="CD37" s="27">
        <f>Examscore!M37</f>
        <v>27</v>
      </c>
      <c r="CE37" s="27">
        <f>Examscore!N37</f>
        <v>27</v>
      </c>
      <c r="CF37" s="27">
        <f>Examscore!O37</f>
        <v>36.5</v>
      </c>
      <c r="CG37" s="27">
        <f>Examscore!P37</f>
        <v>27</v>
      </c>
      <c r="CH37" s="27">
        <f>Examscore!Q37</f>
        <v>27.5</v>
      </c>
      <c r="CI37" s="27">
        <f>Examscore!R37</f>
        <v>8</v>
      </c>
      <c r="CJ37" s="27">
        <f>Examscore!S37</f>
        <v>31</v>
      </c>
      <c r="CK37" s="27">
        <f>Examscore!T37</f>
        <v>29.5</v>
      </c>
      <c r="CL37" s="27">
        <f>Examscore!U37</f>
        <v>28.5</v>
      </c>
      <c r="CM37" s="27">
        <f>Examscore!V37</f>
        <v>25</v>
      </c>
    </row>
    <row r="38" spans="1:91" ht="15.75" x14ac:dyDescent="0.25">
      <c r="A38" s="5">
        <f>Student!A38</f>
        <v>4062</v>
      </c>
      <c r="B38" s="21" t="str">
        <f>Student!B38</f>
        <v xml:space="preserve">BAAH COMFORT  </v>
      </c>
      <c r="C38" s="28">
        <f>ClassScore!M38+Examscore!M38</f>
        <v>54.5</v>
      </c>
      <c r="D38" s="28">
        <f>ClassScore!N38+Examscore!N38</f>
        <v>41.5</v>
      </c>
      <c r="E38" s="28">
        <f>ClassScore!O38+Examscore!O38</f>
        <v>38</v>
      </c>
      <c r="F38" s="28">
        <f>ClassScore!P38+Examscore!P38</f>
        <v>26</v>
      </c>
      <c r="G38" s="28">
        <f>ClassScore!Q38+Examscore!Q38</f>
        <v>49.5</v>
      </c>
      <c r="H38" s="28">
        <f>ClassScore!R38+Examscore!R38</f>
        <v>30</v>
      </c>
      <c r="I38" s="28">
        <f>ClassScore!S38+Examscore!S38</f>
        <v>54.5</v>
      </c>
      <c r="J38" s="28">
        <f>ClassScore!T38+Examscore!T38</f>
        <v>24.5</v>
      </c>
      <c r="K38" s="28">
        <f>ClassScore!U38+Examscore!U38</f>
        <v>22.5</v>
      </c>
      <c r="L38" s="28">
        <f>ClassScore!V38+Examscore!V38</f>
        <v>37</v>
      </c>
      <c r="M38" s="5" t="str">
        <f t="shared" si="22"/>
        <v>Low</v>
      </c>
      <c r="N38" s="5" t="str">
        <f t="shared" si="23"/>
        <v>Lower</v>
      </c>
      <c r="O38" s="5" t="str">
        <f t="shared" si="24"/>
        <v>Lowest</v>
      </c>
      <c r="P38" s="5" t="str">
        <f t="shared" si="25"/>
        <v>Lowest</v>
      </c>
      <c r="Q38" s="5" t="str">
        <f t="shared" si="26"/>
        <v>Lower</v>
      </c>
      <c r="R38" s="5" t="str">
        <f t="shared" si="27"/>
        <v>Lowest</v>
      </c>
      <c r="S38" s="5" t="str">
        <f t="shared" si="28"/>
        <v>Low</v>
      </c>
      <c r="T38" s="5" t="str">
        <f t="shared" si="29"/>
        <v>Lowest</v>
      </c>
      <c r="U38" s="5" t="str">
        <f t="shared" si="30"/>
        <v>Lowest</v>
      </c>
      <c r="V38" s="5" t="str">
        <f t="shared" si="31"/>
        <v>Lowest</v>
      </c>
      <c r="W38" s="5">
        <f t="shared" si="32"/>
        <v>7</v>
      </c>
      <c r="X38" s="5">
        <f t="shared" si="33"/>
        <v>8</v>
      </c>
      <c r="Y38" s="5">
        <f t="shared" si="34"/>
        <v>9</v>
      </c>
      <c r="Z38" s="5">
        <f t="shared" si="35"/>
        <v>9</v>
      </c>
      <c r="AA38" s="5">
        <f t="shared" si="36"/>
        <v>8</v>
      </c>
      <c r="AB38" s="5">
        <f t="shared" si="37"/>
        <v>9</v>
      </c>
      <c r="AC38" s="5">
        <f t="shared" si="38"/>
        <v>7</v>
      </c>
      <c r="AD38" s="5">
        <f t="shared" si="39"/>
        <v>9</v>
      </c>
      <c r="AE38" s="5">
        <f t="shared" si="40"/>
        <v>9</v>
      </c>
      <c r="AF38" s="5">
        <f t="shared" si="41"/>
        <v>9</v>
      </c>
      <c r="AG38" s="34">
        <f>SUM(C38,D38,F38,G38)+LARGE((E38,H38,I38,J38,K38,L38),1)+LARGE((E38,H38,I38,J38,K38,L38),2)</f>
        <v>264</v>
      </c>
      <c r="AH38" s="5">
        <f>SUM(W38,X38,Z38,AA38)+SMALL((Y38,AB38,AC38,AD38,AE38,AF38),1)+SMALL((Y38,AB38,AC38,AD38,AE38,AF38),2)</f>
        <v>48</v>
      </c>
      <c r="AI38" s="15" t="str">
        <f>'Teacher''s Remarks'!M39</f>
        <v>PATIENCE AFUA MENSAH</v>
      </c>
      <c r="AJ38" s="15" t="str">
        <f>'Teacher''s Remarks'!N39</f>
        <v>Helpful</v>
      </c>
      <c r="AK38" s="15" t="str">
        <f>'Teacher''s Remarks'!O39</f>
        <v>She is regular and puntual to school</v>
      </c>
      <c r="AL38" s="15" t="str">
        <f>'Teacher''s Remarks'!P39</f>
        <v>She is doing quite well but she should sit up</v>
      </c>
      <c r="AM38" s="13" t="str">
        <f t="shared" si="42"/>
        <v xml:space="preserve">BAAH COMFORT  </v>
      </c>
      <c r="AN38" s="14">
        <f>Attendance!B38</f>
        <v>59</v>
      </c>
      <c r="AO38" s="15"/>
      <c r="AP38" s="15"/>
      <c r="AQ38" s="22">
        <f t="shared" ca="1" si="43"/>
        <v>45764</v>
      </c>
      <c r="AR38" s="15"/>
      <c r="AT38" s="12">
        <f t="shared" si="45"/>
        <v>30</v>
      </c>
      <c r="AU38" t="str">
        <f>IF(OR(VALUE(RIGHT(AT38,5))={11,12,13}),"th",IF(OR(VALUE(RIGHT(AT38))={1,2,3}),CHOOSE(RIGHT(AT38),"st","nd","rd"),"th"))</f>
        <v>th</v>
      </c>
      <c r="AV38">
        <f t="shared" si="46"/>
        <v>51</v>
      </c>
      <c r="AW38" t="str">
        <f>IF(OR(VALUE(RIGHT(AV38,5))={11,12,13}),"th",IF(OR(VALUE(RIGHT(AV38))={1,2,3}),CHOOSE(RIGHT(AV38),"st","nd","rd"),"th"))</f>
        <v>st</v>
      </c>
      <c r="AX38">
        <f t="shared" si="47"/>
        <v>55</v>
      </c>
      <c r="AY38" t="str">
        <f>IF(OR(VALUE(RIGHT(AX38,5))={11,12,13}),"th",IF(OR(VALUE(RIGHT(AX38))={1,2,3}),CHOOSE(RIGHT(AX38),"st","nd","rd"),"th"))</f>
        <v>th</v>
      </c>
      <c r="AZ38">
        <f t="shared" si="48"/>
        <v>47</v>
      </c>
      <c r="BA38" t="str">
        <f>IF(OR(VALUE(RIGHT(AZ38,5))={11,12,13}),"th",IF(OR(VALUE(RIGHT(AZ38))={1,2,3}),CHOOSE(RIGHT(AZ38),"st","nd","rd"),"th"))</f>
        <v>th</v>
      </c>
      <c r="BB38">
        <f t="shared" si="49"/>
        <v>30</v>
      </c>
      <c r="BC38" t="str">
        <f>IF(OR(VALUE(RIGHT(BB38,5))={11,12,13}),"th",IF(OR(VALUE(RIGHT(BB38))={1,2,3}),CHOOSE(RIGHT(BB38),"st","nd","rd"),"th"))</f>
        <v>th</v>
      </c>
      <c r="BD38">
        <f t="shared" si="50"/>
        <v>49</v>
      </c>
      <c r="BE38" t="str">
        <f>IF(OR(VALUE(RIGHT(BD38,5))={11,12,13}),"th",IF(OR(VALUE(RIGHT(BD38))={1,2,3}),CHOOSE(RIGHT(BD38),"st","nd","rd"),"th"))</f>
        <v>th</v>
      </c>
      <c r="BF38">
        <f t="shared" si="51"/>
        <v>7</v>
      </c>
      <c r="BG38" t="str">
        <f>IF(OR(VALUE(RIGHT(BF38,5))={11,12,13}),"th",IF(OR(VALUE(RIGHT(BF38))={1,2,3}),CHOOSE(RIGHT(BF38),"st","nd","rd"),"th"))</f>
        <v>th</v>
      </c>
      <c r="BH38">
        <f t="shared" si="52"/>
        <v>52</v>
      </c>
      <c r="BI38" t="str">
        <f>IF(OR(VALUE(RIGHT(BH38,5))={11,12,13}),"th",IF(OR(VALUE(RIGHT(BH38))={1,2,3}),CHOOSE(RIGHT(BH38),"st","nd","rd"),"th"))</f>
        <v>nd</v>
      </c>
      <c r="BJ38">
        <f t="shared" si="53"/>
        <v>54</v>
      </c>
      <c r="BK38" t="str" cm="1">
        <f t="array" ref="BK38">IF(OR(VALUE(RIGHT(BJ38,5))={11,12,13}),"th",IF(OR(VALUE(RIGHT(BJ38))={1,2,3}),CHOOSE(RIGHT(BJ38),"st","nd","rd"),"th"))</f>
        <v>th</v>
      </c>
      <c r="BL38">
        <f t="shared" si="54"/>
        <v>55</v>
      </c>
      <c r="BM38" t="str">
        <f>IF(OR(VALUE(RIGHT(BL38,5))={11,12,13}),"th",IF(OR(VALUE(RIGHT(BL38))={1,2,3}),CHOOSE(RIGHT(BL38),"st","nd","rd"),"th"))</f>
        <v>th</v>
      </c>
      <c r="BO38" s="30">
        <f t="shared" si="44"/>
        <v>378</v>
      </c>
      <c r="BP38">
        <f t="shared" si="55"/>
        <v>52</v>
      </c>
      <c r="BQ38" t="str">
        <f>IF(OR(VALUE(RIGHT(BP38,5))={11,12,13}),"th",IF(OR(VALUE(RIGHT(BP38))={1,2,3}),CHOOSE(RIGHT(BP38),"st","nd","rd"),"th"))</f>
        <v>nd</v>
      </c>
      <c r="BS38" s="27">
        <f>ClassScore!M38</f>
        <v>46</v>
      </c>
      <c r="BT38" s="27">
        <f>ClassScore!N38</f>
        <v>33</v>
      </c>
      <c r="BU38" s="27">
        <f>ClassScore!O38</f>
        <v>20</v>
      </c>
      <c r="BV38" s="27">
        <f>ClassScore!P38</f>
        <v>18.5</v>
      </c>
      <c r="BW38" s="27">
        <f>ClassScore!Q38</f>
        <v>44</v>
      </c>
      <c r="BX38" s="27">
        <f>ClassScore!R38</f>
        <v>24.5</v>
      </c>
      <c r="BY38" s="27">
        <f>ClassScore!S38</f>
        <v>23.5</v>
      </c>
      <c r="BZ38" s="27">
        <f>ClassScore!T38</f>
        <v>17</v>
      </c>
      <c r="CA38" s="27">
        <f>ClassScore!U38</f>
        <v>13.5</v>
      </c>
      <c r="CB38" s="27">
        <f>ClassScore!V38</f>
        <v>29</v>
      </c>
      <c r="CD38" s="27">
        <f>Examscore!M38</f>
        <v>8.5</v>
      </c>
      <c r="CE38" s="27">
        <f>Examscore!N38</f>
        <v>8.5</v>
      </c>
      <c r="CF38" s="27">
        <f>Examscore!O38</f>
        <v>18</v>
      </c>
      <c r="CG38" s="27">
        <f>Examscore!P38</f>
        <v>7.5</v>
      </c>
      <c r="CH38" s="27">
        <f>Examscore!Q38</f>
        <v>5.5</v>
      </c>
      <c r="CI38" s="27">
        <f>Examscore!R38</f>
        <v>5.5</v>
      </c>
      <c r="CJ38" s="27">
        <f>Examscore!S38</f>
        <v>31</v>
      </c>
      <c r="CK38" s="27">
        <f>Examscore!T38</f>
        <v>7.5</v>
      </c>
      <c r="CL38" s="27">
        <f>Examscore!U38</f>
        <v>9</v>
      </c>
      <c r="CM38" s="27">
        <f>Examscore!V38</f>
        <v>8</v>
      </c>
    </row>
    <row r="39" spans="1:91" ht="15.75" x14ac:dyDescent="0.25">
      <c r="A39" s="5">
        <f>Student!A39</f>
        <v>670</v>
      </c>
      <c r="B39" s="21" t="str">
        <f>Student!B39</f>
        <v xml:space="preserve">BOATENG AGNES  </v>
      </c>
      <c r="C39" s="28">
        <f>ClassScore!M39+Examscore!M39</f>
        <v>59.5</v>
      </c>
      <c r="D39" s="28">
        <f>ClassScore!N39+Examscore!N39</f>
        <v>58</v>
      </c>
      <c r="E39" s="28">
        <f>ClassScore!O39+Examscore!O39</f>
        <v>68.5</v>
      </c>
      <c r="F39" s="28">
        <f>ClassScore!P39+Examscore!P39</f>
        <v>48.5</v>
      </c>
      <c r="G39" s="28">
        <f>ClassScore!Q39+Examscore!Q39</f>
        <v>62.5</v>
      </c>
      <c r="H39" s="28">
        <f>ClassScore!R39+Examscore!R39</f>
        <v>31</v>
      </c>
      <c r="I39" s="28">
        <f>ClassScore!S39+Examscore!S39</f>
        <v>31.5</v>
      </c>
      <c r="J39" s="28">
        <f>ClassScore!T39+Examscore!T39</f>
        <v>37</v>
      </c>
      <c r="K39" s="28">
        <f>ClassScore!U39+Examscore!U39</f>
        <v>39.5</v>
      </c>
      <c r="L39" s="28">
        <f>ClassScore!V39+Examscore!V39</f>
        <v>57</v>
      </c>
      <c r="M39" s="5" t="str">
        <f t="shared" si="22"/>
        <v>Low Average</v>
      </c>
      <c r="N39" s="5" t="str">
        <f t="shared" si="23"/>
        <v>Low Average</v>
      </c>
      <c r="O39" s="5" t="str">
        <f t="shared" si="24"/>
        <v>High Average</v>
      </c>
      <c r="P39" s="5" t="str">
        <f t="shared" si="25"/>
        <v>Lower</v>
      </c>
      <c r="Q39" s="5" t="str">
        <f t="shared" si="26"/>
        <v>Average</v>
      </c>
      <c r="R39" s="5" t="str">
        <f t="shared" si="27"/>
        <v>Lowest</v>
      </c>
      <c r="S39" s="5" t="str">
        <f t="shared" si="28"/>
        <v>Lowest</v>
      </c>
      <c r="T39" s="5" t="str">
        <f t="shared" si="29"/>
        <v>Lowest</v>
      </c>
      <c r="U39" s="5" t="str">
        <f t="shared" si="30"/>
        <v>Lowest</v>
      </c>
      <c r="V39" s="5" t="str">
        <f t="shared" si="31"/>
        <v>Low Average</v>
      </c>
      <c r="W39" s="5">
        <f t="shared" si="32"/>
        <v>6</v>
      </c>
      <c r="X39" s="5">
        <f t="shared" si="33"/>
        <v>6</v>
      </c>
      <c r="Y39" s="5">
        <f t="shared" si="34"/>
        <v>4</v>
      </c>
      <c r="Z39" s="5">
        <f t="shared" si="35"/>
        <v>8</v>
      </c>
      <c r="AA39" s="5">
        <f t="shared" si="36"/>
        <v>5</v>
      </c>
      <c r="AB39" s="5">
        <f t="shared" si="37"/>
        <v>9</v>
      </c>
      <c r="AC39" s="5">
        <f t="shared" si="38"/>
        <v>9</v>
      </c>
      <c r="AD39" s="5">
        <f t="shared" si="39"/>
        <v>9</v>
      </c>
      <c r="AE39" s="5">
        <f t="shared" si="40"/>
        <v>9</v>
      </c>
      <c r="AF39" s="5">
        <f t="shared" si="41"/>
        <v>6</v>
      </c>
      <c r="AG39" s="34">
        <f>SUM(C39,D39,F39,G39)+LARGE((E39,H39,I39,J39,K39,L39),1)+LARGE((E39,H39,I39,J39,K39,L39),2)</f>
        <v>354</v>
      </c>
      <c r="AH39" s="5">
        <f>SUM(W39,X39,Z39,AA39)+SMALL((Y39,AB39,AC39,AD39,AE39,AF39),1)+SMALL((Y39,AB39,AC39,AD39,AE39,AF39),2)</f>
        <v>35</v>
      </c>
      <c r="AI39" s="15" t="str">
        <f>'Teacher''s Remarks'!M40</f>
        <v>PATIENCE AFUA MENSAH</v>
      </c>
      <c r="AJ39" s="15" t="str">
        <f>'Teacher''s Remarks'!N40</f>
        <v>Active</v>
      </c>
      <c r="AK39" s="15" t="str">
        <f>'Teacher''s Remarks'!O40</f>
        <v>She is regular and puntual to school</v>
      </c>
      <c r="AL39" s="15" t="str">
        <f>'Teacher''s Remarks'!P40</f>
        <v>She is doing quite well but she should sit up</v>
      </c>
      <c r="AM39" s="13" t="str">
        <f t="shared" si="42"/>
        <v xml:space="preserve">BOATENG AGNES  </v>
      </c>
      <c r="AN39" s="14">
        <f>Attendance!B39</f>
        <v>67</v>
      </c>
      <c r="AO39" s="15"/>
      <c r="AP39" s="15"/>
      <c r="AQ39" s="22">
        <f t="shared" ca="1" si="43"/>
        <v>45764</v>
      </c>
      <c r="AR39" s="15"/>
      <c r="AT39" s="12">
        <f t="shared" si="45"/>
        <v>19</v>
      </c>
      <c r="AU39" t="str">
        <f>IF(OR(VALUE(RIGHT(AT39,5))={11,12,13}),"th",IF(OR(VALUE(RIGHT(AT39))={1,2,3}),CHOOSE(RIGHT(AT39),"st","nd","rd"),"th"))</f>
        <v>th</v>
      </c>
      <c r="AV39">
        <f t="shared" si="46"/>
        <v>20</v>
      </c>
      <c r="AW39" t="str">
        <f>IF(OR(VALUE(RIGHT(AV39,5))={11,12,13}),"th",IF(OR(VALUE(RIGHT(AV39))={1,2,3}),CHOOSE(RIGHT(AV39),"st","nd","rd"),"th"))</f>
        <v>th</v>
      </c>
      <c r="AX39">
        <f t="shared" si="47"/>
        <v>17</v>
      </c>
      <c r="AY39" t="str">
        <f>IF(OR(VALUE(RIGHT(AX39,5))={11,12,13}),"th",IF(OR(VALUE(RIGHT(AX39))={1,2,3}),CHOOSE(RIGHT(AX39),"st","nd","rd"),"th"))</f>
        <v>th</v>
      </c>
      <c r="AZ39">
        <f t="shared" si="48"/>
        <v>22</v>
      </c>
      <c r="BA39" t="str">
        <f>IF(OR(VALUE(RIGHT(AZ39,5))={11,12,13}),"th",IF(OR(VALUE(RIGHT(AZ39))={1,2,3}),CHOOSE(RIGHT(AZ39),"st","nd","rd"),"th"))</f>
        <v>nd</v>
      </c>
      <c r="BB39">
        <f t="shared" si="49"/>
        <v>8</v>
      </c>
      <c r="BC39" t="str">
        <f>IF(OR(VALUE(RIGHT(BB39,5))={11,12,13}),"th",IF(OR(VALUE(RIGHT(BB39))={1,2,3}),CHOOSE(RIGHT(BB39),"st","nd","rd"),"th"))</f>
        <v>th</v>
      </c>
      <c r="BD39">
        <f t="shared" si="50"/>
        <v>45</v>
      </c>
      <c r="BE39" t="str">
        <f>IF(OR(VALUE(RIGHT(BD39,5))={11,12,13}),"th",IF(OR(VALUE(RIGHT(BD39))={1,2,3}),CHOOSE(RIGHT(BD39),"st","nd","rd"),"th"))</f>
        <v>th</v>
      </c>
      <c r="BF39">
        <f t="shared" si="51"/>
        <v>47</v>
      </c>
      <c r="BG39" t="str">
        <f>IF(OR(VALUE(RIGHT(BF39,5))={11,12,13}),"th",IF(OR(VALUE(RIGHT(BF39))={1,2,3}),CHOOSE(RIGHT(BF39),"st","nd","rd"),"th"))</f>
        <v>th</v>
      </c>
      <c r="BH39">
        <f t="shared" si="52"/>
        <v>25</v>
      </c>
      <c r="BI39" t="str">
        <f>IF(OR(VALUE(RIGHT(BH39,5))={11,12,13}),"th",IF(OR(VALUE(RIGHT(BH39))={1,2,3}),CHOOSE(RIGHT(BH39),"st","nd","rd"),"th"))</f>
        <v>th</v>
      </c>
      <c r="BJ39">
        <f t="shared" si="53"/>
        <v>37</v>
      </c>
      <c r="BK39" t="str" cm="1">
        <f t="array" ref="BK39">IF(OR(VALUE(RIGHT(BJ39,5))={11,12,13}),"th",IF(OR(VALUE(RIGHT(BJ39))={1,2,3}),CHOOSE(RIGHT(BJ39),"st","nd","rd"),"th"))</f>
        <v>th</v>
      </c>
      <c r="BL39">
        <f t="shared" si="54"/>
        <v>24</v>
      </c>
      <c r="BM39" t="str">
        <f>IF(OR(VALUE(RIGHT(BL39,5))={11,12,13}),"th",IF(OR(VALUE(RIGHT(BL39))={1,2,3}),CHOOSE(RIGHT(BL39),"st","nd","rd"),"th"))</f>
        <v>th</v>
      </c>
      <c r="BO39" s="30">
        <f t="shared" si="44"/>
        <v>493</v>
      </c>
      <c r="BP39">
        <f t="shared" si="55"/>
        <v>23</v>
      </c>
      <c r="BQ39" t="str">
        <f>IF(OR(VALUE(RIGHT(BP39,5))={11,12,13}),"th",IF(OR(VALUE(RIGHT(BP39))={1,2,3}),CHOOSE(RIGHT(BP39),"st","nd","rd"),"th"))</f>
        <v>rd</v>
      </c>
      <c r="BS39" s="27">
        <f>ClassScore!M39</f>
        <v>46</v>
      </c>
      <c r="BT39" s="27">
        <f>ClassScore!N39</f>
        <v>44.5</v>
      </c>
      <c r="BU39" s="27">
        <f>ClassScore!O39</f>
        <v>30.5</v>
      </c>
      <c r="BV39" s="27">
        <f>ClassScore!P39</f>
        <v>37</v>
      </c>
      <c r="BW39" s="27">
        <f>ClassScore!Q39</f>
        <v>40</v>
      </c>
      <c r="BX39" s="27">
        <f>ClassScore!R39</f>
        <v>21.5</v>
      </c>
      <c r="BY39" s="27">
        <f>ClassScore!S39</f>
        <v>18</v>
      </c>
      <c r="BZ39" s="27">
        <f>ClassScore!T39</f>
        <v>22.5</v>
      </c>
      <c r="CA39" s="27">
        <f>ClassScore!U39</f>
        <v>20</v>
      </c>
      <c r="CB39" s="27">
        <f>ClassScore!V39</f>
        <v>39.5</v>
      </c>
      <c r="CD39" s="27">
        <f>Examscore!M39</f>
        <v>13.5</v>
      </c>
      <c r="CE39" s="27">
        <f>Examscore!N39</f>
        <v>13.5</v>
      </c>
      <c r="CF39" s="27">
        <f>Examscore!O39</f>
        <v>38</v>
      </c>
      <c r="CG39" s="27">
        <f>Examscore!P39</f>
        <v>11.5</v>
      </c>
      <c r="CH39" s="27">
        <f>Examscore!Q39</f>
        <v>22.5</v>
      </c>
      <c r="CI39" s="27">
        <f>Examscore!R39</f>
        <v>9.5</v>
      </c>
      <c r="CJ39" s="27">
        <f>Examscore!S39</f>
        <v>13.5</v>
      </c>
      <c r="CK39" s="27">
        <f>Examscore!T39</f>
        <v>14.5</v>
      </c>
      <c r="CL39" s="27">
        <f>Examscore!U39</f>
        <v>19.5</v>
      </c>
      <c r="CM39" s="27">
        <f>Examscore!V39</f>
        <v>17.5</v>
      </c>
    </row>
    <row r="40" spans="1:91" ht="15.75" x14ac:dyDescent="0.25">
      <c r="A40" s="5">
        <f>Student!A40</f>
        <v>269</v>
      </c>
      <c r="B40" s="21" t="str">
        <f>Student!B40</f>
        <v xml:space="preserve">BONNEY CHARITY  </v>
      </c>
      <c r="C40" s="28">
        <f>ClassScore!M40+Examscore!M40</f>
        <v>0</v>
      </c>
      <c r="D40" s="28">
        <f>ClassScore!N40+Examscore!N40</f>
        <v>0</v>
      </c>
      <c r="E40" s="28">
        <f>ClassScore!O40+Examscore!O40</f>
        <v>0</v>
      </c>
      <c r="F40" s="28">
        <f>ClassScore!P40+Examscore!P40</f>
        <v>0</v>
      </c>
      <c r="G40" s="28">
        <f>ClassScore!Q40+Examscore!Q40</f>
        <v>0</v>
      </c>
      <c r="H40" s="28">
        <f>ClassScore!R40+Examscore!R40</f>
        <v>0</v>
      </c>
      <c r="I40" s="28">
        <f>ClassScore!S40+Examscore!S40</f>
        <v>0</v>
      </c>
      <c r="J40" s="28">
        <f>ClassScore!T40+Examscore!T40</f>
        <v>0</v>
      </c>
      <c r="K40" s="28">
        <f>ClassScore!U40+Examscore!U40</f>
        <v>0</v>
      </c>
      <c r="L40" s="28">
        <f>ClassScore!V40+Examscore!V40</f>
        <v>10</v>
      </c>
      <c r="M40" s="5" t="str">
        <f t="shared" si="22"/>
        <v>--</v>
      </c>
      <c r="N40" s="5" t="str">
        <f t="shared" si="23"/>
        <v>--</v>
      </c>
      <c r="O40" s="5" t="str">
        <f t="shared" si="24"/>
        <v>--</v>
      </c>
      <c r="P40" s="5" t="str">
        <f t="shared" si="25"/>
        <v>--</v>
      </c>
      <c r="Q40" s="5" t="str">
        <f t="shared" si="26"/>
        <v>--</v>
      </c>
      <c r="R40" s="5" t="str">
        <f t="shared" si="27"/>
        <v>--</v>
      </c>
      <c r="S40" s="5" t="str">
        <f t="shared" si="28"/>
        <v>--</v>
      </c>
      <c r="T40" s="5" t="str">
        <f t="shared" si="29"/>
        <v>--</v>
      </c>
      <c r="U40" s="5" t="str">
        <f t="shared" si="30"/>
        <v>--</v>
      </c>
      <c r="V40" s="5" t="str">
        <f t="shared" si="31"/>
        <v>Lowest</v>
      </c>
      <c r="W40" s="5" t="str">
        <f t="shared" si="32"/>
        <v>--</v>
      </c>
      <c r="X40" s="5" t="str">
        <f t="shared" si="33"/>
        <v>--</v>
      </c>
      <c r="Y40" s="5" t="str">
        <f t="shared" si="34"/>
        <v>--</v>
      </c>
      <c r="Z40" s="5" t="str">
        <f t="shared" si="35"/>
        <v>--</v>
      </c>
      <c r="AA40" s="5" t="str">
        <f t="shared" si="36"/>
        <v>--</v>
      </c>
      <c r="AB40" s="5" t="str">
        <f t="shared" si="37"/>
        <v>--</v>
      </c>
      <c r="AC40" s="5" t="str">
        <f t="shared" si="38"/>
        <v>--</v>
      </c>
      <c r="AD40" s="5" t="str">
        <f t="shared" si="39"/>
        <v>--</v>
      </c>
      <c r="AE40" s="5" t="str">
        <f t="shared" si="40"/>
        <v>--</v>
      </c>
      <c r="AF40" s="5">
        <f t="shared" si="41"/>
        <v>9</v>
      </c>
      <c r="AG40" s="34">
        <f>SUM(C40,D40,F40,G40)+LARGE((E40,H40,I40,J40,K40,L40),1)+LARGE((E40,H40,I40,J40,K40,L40),2)</f>
        <v>10</v>
      </c>
      <c r="AH40" s="5" t="e">
        <f>SUM(W40,X40,Z40,AA40)+SMALL((Y40,AB40,AC40,AD40,AE40,AF40),1)+SMALL((Y40,AB40,AC40,AD40,AE40,AF40),2)</f>
        <v>#NUM!</v>
      </c>
      <c r="AI40" s="15" t="str">
        <f>'Teacher''s Remarks'!M41</f>
        <v>PATIENCE AFUA MENSAH</v>
      </c>
      <c r="AJ40" s="15" t="str">
        <f>'Teacher''s Remarks'!N41</f>
        <v>Helpful</v>
      </c>
      <c r="AK40" s="15" t="str">
        <f>'Teacher''s Remarks'!O41</f>
        <v>She is regular and puntual to school</v>
      </c>
      <c r="AL40" s="15" t="str">
        <f>'Teacher''s Remarks'!P41</f>
        <v>You have the potential to excel</v>
      </c>
      <c r="AM40" s="13" t="str">
        <f t="shared" si="42"/>
        <v xml:space="preserve">BONNEY CHARITY  </v>
      </c>
      <c r="AN40" s="14">
        <f>Attendance!B40</f>
        <v>0</v>
      </c>
      <c r="AO40" s="15"/>
      <c r="AP40" s="15"/>
      <c r="AQ40" s="22">
        <f t="shared" ca="1" si="43"/>
        <v>45764</v>
      </c>
      <c r="AR40" s="15"/>
      <c r="AT40" s="12">
        <f t="shared" si="45"/>
        <v>56</v>
      </c>
      <c r="AU40" t="str">
        <f>IF(OR(VALUE(RIGHT(AT40,5))={11,12,13}),"th",IF(OR(VALUE(RIGHT(AT40))={1,2,3}),CHOOSE(RIGHT(AT40),"st","nd","rd"),"th"))</f>
        <v>th</v>
      </c>
      <c r="AV40">
        <f t="shared" si="46"/>
        <v>56</v>
      </c>
      <c r="AW40" t="str">
        <f>IF(OR(VALUE(RIGHT(AV40,5))={11,12,13}),"th",IF(OR(VALUE(RIGHT(AV40))={1,2,3}),CHOOSE(RIGHT(AV40),"st","nd","rd"),"th"))</f>
        <v>th</v>
      </c>
      <c r="AX40">
        <f t="shared" si="47"/>
        <v>56</v>
      </c>
      <c r="AY40" t="str">
        <f>IF(OR(VALUE(RIGHT(AX40,5))={11,12,13}),"th",IF(OR(VALUE(RIGHT(AX40))={1,2,3}),CHOOSE(RIGHT(AX40),"st","nd","rd"),"th"))</f>
        <v>th</v>
      </c>
      <c r="AZ40">
        <f t="shared" si="48"/>
        <v>56</v>
      </c>
      <c r="BA40" t="str">
        <f>IF(OR(VALUE(RIGHT(AZ40,5))={11,12,13}),"th",IF(OR(VALUE(RIGHT(AZ40))={1,2,3}),CHOOSE(RIGHT(AZ40),"st","nd","rd"),"th"))</f>
        <v>th</v>
      </c>
      <c r="BB40">
        <f t="shared" si="49"/>
        <v>56</v>
      </c>
      <c r="BC40" t="str">
        <f>IF(OR(VALUE(RIGHT(BB40,5))={11,12,13}),"th",IF(OR(VALUE(RIGHT(BB40))={1,2,3}),CHOOSE(RIGHT(BB40),"st","nd","rd"),"th"))</f>
        <v>th</v>
      </c>
      <c r="BD40">
        <f t="shared" si="50"/>
        <v>56</v>
      </c>
      <c r="BE40" t="str">
        <f>IF(OR(VALUE(RIGHT(BD40,5))={11,12,13}),"th",IF(OR(VALUE(RIGHT(BD40))={1,2,3}),CHOOSE(RIGHT(BD40),"st","nd","rd"),"th"))</f>
        <v>th</v>
      </c>
      <c r="BF40">
        <f t="shared" si="51"/>
        <v>56</v>
      </c>
      <c r="BG40" t="str">
        <f>IF(OR(VALUE(RIGHT(BF40,5))={11,12,13}),"th",IF(OR(VALUE(RIGHT(BF40))={1,2,3}),CHOOSE(RIGHT(BF40),"st","nd","rd"),"th"))</f>
        <v>th</v>
      </c>
      <c r="BH40">
        <f t="shared" si="52"/>
        <v>56</v>
      </c>
      <c r="BI40" t="str">
        <f>IF(OR(VALUE(RIGHT(BH40,5))={11,12,13}),"th",IF(OR(VALUE(RIGHT(BH40))={1,2,3}),CHOOSE(RIGHT(BH40),"st","nd","rd"),"th"))</f>
        <v>th</v>
      </c>
      <c r="BJ40">
        <f t="shared" si="53"/>
        <v>56</v>
      </c>
      <c r="BK40" t="str" cm="1">
        <f t="array" ref="BK40">IF(OR(VALUE(RIGHT(BJ40,5))={11,12,13}),"th",IF(OR(VALUE(RIGHT(BJ40))={1,2,3}),CHOOSE(RIGHT(BJ40),"st","nd","rd"),"th"))</f>
        <v>th</v>
      </c>
      <c r="BL40">
        <f t="shared" si="54"/>
        <v>56</v>
      </c>
      <c r="BM40" t="str">
        <f>IF(OR(VALUE(RIGHT(BL40,5))={11,12,13}),"th",IF(OR(VALUE(RIGHT(BL40))={1,2,3}),CHOOSE(RIGHT(BL40),"st","nd","rd"),"th"))</f>
        <v>th</v>
      </c>
      <c r="BO40" s="30">
        <f t="shared" si="44"/>
        <v>10</v>
      </c>
      <c r="BP40">
        <f t="shared" si="55"/>
        <v>56</v>
      </c>
      <c r="BQ40" t="str">
        <f>IF(OR(VALUE(RIGHT(BP40,5))={11,12,13}),"th",IF(OR(VALUE(RIGHT(BP40))={1,2,3}),CHOOSE(RIGHT(BP40),"st","nd","rd"),"th"))</f>
        <v>th</v>
      </c>
      <c r="BS40" s="27">
        <f>ClassScore!M40</f>
        <v>0</v>
      </c>
      <c r="BT40" s="27">
        <f>ClassScore!N40</f>
        <v>0</v>
      </c>
      <c r="BU40" s="27">
        <f>ClassScore!O40</f>
        <v>0</v>
      </c>
      <c r="BV40" s="27">
        <f>ClassScore!P40</f>
        <v>0</v>
      </c>
      <c r="BW40" s="27">
        <f>ClassScore!Q40</f>
        <v>0</v>
      </c>
      <c r="BX40" s="27">
        <f>ClassScore!R40</f>
        <v>0</v>
      </c>
      <c r="BY40" s="27">
        <f>ClassScore!S40</f>
        <v>0</v>
      </c>
      <c r="BZ40" s="27">
        <f>ClassScore!T40</f>
        <v>0</v>
      </c>
      <c r="CA40" s="27">
        <f>ClassScore!U40</f>
        <v>0</v>
      </c>
      <c r="CB40" s="27">
        <f>ClassScore!V40</f>
        <v>10</v>
      </c>
      <c r="CD40" s="27">
        <f>Examscore!M40</f>
        <v>0</v>
      </c>
      <c r="CE40" s="27">
        <f>Examscore!N40</f>
        <v>0</v>
      </c>
      <c r="CF40" s="27">
        <f>Examscore!O40</f>
        <v>0</v>
      </c>
      <c r="CG40" s="27">
        <f>Examscore!P40</f>
        <v>0</v>
      </c>
      <c r="CH40" s="27">
        <f>Examscore!Q40</f>
        <v>0</v>
      </c>
      <c r="CI40" s="27">
        <f>Examscore!R40</f>
        <v>0</v>
      </c>
      <c r="CJ40" s="27">
        <f>Examscore!S40</f>
        <v>0</v>
      </c>
      <c r="CK40" s="27">
        <f>Examscore!T40</f>
        <v>0</v>
      </c>
      <c r="CL40" s="27">
        <f>Examscore!U40</f>
        <v>0</v>
      </c>
      <c r="CM40" s="27">
        <f>Examscore!V40</f>
        <v>0</v>
      </c>
    </row>
    <row r="41" spans="1:91" ht="15.75" x14ac:dyDescent="0.25">
      <c r="A41" s="5">
        <f>Student!A41</f>
        <v>514</v>
      </c>
      <c r="B41" s="21" t="str">
        <f>Student!B41</f>
        <v xml:space="preserve">DIXON HARRIET  </v>
      </c>
      <c r="C41" s="28">
        <f>ClassScore!M41+Examscore!M41</f>
        <v>69.5</v>
      </c>
      <c r="D41" s="28">
        <f>ClassScore!N41+Examscore!N41</f>
        <v>68.5</v>
      </c>
      <c r="E41" s="28">
        <f>ClassScore!O41+Examscore!O41</f>
        <v>74</v>
      </c>
      <c r="F41" s="28">
        <f>ClassScore!P41+Examscore!P41</f>
        <v>53.5</v>
      </c>
      <c r="G41" s="28">
        <f>ClassScore!Q41+Examscore!Q41</f>
        <v>72.5</v>
      </c>
      <c r="H41" s="28">
        <f>ClassScore!R41+Examscore!R41</f>
        <v>43.5</v>
      </c>
      <c r="I41" s="28">
        <f>ClassScore!S41+Examscore!S41</f>
        <v>37</v>
      </c>
      <c r="J41" s="28">
        <f>ClassScore!T41+Examscore!T41</f>
        <v>63</v>
      </c>
      <c r="K41" s="28">
        <f>ClassScore!U41+Examscore!U41</f>
        <v>46</v>
      </c>
      <c r="L41" s="28">
        <f>ClassScore!V41+Examscore!V41</f>
        <v>65</v>
      </c>
      <c r="M41" s="5" t="str">
        <f t="shared" si="22"/>
        <v>High Average</v>
      </c>
      <c r="N41" s="5" t="str">
        <f t="shared" si="23"/>
        <v>High Average</v>
      </c>
      <c r="O41" s="5" t="str">
        <f t="shared" si="24"/>
        <v>High</v>
      </c>
      <c r="P41" s="5" t="str">
        <f t="shared" si="25"/>
        <v>Low</v>
      </c>
      <c r="Q41" s="5" t="str">
        <f t="shared" si="26"/>
        <v>High</v>
      </c>
      <c r="R41" s="5" t="str">
        <f t="shared" si="27"/>
        <v>Lower</v>
      </c>
      <c r="S41" s="5" t="str">
        <f t="shared" si="28"/>
        <v>Lowest</v>
      </c>
      <c r="T41" s="5" t="str">
        <f t="shared" si="29"/>
        <v>Average</v>
      </c>
      <c r="U41" s="5" t="str">
        <f t="shared" si="30"/>
        <v>Lower</v>
      </c>
      <c r="V41" s="5" t="str">
        <f t="shared" si="31"/>
        <v>High Average</v>
      </c>
      <c r="W41" s="5">
        <f t="shared" si="32"/>
        <v>4</v>
      </c>
      <c r="X41" s="5">
        <f t="shared" si="33"/>
        <v>4</v>
      </c>
      <c r="Y41" s="5">
        <f t="shared" si="34"/>
        <v>3</v>
      </c>
      <c r="Z41" s="5">
        <f t="shared" si="35"/>
        <v>7</v>
      </c>
      <c r="AA41" s="5">
        <f t="shared" si="36"/>
        <v>3</v>
      </c>
      <c r="AB41" s="5">
        <f t="shared" si="37"/>
        <v>8</v>
      </c>
      <c r="AC41" s="5">
        <f t="shared" si="38"/>
        <v>9</v>
      </c>
      <c r="AD41" s="5">
        <f t="shared" si="39"/>
        <v>5</v>
      </c>
      <c r="AE41" s="5">
        <f t="shared" si="40"/>
        <v>8</v>
      </c>
      <c r="AF41" s="5">
        <f t="shared" si="41"/>
        <v>4</v>
      </c>
      <c r="AG41" s="34">
        <f>SUM(C41,D41,F41,G41)+LARGE((E41,H41,I41,J41,K41,L41),1)+LARGE((E41,H41,I41,J41,K41,L41),2)</f>
        <v>403</v>
      </c>
      <c r="AH41" s="5">
        <f>SUM(W41,X41,Z41,AA41)+SMALL((Y41,AB41,AC41,AD41,AE41,AF41),1)+SMALL((Y41,AB41,AC41,AD41,AE41,AF41),2)</f>
        <v>25</v>
      </c>
      <c r="AI41" s="15" t="str">
        <f>'Teacher''s Remarks'!M42</f>
        <v>PATIENCE AFUA MENSAH</v>
      </c>
      <c r="AJ41" s="15" t="str">
        <f>'Teacher''s Remarks'!N42</f>
        <v>Dutiful</v>
      </c>
      <c r="AK41" s="15" t="str">
        <f>'Teacher''s Remarks'!O42</f>
        <v>She is regular and puntual to school</v>
      </c>
      <c r="AL41" s="15" t="str">
        <f>'Teacher''s Remarks'!P42</f>
        <v>She is doing quite well but she should sit up</v>
      </c>
      <c r="AM41" s="13" t="str">
        <f t="shared" si="42"/>
        <v xml:space="preserve">DIXON HARRIET  </v>
      </c>
      <c r="AN41" s="14">
        <f>Attendance!B41</f>
        <v>62</v>
      </c>
      <c r="AO41" s="15"/>
      <c r="AP41" s="15"/>
      <c r="AQ41" s="22">
        <f t="shared" ca="1" si="43"/>
        <v>45764</v>
      </c>
      <c r="AR41" s="15"/>
      <c r="AT41" s="12">
        <f t="shared" si="45"/>
        <v>6</v>
      </c>
      <c r="AU41" t="str">
        <f>IF(OR(VALUE(RIGHT(AT41,5))={11,12,13}),"th",IF(OR(VALUE(RIGHT(AT41))={1,2,3}),CHOOSE(RIGHT(AT41),"st","nd","rd"),"th"))</f>
        <v>th</v>
      </c>
      <c r="AV41">
        <f t="shared" si="46"/>
        <v>4</v>
      </c>
      <c r="AW41" t="str">
        <f>IF(OR(VALUE(RIGHT(AV41,5))={11,12,13}),"th",IF(OR(VALUE(RIGHT(AV41))={1,2,3}),CHOOSE(RIGHT(AV41),"st","nd","rd"),"th"))</f>
        <v>th</v>
      </c>
      <c r="AX41">
        <f t="shared" si="47"/>
        <v>8</v>
      </c>
      <c r="AY41" t="str">
        <f>IF(OR(VALUE(RIGHT(AX41,5))={11,12,13}),"th",IF(OR(VALUE(RIGHT(AX41))={1,2,3}),CHOOSE(RIGHT(AX41),"st","nd","rd"),"th"))</f>
        <v>th</v>
      </c>
      <c r="AZ41">
        <f t="shared" si="48"/>
        <v>7</v>
      </c>
      <c r="BA41" t="str">
        <f>IF(OR(VALUE(RIGHT(AZ41,5))={11,12,13}),"th",IF(OR(VALUE(RIGHT(AZ41))={1,2,3}),CHOOSE(RIGHT(AZ41),"st","nd","rd"),"th"))</f>
        <v>th</v>
      </c>
      <c r="BB41">
        <f t="shared" si="49"/>
        <v>3</v>
      </c>
      <c r="BC41" t="str">
        <f>IF(OR(VALUE(RIGHT(BB41,5))={11,12,13}),"th",IF(OR(VALUE(RIGHT(BB41))={1,2,3}),CHOOSE(RIGHT(BB41),"st","nd","rd"),"th"))</f>
        <v>rd</v>
      </c>
      <c r="BD41">
        <f t="shared" si="50"/>
        <v>11</v>
      </c>
      <c r="BE41" t="str">
        <f>IF(OR(VALUE(RIGHT(BD41,5))={11,12,13}),"th",IF(OR(VALUE(RIGHT(BD41))={1,2,3}),CHOOSE(RIGHT(BD41),"st","nd","rd"),"th"))</f>
        <v>th</v>
      </c>
      <c r="BF41">
        <f t="shared" si="51"/>
        <v>33</v>
      </c>
      <c r="BG41" t="str">
        <f>IF(OR(VALUE(RIGHT(BF41,5))={11,12,13}),"th",IF(OR(VALUE(RIGHT(BF41))={1,2,3}),CHOOSE(RIGHT(BF41),"st","nd","rd"),"th"))</f>
        <v>rd</v>
      </c>
      <c r="BH41">
        <f t="shared" si="52"/>
        <v>4</v>
      </c>
      <c r="BI41" t="str">
        <f>IF(OR(VALUE(RIGHT(BH41,5))={11,12,13}),"th",IF(OR(VALUE(RIGHT(BH41))={1,2,3}),CHOOSE(RIGHT(BH41),"st","nd","rd"),"th"))</f>
        <v>th</v>
      </c>
      <c r="BJ41">
        <f t="shared" si="53"/>
        <v>22</v>
      </c>
      <c r="BK41" t="str" cm="1">
        <f t="array" ref="BK41">IF(OR(VALUE(RIGHT(BJ41,5))={11,12,13}),"th",IF(OR(VALUE(RIGHT(BJ41))={1,2,3}),CHOOSE(RIGHT(BJ41),"st","nd","rd"),"th"))</f>
        <v>nd</v>
      </c>
      <c r="BL41">
        <f t="shared" si="54"/>
        <v>9</v>
      </c>
      <c r="BM41" t="str">
        <f>IF(OR(VALUE(RIGHT(BL41,5))={11,12,13}),"th",IF(OR(VALUE(RIGHT(BL41))={1,2,3}),CHOOSE(RIGHT(BL41),"st","nd","rd"),"th"))</f>
        <v>th</v>
      </c>
      <c r="BO41" s="30">
        <f t="shared" si="44"/>
        <v>592.5</v>
      </c>
      <c r="BP41">
        <f t="shared" si="55"/>
        <v>5</v>
      </c>
      <c r="BQ41" t="str">
        <f>IF(OR(VALUE(RIGHT(BP41,5))={11,12,13}),"th",IF(OR(VALUE(RIGHT(BP41))={1,2,3}),CHOOSE(RIGHT(BP41),"st","nd","rd"),"th"))</f>
        <v>th</v>
      </c>
      <c r="BS41" s="27">
        <f>ClassScore!M41</f>
        <v>43</v>
      </c>
      <c r="BT41" s="27">
        <f>ClassScore!N41</f>
        <v>42</v>
      </c>
      <c r="BU41" s="27">
        <f>ClassScore!O41</f>
        <v>31.5</v>
      </c>
      <c r="BV41" s="27">
        <f>ClassScore!P41</f>
        <v>39</v>
      </c>
      <c r="BW41" s="27">
        <f>ClassScore!Q41</f>
        <v>40</v>
      </c>
      <c r="BX41" s="27">
        <f>ClassScore!R41</f>
        <v>22</v>
      </c>
      <c r="BY41" s="27">
        <f>ClassScore!S41</f>
        <v>12.5</v>
      </c>
      <c r="BZ41" s="27">
        <f>ClassScore!T41</f>
        <v>36</v>
      </c>
      <c r="CA41" s="27">
        <f>ClassScore!U41</f>
        <v>26</v>
      </c>
      <c r="CB41" s="27">
        <f>ClassScore!V41</f>
        <v>47</v>
      </c>
      <c r="CD41" s="27">
        <f>Examscore!M41</f>
        <v>26.5</v>
      </c>
      <c r="CE41" s="27">
        <f>Examscore!N41</f>
        <v>26.5</v>
      </c>
      <c r="CF41" s="27">
        <f>Examscore!O41</f>
        <v>42.5</v>
      </c>
      <c r="CG41" s="27">
        <f>Examscore!P41</f>
        <v>14.5</v>
      </c>
      <c r="CH41" s="27">
        <f>Examscore!Q41</f>
        <v>32.5</v>
      </c>
      <c r="CI41" s="27">
        <f>Examscore!R41</f>
        <v>21.5</v>
      </c>
      <c r="CJ41" s="27">
        <f>Examscore!S41</f>
        <v>24.5</v>
      </c>
      <c r="CK41" s="27">
        <f>Examscore!T41</f>
        <v>27</v>
      </c>
      <c r="CL41" s="27">
        <f>Examscore!U41</f>
        <v>20</v>
      </c>
      <c r="CM41" s="27">
        <f>Examscore!V41</f>
        <v>18</v>
      </c>
    </row>
    <row r="42" spans="1:91" ht="15.75" x14ac:dyDescent="0.25">
      <c r="A42" s="5">
        <f>Student!A42</f>
        <v>270</v>
      </c>
      <c r="B42" s="21" t="str">
        <f>Student!B42</f>
        <v xml:space="preserve">DJABA BELINDA  </v>
      </c>
      <c r="C42" s="28">
        <f>ClassScore!M42+Examscore!M42</f>
        <v>55.5</v>
      </c>
      <c r="D42" s="28">
        <f>ClassScore!N42+Examscore!N42</f>
        <v>49</v>
      </c>
      <c r="E42" s="28">
        <f>ClassScore!O42+Examscore!O42</f>
        <v>52.5</v>
      </c>
      <c r="F42" s="28">
        <f>ClassScore!P42+Examscore!P42</f>
        <v>29</v>
      </c>
      <c r="G42" s="28">
        <f>ClassScore!Q42+Examscore!Q42</f>
        <v>50.5</v>
      </c>
      <c r="H42" s="28">
        <f>ClassScore!R42+Examscore!R42</f>
        <v>29.5</v>
      </c>
      <c r="I42" s="28">
        <f>ClassScore!S42+Examscore!S42</f>
        <v>31.5</v>
      </c>
      <c r="J42" s="28">
        <f>ClassScore!T42+Examscore!T42</f>
        <v>37</v>
      </c>
      <c r="K42" s="28">
        <f>ClassScore!U42+Examscore!U42</f>
        <v>33.5</v>
      </c>
      <c r="L42" s="28">
        <f>ClassScore!V42+Examscore!V42</f>
        <v>47.5</v>
      </c>
      <c r="M42" s="5" t="str">
        <f t="shared" si="22"/>
        <v>Low Average</v>
      </c>
      <c r="N42" s="5" t="str">
        <f t="shared" si="23"/>
        <v>Lower</v>
      </c>
      <c r="O42" s="5" t="str">
        <f t="shared" si="24"/>
        <v>Low</v>
      </c>
      <c r="P42" s="5" t="str">
        <f t="shared" si="25"/>
        <v>Lowest</v>
      </c>
      <c r="Q42" s="5" t="str">
        <f t="shared" si="26"/>
        <v>Low</v>
      </c>
      <c r="R42" s="5" t="str">
        <f t="shared" si="27"/>
        <v>Lowest</v>
      </c>
      <c r="S42" s="5" t="str">
        <f t="shared" si="28"/>
        <v>Lowest</v>
      </c>
      <c r="T42" s="5" t="str">
        <f t="shared" si="29"/>
        <v>Lowest</v>
      </c>
      <c r="U42" s="5" t="str">
        <f t="shared" si="30"/>
        <v>Lowest</v>
      </c>
      <c r="V42" s="5" t="str">
        <f t="shared" si="31"/>
        <v>Lower</v>
      </c>
      <c r="W42" s="5">
        <f t="shared" si="32"/>
        <v>6</v>
      </c>
      <c r="X42" s="5">
        <f t="shared" si="33"/>
        <v>8</v>
      </c>
      <c r="Y42" s="5">
        <f t="shared" si="34"/>
        <v>7</v>
      </c>
      <c r="Z42" s="5">
        <f t="shared" si="35"/>
        <v>9</v>
      </c>
      <c r="AA42" s="5">
        <f t="shared" si="36"/>
        <v>7</v>
      </c>
      <c r="AB42" s="5">
        <f t="shared" si="37"/>
        <v>9</v>
      </c>
      <c r="AC42" s="5">
        <f t="shared" si="38"/>
        <v>9</v>
      </c>
      <c r="AD42" s="5">
        <f t="shared" si="39"/>
        <v>9</v>
      </c>
      <c r="AE42" s="5">
        <f t="shared" si="40"/>
        <v>9</v>
      </c>
      <c r="AF42" s="5">
        <f t="shared" si="41"/>
        <v>8</v>
      </c>
      <c r="AG42" s="34">
        <f>SUM(C42,D42,F42,G42)+LARGE((E42,H42,I42,J42,K42,L42),1)+LARGE((E42,H42,I42,J42,K42,L42),2)</f>
        <v>284</v>
      </c>
      <c r="AH42" s="5">
        <f>SUM(W42,X42,Z42,AA42)+SMALL((Y42,AB42,AC42,AD42,AE42,AF42),1)+SMALL((Y42,AB42,AC42,AD42,AE42,AF42),2)</f>
        <v>45</v>
      </c>
      <c r="AI42" s="15" t="str">
        <f>'Teacher''s Remarks'!M43</f>
        <v>PATIENCE AFUA MENSAH</v>
      </c>
      <c r="AJ42" s="15" t="str">
        <f>'Teacher''s Remarks'!N43</f>
        <v>Friendly</v>
      </c>
      <c r="AK42" s="15" t="str">
        <f>'Teacher''s Remarks'!O43</f>
        <v>She is regular and puntual to school</v>
      </c>
      <c r="AL42" s="15" t="str">
        <f>'Teacher''s Remarks'!P43</f>
        <v>Needs special attention at home</v>
      </c>
      <c r="AM42" s="13" t="str">
        <f t="shared" si="42"/>
        <v xml:space="preserve">DJABA BELINDA  </v>
      </c>
      <c r="AN42" s="14">
        <f>Attendance!B42</f>
        <v>57</v>
      </c>
      <c r="AO42" s="15"/>
      <c r="AP42" s="15"/>
      <c r="AQ42" s="22">
        <f t="shared" ca="1" si="43"/>
        <v>45764</v>
      </c>
      <c r="AR42" s="15"/>
      <c r="AT42" s="12">
        <f t="shared" si="45"/>
        <v>28</v>
      </c>
      <c r="AU42" t="str">
        <f>IF(OR(VALUE(RIGHT(AT42,5))={11,12,13}),"th",IF(OR(VALUE(RIGHT(AT42))={1,2,3}),CHOOSE(RIGHT(AT42),"st","nd","rd"),"th"))</f>
        <v>th</v>
      </c>
      <c r="AV42">
        <f t="shared" si="46"/>
        <v>44</v>
      </c>
      <c r="AW42" t="str">
        <f>IF(OR(VALUE(RIGHT(AV42,5))={11,12,13}),"th",IF(OR(VALUE(RIGHT(AV42))={1,2,3}),CHOOSE(RIGHT(AV42),"st","nd","rd"),"th"))</f>
        <v>th</v>
      </c>
      <c r="AX42">
        <f t="shared" si="47"/>
        <v>40</v>
      </c>
      <c r="AY42" t="str">
        <f>IF(OR(VALUE(RIGHT(AX42,5))={11,12,13}),"th",IF(OR(VALUE(RIGHT(AX42))={1,2,3}),CHOOSE(RIGHT(AX42),"st","nd","rd"),"th"))</f>
        <v>th</v>
      </c>
      <c r="AZ42">
        <f t="shared" si="48"/>
        <v>44</v>
      </c>
      <c r="BA42" t="str">
        <f>IF(OR(VALUE(RIGHT(AZ42,5))={11,12,13}),"th",IF(OR(VALUE(RIGHT(AZ42))={1,2,3}),CHOOSE(RIGHT(AZ42),"st","nd","rd"),"th"))</f>
        <v>th</v>
      </c>
      <c r="BB42">
        <f t="shared" si="49"/>
        <v>26</v>
      </c>
      <c r="BC42" t="str">
        <f>IF(OR(VALUE(RIGHT(BB42,5))={11,12,13}),"th",IF(OR(VALUE(RIGHT(BB42))={1,2,3}),CHOOSE(RIGHT(BB42),"st","nd","rd"),"th"))</f>
        <v>th</v>
      </c>
      <c r="BD42">
        <f t="shared" si="50"/>
        <v>51</v>
      </c>
      <c r="BE42" t="str">
        <f>IF(OR(VALUE(RIGHT(BD42,5))={11,12,13}),"th",IF(OR(VALUE(RIGHT(BD42))={1,2,3}),CHOOSE(RIGHT(BD42),"st","nd","rd"),"th"))</f>
        <v>st</v>
      </c>
      <c r="BF42">
        <f t="shared" si="51"/>
        <v>47</v>
      </c>
      <c r="BG42" t="str">
        <f>IF(OR(VALUE(RIGHT(BF42,5))={11,12,13}),"th",IF(OR(VALUE(RIGHT(BF42))={1,2,3}),CHOOSE(RIGHT(BF42),"st","nd","rd"),"th"))</f>
        <v>th</v>
      </c>
      <c r="BH42">
        <f t="shared" si="52"/>
        <v>25</v>
      </c>
      <c r="BI42" t="str">
        <f>IF(OR(VALUE(RIGHT(BH42,5))={11,12,13}),"th",IF(OR(VALUE(RIGHT(BH42))={1,2,3}),CHOOSE(RIGHT(BH42),"st","nd","rd"),"th"))</f>
        <v>th</v>
      </c>
      <c r="BJ42">
        <f t="shared" si="53"/>
        <v>47</v>
      </c>
      <c r="BK42" t="str" cm="1">
        <f t="array" ref="BK42">IF(OR(VALUE(RIGHT(BJ42,5))={11,12,13}),"th",IF(OR(VALUE(RIGHT(BJ42))={1,2,3}),CHOOSE(RIGHT(BJ42),"st","nd","rd"),"th"))</f>
        <v>th</v>
      </c>
      <c r="BL42">
        <f t="shared" si="54"/>
        <v>44</v>
      </c>
      <c r="BM42" t="str">
        <f>IF(OR(VALUE(RIGHT(BL42,5))={11,12,13}),"th",IF(OR(VALUE(RIGHT(BL42))={1,2,3}),CHOOSE(RIGHT(BL42),"st","nd","rd"),"th"))</f>
        <v>th</v>
      </c>
      <c r="BO42" s="30">
        <f t="shared" si="44"/>
        <v>415.5</v>
      </c>
      <c r="BP42">
        <f t="shared" si="55"/>
        <v>46</v>
      </c>
      <c r="BQ42" t="str">
        <f>IF(OR(VALUE(RIGHT(BP42,5))={11,12,13}),"th",IF(OR(VALUE(RIGHT(BP42))={1,2,3}),CHOOSE(RIGHT(BP42),"st","nd","rd"),"th"))</f>
        <v>th</v>
      </c>
      <c r="BS42" s="27">
        <f>ClassScore!M42</f>
        <v>42</v>
      </c>
      <c r="BT42" s="27">
        <f>ClassScore!N42</f>
        <v>39</v>
      </c>
      <c r="BU42" s="27">
        <f>ClassScore!O42</f>
        <v>32.5</v>
      </c>
      <c r="BV42" s="27">
        <f>ClassScore!P42</f>
        <v>22.5</v>
      </c>
      <c r="BW42" s="27">
        <f>ClassScore!Q42</f>
        <v>34.5</v>
      </c>
      <c r="BX42" s="27">
        <f>ClassScore!R42</f>
        <v>19.5</v>
      </c>
      <c r="BY42" s="27">
        <f>ClassScore!S42</f>
        <v>12.5</v>
      </c>
      <c r="BZ42" s="27">
        <f>ClassScore!T42</f>
        <v>26.5</v>
      </c>
      <c r="CA42" s="27">
        <f>ClassScore!U42</f>
        <v>17</v>
      </c>
      <c r="CB42" s="27">
        <f>ClassScore!V42</f>
        <v>30.5</v>
      </c>
      <c r="CD42" s="27">
        <f>Examscore!M42</f>
        <v>13.5</v>
      </c>
      <c r="CE42" s="27">
        <f>Examscore!N42</f>
        <v>10</v>
      </c>
      <c r="CF42" s="27">
        <f>Examscore!O42</f>
        <v>20</v>
      </c>
      <c r="CG42" s="27">
        <f>Examscore!P42</f>
        <v>6.5</v>
      </c>
      <c r="CH42" s="27">
        <f>Examscore!Q42</f>
        <v>16</v>
      </c>
      <c r="CI42" s="27">
        <f>Examscore!R42</f>
        <v>10</v>
      </c>
      <c r="CJ42" s="27">
        <f>Examscore!S42</f>
        <v>19</v>
      </c>
      <c r="CK42" s="27">
        <f>Examscore!T42</f>
        <v>10.5</v>
      </c>
      <c r="CL42" s="27">
        <f>Examscore!U42</f>
        <v>16.5</v>
      </c>
      <c r="CM42" s="27">
        <f>Examscore!V42</f>
        <v>17</v>
      </c>
    </row>
    <row r="43" spans="1:91" ht="15.75" x14ac:dyDescent="0.25">
      <c r="A43" s="5">
        <f>Student!A43</f>
        <v>318</v>
      </c>
      <c r="B43" s="21" t="str">
        <f>Student!B43</f>
        <v xml:space="preserve">ESSEL EMMANUELLA  </v>
      </c>
      <c r="C43" s="28">
        <f>ClassScore!M43+Examscore!M43</f>
        <v>60.5</v>
      </c>
      <c r="D43" s="28">
        <f>ClassScore!N43+Examscore!N43</f>
        <v>56.5</v>
      </c>
      <c r="E43" s="28">
        <f>ClassScore!O43+Examscore!O43</f>
        <v>50</v>
      </c>
      <c r="F43" s="28">
        <f>ClassScore!P43+Examscore!P43</f>
        <v>49</v>
      </c>
      <c r="G43" s="28">
        <f>ClassScore!Q43+Examscore!Q43</f>
        <v>50.5</v>
      </c>
      <c r="H43" s="28">
        <f>ClassScore!R43+Examscore!R43</f>
        <v>37.5</v>
      </c>
      <c r="I43" s="28">
        <f>ClassScore!S43+Examscore!S43</f>
        <v>39</v>
      </c>
      <c r="J43" s="28">
        <f>ClassScore!T43+Examscore!T43</f>
        <v>33</v>
      </c>
      <c r="K43" s="28">
        <f>ClassScore!U43+Examscore!U43</f>
        <v>47.5</v>
      </c>
      <c r="L43" s="28">
        <f>ClassScore!V43+Examscore!V43</f>
        <v>57.5</v>
      </c>
      <c r="M43" s="5" t="str">
        <f t="shared" si="22"/>
        <v>Average</v>
      </c>
      <c r="N43" s="5" t="str">
        <f t="shared" si="23"/>
        <v>Low Average</v>
      </c>
      <c r="O43" s="5" t="str">
        <f t="shared" si="24"/>
        <v>Low</v>
      </c>
      <c r="P43" s="5" t="str">
        <f t="shared" si="25"/>
        <v>Lower</v>
      </c>
      <c r="Q43" s="5" t="str">
        <f t="shared" si="26"/>
        <v>Low</v>
      </c>
      <c r="R43" s="5" t="str">
        <f t="shared" si="27"/>
        <v>Lowest</v>
      </c>
      <c r="S43" s="5" t="str">
        <f t="shared" si="28"/>
        <v>Lowest</v>
      </c>
      <c r="T43" s="5" t="str">
        <f t="shared" si="29"/>
        <v>Lowest</v>
      </c>
      <c r="U43" s="5" t="str">
        <f t="shared" si="30"/>
        <v>Lower</v>
      </c>
      <c r="V43" s="5" t="str">
        <f t="shared" si="31"/>
        <v>Low Average</v>
      </c>
      <c r="W43" s="5">
        <f t="shared" si="32"/>
        <v>5</v>
      </c>
      <c r="X43" s="5">
        <f t="shared" si="33"/>
        <v>6</v>
      </c>
      <c r="Y43" s="5">
        <f t="shared" si="34"/>
        <v>7</v>
      </c>
      <c r="Z43" s="5">
        <f t="shared" si="35"/>
        <v>8</v>
      </c>
      <c r="AA43" s="5">
        <f t="shared" si="36"/>
        <v>7</v>
      </c>
      <c r="AB43" s="5">
        <f t="shared" si="37"/>
        <v>9</v>
      </c>
      <c r="AC43" s="5">
        <f t="shared" si="38"/>
        <v>9</v>
      </c>
      <c r="AD43" s="5">
        <f t="shared" si="39"/>
        <v>9</v>
      </c>
      <c r="AE43" s="5">
        <f t="shared" si="40"/>
        <v>8</v>
      </c>
      <c r="AF43" s="5">
        <f t="shared" si="41"/>
        <v>6</v>
      </c>
      <c r="AG43" s="34">
        <f>SUM(C43,D43,F43,G43)+LARGE((E43,H43,I43,J43,K43,L43),1)+LARGE((E43,H43,I43,J43,K43,L43),2)</f>
        <v>324</v>
      </c>
      <c r="AH43" s="5">
        <f>SUM(W43,X43,Z43,AA43)+SMALL((Y43,AB43,AC43,AD43,AE43,AF43),1)+SMALL((Y43,AB43,AC43,AD43,AE43,AF43),2)</f>
        <v>39</v>
      </c>
      <c r="AI43" s="15" t="str">
        <f>'Teacher''s Remarks'!M44</f>
        <v>PATIENCE AFUA MENSAH</v>
      </c>
      <c r="AJ43" s="15" t="str">
        <f>'Teacher''s Remarks'!N44</f>
        <v>playful</v>
      </c>
      <c r="AK43" s="15" t="str">
        <f>'Teacher''s Remarks'!O44</f>
        <v>She is regular and puntual to school</v>
      </c>
      <c r="AL43" s="15" t="str">
        <f>'Teacher''s Remarks'!P44</f>
        <v>Needs special attention at home</v>
      </c>
      <c r="AM43" s="13" t="str">
        <f t="shared" si="42"/>
        <v xml:space="preserve">ESSEL EMMANUELLA  </v>
      </c>
      <c r="AN43" s="14">
        <f>Attendance!B43</f>
        <v>58</v>
      </c>
      <c r="AO43" s="15"/>
      <c r="AP43" s="15"/>
      <c r="AQ43" s="22">
        <f t="shared" ca="1" si="43"/>
        <v>45764</v>
      </c>
      <c r="AR43" s="15"/>
      <c r="AT43" s="12">
        <f t="shared" si="45"/>
        <v>18</v>
      </c>
      <c r="AU43" t="str">
        <f>IF(OR(VALUE(RIGHT(AT43,5))={11,12,13}),"th",IF(OR(VALUE(RIGHT(AT43))={1,2,3}),CHOOSE(RIGHT(AT43),"st","nd","rd"),"th"))</f>
        <v>th</v>
      </c>
      <c r="AV43">
        <f t="shared" si="46"/>
        <v>23</v>
      </c>
      <c r="AW43" t="str">
        <f>IF(OR(VALUE(RIGHT(AV43,5))={11,12,13}),"th",IF(OR(VALUE(RIGHT(AV43))={1,2,3}),CHOOSE(RIGHT(AV43),"st","nd","rd"),"th"))</f>
        <v>rd</v>
      </c>
      <c r="AX43">
        <f t="shared" si="47"/>
        <v>44</v>
      </c>
      <c r="AY43" t="str">
        <f>IF(OR(VALUE(RIGHT(AX43,5))={11,12,13}),"th",IF(OR(VALUE(RIGHT(AX43))={1,2,3}),CHOOSE(RIGHT(AX43),"st","nd","rd"),"th"))</f>
        <v>th</v>
      </c>
      <c r="AZ43">
        <f t="shared" si="48"/>
        <v>20</v>
      </c>
      <c r="BA43" t="str">
        <f>IF(OR(VALUE(RIGHT(AZ43,5))={11,12,13}),"th",IF(OR(VALUE(RIGHT(AZ43))={1,2,3}),CHOOSE(RIGHT(AZ43),"st","nd","rd"),"th"))</f>
        <v>th</v>
      </c>
      <c r="BB43">
        <f t="shared" si="49"/>
        <v>26</v>
      </c>
      <c r="BC43" t="str">
        <f>IF(OR(VALUE(RIGHT(BB43,5))={11,12,13}),"th",IF(OR(VALUE(RIGHT(BB43))={1,2,3}),CHOOSE(RIGHT(BB43),"st","nd","rd"),"th"))</f>
        <v>th</v>
      </c>
      <c r="BD43">
        <f t="shared" si="50"/>
        <v>27</v>
      </c>
      <c r="BE43" t="str">
        <f>IF(OR(VALUE(RIGHT(BD43,5))={11,12,13}),"th",IF(OR(VALUE(RIGHT(BD43))={1,2,3}),CHOOSE(RIGHT(BD43),"st","nd","rd"),"th"))</f>
        <v>th</v>
      </c>
      <c r="BF43">
        <f t="shared" si="51"/>
        <v>29</v>
      </c>
      <c r="BG43" t="str">
        <f>IF(OR(VALUE(RIGHT(BF43,5))={11,12,13}),"th",IF(OR(VALUE(RIGHT(BF43))={1,2,3}),CHOOSE(RIGHT(BF43),"st","nd","rd"),"th"))</f>
        <v>th</v>
      </c>
      <c r="BH43">
        <f t="shared" si="52"/>
        <v>36</v>
      </c>
      <c r="BI43" t="str">
        <f>IF(OR(VALUE(RIGHT(BH43,5))={11,12,13}),"th",IF(OR(VALUE(RIGHT(BH43))={1,2,3}),CHOOSE(RIGHT(BH43),"st","nd","rd"),"th"))</f>
        <v>th</v>
      </c>
      <c r="BJ43">
        <f t="shared" si="53"/>
        <v>18</v>
      </c>
      <c r="BK43" t="str" cm="1">
        <f t="array" ref="BK43">IF(OR(VALUE(RIGHT(BJ43,5))={11,12,13}),"th",IF(OR(VALUE(RIGHT(BJ43))={1,2,3}),CHOOSE(RIGHT(BJ43),"st","nd","rd"),"th"))</f>
        <v>th</v>
      </c>
      <c r="BL43">
        <f t="shared" si="54"/>
        <v>19</v>
      </c>
      <c r="BM43" t="str">
        <f>IF(OR(VALUE(RIGHT(BL43,5))={11,12,13}),"th",IF(OR(VALUE(RIGHT(BL43))={1,2,3}),CHOOSE(RIGHT(BL43),"st","nd","rd"),"th"))</f>
        <v>th</v>
      </c>
      <c r="BO43" s="30">
        <f t="shared" si="44"/>
        <v>481</v>
      </c>
      <c r="BP43">
        <f t="shared" si="55"/>
        <v>30</v>
      </c>
      <c r="BQ43" t="str">
        <f>IF(OR(VALUE(RIGHT(BP43,5))={11,12,13}),"th",IF(OR(VALUE(RIGHT(BP43))={1,2,3}),CHOOSE(RIGHT(BP43),"st","nd","rd"),"th"))</f>
        <v>th</v>
      </c>
      <c r="BS43" s="27">
        <f>ClassScore!M43</f>
        <v>41</v>
      </c>
      <c r="BT43" s="27">
        <f>ClassScore!N43</f>
        <v>37</v>
      </c>
      <c r="BU43" s="27">
        <f>ClassScore!O43</f>
        <v>21.5</v>
      </c>
      <c r="BV43" s="27">
        <f>ClassScore!P43</f>
        <v>37.5</v>
      </c>
      <c r="BW43" s="27">
        <f>ClassScore!Q43</f>
        <v>34.5</v>
      </c>
      <c r="BX43" s="27">
        <f>ClassScore!R43</f>
        <v>19.5</v>
      </c>
      <c r="BY43" s="27">
        <f>ClassScore!S43</f>
        <v>17</v>
      </c>
      <c r="BZ43" s="27">
        <f>ClassScore!T43</f>
        <v>19</v>
      </c>
      <c r="CA43" s="27">
        <f>ClassScore!U43</f>
        <v>27.5</v>
      </c>
      <c r="CB43" s="27">
        <f>ClassScore!V43</f>
        <v>42.5</v>
      </c>
      <c r="CD43" s="27">
        <f>Examscore!M43</f>
        <v>19.5</v>
      </c>
      <c r="CE43" s="27">
        <f>Examscore!N43</f>
        <v>19.5</v>
      </c>
      <c r="CF43" s="27">
        <f>Examscore!O43</f>
        <v>28.5</v>
      </c>
      <c r="CG43" s="27">
        <f>Examscore!P43</f>
        <v>11.5</v>
      </c>
      <c r="CH43" s="27">
        <f>Examscore!Q43</f>
        <v>16</v>
      </c>
      <c r="CI43" s="27">
        <f>Examscore!R43</f>
        <v>18</v>
      </c>
      <c r="CJ43" s="27">
        <f>Examscore!S43</f>
        <v>22</v>
      </c>
      <c r="CK43" s="27">
        <f>Examscore!T43</f>
        <v>14</v>
      </c>
      <c r="CL43" s="27">
        <f>Examscore!U43</f>
        <v>20</v>
      </c>
      <c r="CM43" s="27">
        <f>Examscore!V43</f>
        <v>15</v>
      </c>
    </row>
    <row r="44" spans="1:91" ht="15.75" x14ac:dyDescent="0.25">
      <c r="A44" s="5">
        <f>Student!A44</f>
        <v>4063</v>
      </c>
      <c r="B44" s="21" t="str">
        <f>Student!B44</f>
        <v xml:space="preserve">GAMAH ANGELA  </v>
      </c>
      <c r="C44" s="28">
        <f>ClassScore!M44+Examscore!M44</f>
        <v>72</v>
      </c>
      <c r="D44" s="28">
        <f>ClassScore!N44+Examscore!N44</f>
        <v>69</v>
      </c>
      <c r="E44" s="28">
        <f>ClassScore!O44+Examscore!O44</f>
        <v>71.5</v>
      </c>
      <c r="F44" s="28">
        <f>ClassScore!P44+Examscore!P44</f>
        <v>56</v>
      </c>
      <c r="G44" s="28">
        <f>ClassScore!Q44+Examscore!Q44</f>
        <v>84.5</v>
      </c>
      <c r="H44" s="28">
        <f>ClassScore!R44+Examscore!R44</f>
        <v>41.5</v>
      </c>
      <c r="I44" s="28">
        <f>ClassScore!S44+Examscore!S44</f>
        <v>57</v>
      </c>
      <c r="J44" s="28">
        <f>ClassScore!T44+Examscore!T44</f>
        <v>57.5</v>
      </c>
      <c r="K44" s="28">
        <f>ClassScore!U44+Examscore!U44</f>
        <v>73.5</v>
      </c>
      <c r="L44" s="28">
        <f>ClassScore!V44+Examscore!V44</f>
        <v>81</v>
      </c>
      <c r="M44" s="5" t="str">
        <f t="shared" si="22"/>
        <v>High</v>
      </c>
      <c r="N44" s="5" t="str">
        <f t="shared" si="23"/>
        <v>High Average</v>
      </c>
      <c r="O44" s="5" t="str">
        <f t="shared" si="24"/>
        <v>High</v>
      </c>
      <c r="P44" s="5" t="str">
        <f t="shared" si="25"/>
        <v>Low Average</v>
      </c>
      <c r="Q44" s="5" t="str">
        <f t="shared" si="26"/>
        <v>Higher</v>
      </c>
      <c r="R44" s="5" t="str">
        <f t="shared" si="27"/>
        <v>Lower</v>
      </c>
      <c r="S44" s="5" t="str">
        <f t="shared" si="28"/>
        <v>Low Average</v>
      </c>
      <c r="T44" s="5" t="str">
        <f t="shared" si="29"/>
        <v>Low Average</v>
      </c>
      <c r="U44" s="5" t="str">
        <f t="shared" si="30"/>
        <v>High</v>
      </c>
      <c r="V44" s="5" t="str">
        <f t="shared" si="31"/>
        <v>Higher</v>
      </c>
      <c r="W44" s="5">
        <f t="shared" si="32"/>
        <v>3</v>
      </c>
      <c r="X44" s="5">
        <f t="shared" si="33"/>
        <v>4</v>
      </c>
      <c r="Y44" s="5">
        <f t="shared" si="34"/>
        <v>3</v>
      </c>
      <c r="Z44" s="5">
        <f t="shared" si="35"/>
        <v>6</v>
      </c>
      <c r="AA44" s="5">
        <f t="shared" si="36"/>
        <v>2</v>
      </c>
      <c r="AB44" s="5">
        <f t="shared" si="37"/>
        <v>8</v>
      </c>
      <c r="AC44" s="5">
        <f t="shared" si="38"/>
        <v>6</v>
      </c>
      <c r="AD44" s="5">
        <f t="shared" si="39"/>
        <v>6</v>
      </c>
      <c r="AE44" s="5">
        <f t="shared" si="40"/>
        <v>3</v>
      </c>
      <c r="AF44" s="5">
        <f t="shared" si="41"/>
        <v>2</v>
      </c>
      <c r="AG44" s="34">
        <f>SUM(C44,D44,F44,G44)+LARGE((E44,H44,I44,J44,K44,L44),1)+LARGE((E44,H44,I44,J44,K44,L44),2)</f>
        <v>436</v>
      </c>
      <c r="AH44" s="5">
        <f>SUM(W44,X44,Z44,AA44)+SMALL((Y44,AB44,AC44,AD44,AE44,AF44),1)+SMALL((Y44,AB44,AC44,AD44,AE44,AF44),2)</f>
        <v>20</v>
      </c>
      <c r="AI44" s="15" t="str">
        <f>'Teacher''s Remarks'!M45</f>
        <v>PATIENCE AFUA MENSAH</v>
      </c>
      <c r="AJ44" s="15" t="str">
        <f>'Teacher''s Remarks'!N45</f>
        <v>Helpful</v>
      </c>
      <c r="AK44" s="15" t="str">
        <f>'Teacher''s Remarks'!O45</f>
        <v>She is regular and puntual to school</v>
      </c>
      <c r="AL44" s="15" t="str">
        <f>'Teacher''s Remarks'!P45</f>
        <v>Needs special attention at home</v>
      </c>
      <c r="AM44" s="13" t="str">
        <f t="shared" si="42"/>
        <v xml:space="preserve">GAMAH ANGELA  </v>
      </c>
      <c r="AN44" s="14">
        <f>Attendance!B44</f>
        <v>66</v>
      </c>
      <c r="AO44" s="15"/>
      <c r="AP44" s="15"/>
      <c r="AQ44" s="22">
        <f t="shared" ca="1" si="43"/>
        <v>45764</v>
      </c>
      <c r="AR44" s="15"/>
      <c r="AT44" s="12">
        <f t="shared" si="45"/>
        <v>3</v>
      </c>
      <c r="AU44" t="str">
        <f>IF(OR(VALUE(RIGHT(AT44,5))={11,12,13}),"th",IF(OR(VALUE(RIGHT(AT44))={1,2,3}),CHOOSE(RIGHT(AT44),"st","nd","rd"),"th"))</f>
        <v>rd</v>
      </c>
      <c r="AV44">
        <f t="shared" si="46"/>
        <v>3</v>
      </c>
      <c r="AW44" t="str">
        <f>IF(OR(VALUE(RIGHT(AV44,5))={11,12,13}),"th",IF(OR(VALUE(RIGHT(AV44))={1,2,3}),CHOOSE(RIGHT(AV44),"st","nd","rd"),"th"))</f>
        <v>rd</v>
      </c>
      <c r="AX44">
        <f t="shared" si="47"/>
        <v>11</v>
      </c>
      <c r="AY44" t="str">
        <f>IF(OR(VALUE(RIGHT(AX44,5))={11,12,13}),"th",IF(OR(VALUE(RIGHT(AX44))={1,2,3}),CHOOSE(RIGHT(AX44),"st","nd","rd"),"th"))</f>
        <v>th</v>
      </c>
      <c r="AZ44">
        <f t="shared" si="48"/>
        <v>3</v>
      </c>
      <c r="BA44" t="str">
        <f>IF(OR(VALUE(RIGHT(AZ44,5))={11,12,13}),"th",IF(OR(VALUE(RIGHT(AZ44))={1,2,3}),CHOOSE(RIGHT(AZ44),"st","nd","rd"),"th"))</f>
        <v>rd</v>
      </c>
      <c r="BB44">
        <f t="shared" si="49"/>
        <v>2</v>
      </c>
      <c r="BC44" t="str">
        <f>IF(OR(VALUE(RIGHT(BB44,5))={11,12,13}),"th",IF(OR(VALUE(RIGHT(BB44))={1,2,3}),CHOOSE(RIGHT(BB44),"st","nd","rd"),"th"))</f>
        <v>nd</v>
      </c>
      <c r="BD44">
        <f t="shared" si="50"/>
        <v>19</v>
      </c>
      <c r="BE44" t="str">
        <f>IF(OR(VALUE(RIGHT(BD44,5))={11,12,13}),"th",IF(OR(VALUE(RIGHT(BD44))={1,2,3}),CHOOSE(RIGHT(BD44),"st","nd","rd"),"th"))</f>
        <v>th</v>
      </c>
      <c r="BF44">
        <f t="shared" si="51"/>
        <v>4</v>
      </c>
      <c r="BG44" t="str">
        <f>IF(OR(VALUE(RIGHT(BF44,5))={11,12,13}),"th",IF(OR(VALUE(RIGHT(BF44))={1,2,3}),CHOOSE(RIGHT(BF44),"st","nd","rd"),"th"))</f>
        <v>th</v>
      </c>
      <c r="BH44">
        <f t="shared" si="52"/>
        <v>6</v>
      </c>
      <c r="BI44" t="str">
        <f>IF(OR(VALUE(RIGHT(BH44,5))={11,12,13}),"th",IF(OR(VALUE(RIGHT(BH44))={1,2,3}),CHOOSE(RIGHT(BH44),"st","nd","rd"),"th"))</f>
        <v>th</v>
      </c>
      <c r="BJ44">
        <f t="shared" si="53"/>
        <v>2</v>
      </c>
      <c r="BK44" t="str" cm="1">
        <f t="array" ref="BK44">IF(OR(VALUE(RIGHT(BJ44,5))={11,12,13}),"th",IF(OR(VALUE(RIGHT(BJ44))={1,2,3}),CHOOSE(RIGHT(BJ44),"st","nd","rd"),"th"))</f>
        <v>nd</v>
      </c>
      <c r="BL44">
        <f t="shared" si="54"/>
        <v>2</v>
      </c>
      <c r="BM44" t="str">
        <f>IF(OR(VALUE(RIGHT(BL44,5))={11,12,13}),"th",IF(OR(VALUE(RIGHT(BL44))={1,2,3}),CHOOSE(RIGHT(BL44),"st","nd","rd"),"th"))</f>
        <v>nd</v>
      </c>
      <c r="BO44" s="30">
        <f t="shared" si="44"/>
        <v>663.5</v>
      </c>
      <c r="BP44">
        <f t="shared" si="55"/>
        <v>2</v>
      </c>
      <c r="BQ44" t="str">
        <f>IF(OR(VALUE(RIGHT(BP44,5))={11,12,13}),"th",IF(OR(VALUE(RIGHT(BP44))={1,2,3}),CHOOSE(RIGHT(BP44),"st","nd","rd"),"th"))</f>
        <v>nd</v>
      </c>
      <c r="BS44" s="27">
        <f>ClassScore!M44</f>
        <v>42</v>
      </c>
      <c r="BT44" s="27">
        <f>ClassScore!N44</f>
        <v>39</v>
      </c>
      <c r="BU44" s="27">
        <f>ClassScore!O44</f>
        <v>29</v>
      </c>
      <c r="BV44" s="27">
        <f>ClassScore!P44</f>
        <v>45</v>
      </c>
      <c r="BW44" s="27">
        <f>ClassScore!Q44</f>
        <v>44</v>
      </c>
      <c r="BX44" s="27">
        <f>ClassScore!R44</f>
        <v>20.5</v>
      </c>
      <c r="BY44" s="27">
        <f>ClassScore!S44</f>
        <v>26</v>
      </c>
      <c r="BZ44" s="27">
        <f>ClassScore!T44</f>
        <v>30</v>
      </c>
      <c r="CA44" s="27">
        <f>ClassScore!U44</f>
        <v>38</v>
      </c>
      <c r="CB44" s="27">
        <f>ClassScore!V44</f>
        <v>50</v>
      </c>
      <c r="CD44" s="27">
        <f>Examscore!M44</f>
        <v>30</v>
      </c>
      <c r="CE44" s="27">
        <f>Examscore!N44</f>
        <v>30</v>
      </c>
      <c r="CF44" s="27">
        <f>Examscore!O44</f>
        <v>42.5</v>
      </c>
      <c r="CG44" s="27">
        <f>Examscore!P44</f>
        <v>11</v>
      </c>
      <c r="CH44" s="27">
        <f>Examscore!Q44</f>
        <v>40.5</v>
      </c>
      <c r="CI44" s="27">
        <f>Examscore!R44</f>
        <v>21</v>
      </c>
      <c r="CJ44" s="27">
        <f>Examscore!S44</f>
        <v>31</v>
      </c>
      <c r="CK44" s="27">
        <f>Examscore!T44</f>
        <v>27.5</v>
      </c>
      <c r="CL44" s="27">
        <f>Examscore!U44</f>
        <v>35.5</v>
      </c>
      <c r="CM44" s="27">
        <f>Examscore!V44</f>
        <v>31</v>
      </c>
    </row>
    <row r="45" spans="1:91" ht="15.75" x14ac:dyDescent="0.25">
      <c r="A45" s="5">
        <f>Student!A45</f>
        <v>160</v>
      </c>
      <c r="B45" s="21" t="str">
        <f>Student!B45</f>
        <v xml:space="preserve">GAMOR ESTHER  </v>
      </c>
      <c r="C45" s="28">
        <f>ClassScore!M45+Examscore!M45</f>
        <v>66</v>
      </c>
      <c r="D45" s="28">
        <f>ClassScore!N45+Examscore!N45</f>
        <v>66.5</v>
      </c>
      <c r="E45" s="28">
        <f>ClassScore!O45+Examscore!O45</f>
        <v>57</v>
      </c>
      <c r="F45" s="28">
        <f>ClassScore!P45+Examscore!P45</f>
        <v>32.5</v>
      </c>
      <c r="G45" s="28">
        <f>ClassScore!Q45+Examscore!Q45</f>
        <v>46.5</v>
      </c>
      <c r="H45" s="28">
        <f>ClassScore!R45+Examscore!R45</f>
        <v>32</v>
      </c>
      <c r="I45" s="28">
        <f>ClassScore!S45+Examscore!S45</f>
        <v>33.5</v>
      </c>
      <c r="J45" s="28">
        <f>ClassScore!T45+Examscore!T45</f>
        <v>57</v>
      </c>
      <c r="K45" s="28">
        <f>ClassScore!U45+Examscore!U45</f>
        <v>57.5</v>
      </c>
      <c r="L45" s="28">
        <f>ClassScore!V45+Examscore!V45</f>
        <v>51.5</v>
      </c>
      <c r="M45" s="5" t="str">
        <f t="shared" si="22"/>
        <v>High Average</v>
      </c>
      <c r="N45" s="5" t="str">
        <f t="shared" si="23"/>
        <v>High Average</v>
      </c>
      <c r="O45" s="5" t="str">
        <f t="shared" si="24"/>
        <v>Low Average</v>
      </c>
      <c r="P45" s="5" t="str">
        <f t="shared" si="25"/>
        <v>Lowest</v>
      </c>
      <c r="Q45" s="5" t="str">
        <f t="shared" si="26"/>
        <v>Lower</v>
      </c>
      <c r="R45" s="5" t="str">
        <f t="shared" si="27"/>
        <v>Lowest</v>
      </c>
      <c r="S45" s="5" t="str">
        <f t="shared" si="28"/>
        <v>Lowest</v>
      </c>
      <c r="T45" s="5" t="str">
        <f t="shared" si="29"/>
        <v>Low Average</v>
      </c>
      <c r="U45" s="5" t="str">
        <f t="shared" si="30"/>
        <v>Low Average</v>
      </c>
      <c r="V45" s="5" t="str">
        <f t="shared" si="31"/>
        <v>Low</v>
      </c>
      <c r="W45" s="5">
        <f t="shared" si="32"/>
        <v>4</v>
      </c>
      <c r="X45" s="5">
        <f t="shared" si="33"/>
        <v>4</v>
      </c>
      <c r="Y45" s="5">
        <f t="shared" si="34"/>
        <v>6</v>
      </c>
      <c r="Z45" s="5">
        <f t="shared" si="35"/>
        <v>9</v>
      </c>
      <c r="AA45" s="5">
        <f t="shared" si="36"/>
        <v>8</v>
      </c>
      <c r="AB45" s="5">
        <f t="shared" si="37"/>
        <v>9</v>
      </c>
      <c r="AC45" s="5">
        <f t="shared" si="38"/>
        <v>9</v>
      </c>
      <c r="AD45" s="5">
        <f t="shared" si="39"/>
        <v>6</v>
      </c>
      <c r="AE45" s="5">
        <f t="shared" si="40"/>
        <v>6</v>
      </c>
      <c r="AF45" s="5">
        <f t="shared" si="41"/>
        <v>7</v>
      </c>
      <c r="AG45" s="34">
        <f>SUM(C45,D45,F45,G45)+LARGE((E45,H45,I45,J45,K45,L45),1)+LARGE((E45,H45,I45,J45,K45,L45),2)</f>
        <v>326</v>
      </c>
      <c r="AH45" s="5">
        <f>SUM(W45,X45,Z45,AA45)+SMALL((Y45,AB45,AC45,AD45,AE45,AF45),1)+SMALL((Y45,AB45,AC45,AD45,AE45,AF45),2)</f>
        <v>37</v>
      </c>
      <c r="AI45" s="15" t="str">
        <f>'Teacher''s Remarks'!M46</f>
        <v>PATIENCE AFUA MENSAH</v>
      </c>
      <c r="AJ45" s="15" t="str">
        <f>'Teacher''s Remarks'!N46</f>
        <v>Active</v>
      </c>
      <c r="AK45" s="15" t="str">
        <f>'Teacher''s Remarks'!O46</f>
        <v>She is regular and puntual to school</v>
      </c>
      <c r="AL45" s="15" t="str">
        <f>'Teacher''s Remarks'!P46</f>
        <v>Needs special attention at home</v>
      </c>
      <c r="AM45" s="13" t="str">
        <f t="shared" si="42"/>
        <v xml:space="preserve">GAMOR ESTHER  </v>
      </c>
      <c r="AN45" s="14">
        <f>Attendance!B45</f>
        <v>65</v>
      </c>
      <c r="AO45" s="15"/>
      <c r="AP45" s="15"/>
      <c r="AQ45" s="22">
        <f t="shared" ca="1" si="43"/>
        <v>45764</v>
      </c>
      <c r="AR45" s="15"/>
      <c r="AT45" s="12">
        <f t="shared" si="45"/>
        <v>9</v>
      </c>
      <c r="AU45" t="str">
        <f>IF(OR(VALUE(RIGHT(AT45,5))={11,12,13}),"th",IF(OR(VALUE(RIGHT(AT45))={1,2,3}),CHOOSE(RIGHT(AT45),"st","nd","rd"),"th"))</f>
        <v>th</v>
      </c>
      <c r="AV45">
        <f t="shared" si="46"/>
        <v>7</v>
      </c>
      <c r="AW45" t="str">
        <f>IF(OR(VALUE(RIGHT(AV45,5))={11,12,13}),"th",IF(OR(VALUE(RIGHT(AV45))={1,2,3}),CHOOSE(RIGHT(AV45),"st","nd","rd"),"th"))</f>
        <v>th</v>
      </c>
      <c r="AX45">
        <f t="shared" si="47"/>
        <v>31</v>
      </c>
      <c r="AY45" t="str">
        <f>IF(OR(VALUE(RIGHT(AX45,5))={11,12,13}),"th",IF(OR(VALUE(RIGHT(AX45))={1,2,3}),CHOOSE(RIGHT(AX45),"st","nd","rd"),"th"))</f>
        <v>st</v>
      </c>
      <c r="AZ45">
        <f t="shared" si="48"/>
        <v>41</v>
      </c>
      <c r="BA45" t="str">
        <f>IF(OR(VALUE(RIGHT(AZ45,5))={11,12,13}),"th",IF(OR(VALUE(RIGHT(AZ45))={1,2,3}),CHOOSE(RIGHT(AZ45),"st","nd","rd"),"th"))</f>
        <v>st</v>
      </c>
      <c r="BB45">
        <f t="shared" si="49"/>
        <v>40</v>
      </c>
      <c r="BC45" t="str">
        <f>IF(OR(VALUE(RIGHT(BB45,5))={11,12,13}),"th",IF(OR(VALUE(RIGHT(BB45))={1,2,3}),CHOOSE(RIGHT(BB45),"st","nd","rd"),"th"))</f>
        <v>th</v>
      </c>
      <c r="BD45">
        <f t="shared" si="50"/>
        <v>42</v>
      </c>
      <c r="BE45" t="str">
        <f>IF(OR(VALUE(RIGHT(BD45,5))={11,12,13}),"th",IF(OR(VALUE(RIGHT(BD45))={1,2,3}),CHOOSE(RIGHT(BD45),"st","nd","rd"),"th"))</f>
        <v>nd</v>
      </c>
      <c r="BF45">
        <f t="shared" si="51"/>
        <v>44</v>
      </c>
      <c r="BG45" t="str">
        <f>IF(OR(VALUE(RIGHT(BF45,5))={11,12,13}),"th",IF(OR(VALUE(RIGHT(BF45))={1,2,3}),CHOOSE(RIGHT(BF45),"st","nd","rd"),"th"))</f>
        <v>th</v>
      </c>
      <c r="BH45">
        <f t="shared" si="52"/>
        <v>7</v>
      </c>
      <c r="BI45" t="str">
        <f>IF(OR(VALUE(RIGHT(BH45,5))={11,12,13}),"th",IF(OR(VALUE(RIGHT(BH45))={1,2,3}),CHOOSE(RIGHT(BH45),"st","nd","rd"),"th"))</f>
        <v>th</v>
      </c>
      <c r="BJ45">
        <f t="shared" si="53"/>
        <v>8</v>
      </c>
      <c r="BK45" t="str" cm="1">
        <f t="array" ref="BK45">IF(OR(VALUE(RIGHT(BJ45,5))={11,12,13}),"th",IF(OR(VALUE(RIGHT(BJ45))={1,2,3}),CHOOSE(RIGHT(BJ45),"st","nd","rd"),"th"))</f>
        <v>th</v>
      </c>
      <c r="BL45">
        <f t="shared" si="54"/>
        <v>38</v>
      </c>
      <c r="BM45" t="str">
        <f>IF(OR(VALUE(RIGHT(BL45,5))={11,12,13}),"th",IF(OR(VALUE(RIGHT(BL45))={1,2,3}),CHOOSE(RIGHT(BL45),"st","nd","rd"),"th"))</f>
        <v>th</v>
      </c>
      <c r="BO45" s="30">
        <f t="shared" si="44"/>
        <v>500</v>
      </c>
      <c r="BP45">
        <f t="shared" si="55"/>
        <v>20</v>
      </c>
      <c r="BQ45" t="str">
        <f>IF(OR(VALUE(RIGHT(BP45,5))={11,12,13}),"th",IF(OR(VALUE(RIGHT(BP45))={1,2,3}),CHOOSE(RIGHT(BP45),"st","nd","rd"),"th"))</f>
        <v>th</v>
      </c>
      <c r="BS45" s="27">
        <f>ClassScore!M45</f>
        <v>45</v>
      </c>
      <c r="BT45" s="27">
        <f>ClassScore!N45</f>
        <v>45.5</v>
      </c>
      <c r="BU45" s="27">
        <f>ClassScore!O45</f>
        <v>21.5</v>
      </c>
      <c r="BV45" s="27">
        <f>ClassScore!P45</f>
        <v>27</v>
      </c>
      <c r="BW45" s="27">
        <f>ClassScore!Q45</f>
        <v>34</v>
      </c>
      <c r="BX45" s="27">
        <f>ClassScore!R45</f>
        <v>22</v>
      </c>
      <c r="BY45" s="27">
        <f>ClassScore!S45</f>
        <v>15</v>
      </c>
      <c r="BZ45" s="27">
        <f>ClassScore!T45</f>
        <v>35.5</v>
      </c>
      <c r="CA45" s="27">
        <f>ClassScore!U45</f>
        <v>35.5</v>
      </c>
      <c r="CB45" s="27">
        <f>ClassScore!V45</f>
        <v>32</v>
      </c>
      <c r="CD45" s="27">
        <f>Examscore!M45</f>
        <v>21</v>
      </c>
      <c r="CE45" s="27">
        <f>Examscore!N45</f>
        <v>21</v>
      </c>
      <c r="CF45" s="27">
        <f>Examscore!O45</f>
        <v>35.5</v>
      </c>
      <c r="CG45" s="27">
        <f>Examscore!P45</f>
        <v>5.5</v>
      </c>
      <c r="CH45" s="27">
        <f>Examscore!Q45</f>
        <v>12.5</v>
      </c>
      <c r="CI45" s="27">
        <f>Examscore!R45</f>
        <v>10</v>
      </c>
      <c r="CJ45" s="27">
        <f>Examscore!S45</f>
        <v>18.5</v>
      </c>
      <c r="CK45" s="27">
        <f>Examscore!T45</f>
        <v>21.5</v>
      </c>
      <c r="CL45" s="27">
        <f>Examscore!U45</f>
        <v>22</v>
      </c>
      <c r="CM45" s="27">
        <f>Examscore!V45</f>
        <v>19.5</v>
      </c>
    </row>
    <row r="46" spans="1:91" ht="15.75" x14ac:dyDescent="0.25">
      <c r="A46" s="5">
        <f>Student!A46</f>
        <v>7315</v>
      </c>
      <c r="B46" s="21" t="str">
        <f>Student!B46</f>
        <v xml:space="preserve">GYEMENA SERWAH  </v>
      </c>
      <c r="C46" s="28">
        <f>ClassScore!M46+Examscore!M46</f>
        <v>59.5</v>
      </c>
      <c r="D46" s="28">
        <f>ClassScore!N46+Examscore!N46</f>
        <v>59</v>
      </c>
      <c r="E46" s="28">
        <f>ClassScore!O46+Examscore!O46</f>
        <v>64</v>
      </c>
      <c r="F46" s="28">
        <f>ClassScore!P46+Examscore!P46</f>
        <v>39</v>
      </c>
      <c r="G46" s="28">
        <f>ClassScore!Q46+Examscore!Q46</f>
        <v>56</v>
      </c>
      <c r="H46" s="28">
        <f>ClassScore!R46+Examscore!R46</f>
        <v>26.5</v>
      </c>
      <c r="I46" s="28">
        <f>ClassScore!S46+Examscore!S46</f>
        <v>44.5</v>
      </c>
      <c r="J46" s="28">
        <f>ClassScore!T46+Examscore!T46</f>
        <v>40.5</v>
      </c>
      <c r="K46" s="28">
        <f>ClassScore!U46+Examscore!U46</f>
        <v>45.5</v>
      </c>
      <c r="L46" s="28">
        <f>ClassScore!V46+Examscore!V46</f>
        <v>49</v>
      </c>
      <c r="M46" s="5" t="str">
        <f t="shared" si="22"/>
        <v>Low Average</v>
      </c>
      <c r="N46" s="5" t="str">
        <f t="shared" si="23"/>
        <v>Low Average</v>
      </c>
      <c r="O46" s="5" t="str">
        <f t="shared" si="24"/>
        <v>Average</v>
      </c>
      <c r="P46" s="5" t="str">
        <f t="shared" si="25"/>
        <v>Lowest</v>
      </c>
      <c r="Q46" s="5" t="str">
        <f t="shared" si="26"/>
        <v>Low Average</v>
      </c>
      <c r="R46" s="5" t="str">
        <f t="shared" si="27"/>
        <v>Lowest</v>
      </c>
      <c r="S46" s="5" t="str">
        <f t="shared" si="28"/>
        <v>Lower</v>
      </c>
      <c r="T46" s="5" t="str">
        <f t="shared" si="29"/>
        <v>Lower</v>
      </c>
      <c r="U46" s="5" t="str">
        <f t="shared" si="30"/>
        <v>Lower</v>
      </c>
      <c r="V46" s="5" t="str">
        <f t="shared" si="31"/>
        <v>Lower</v>
      </c>
      <c r="W46" s="5">
        <f t="shared" si="32"/>
        <v>6</v>
      </c>
      <c r="X46" s="5">
        <f t="shared" si="33"/>
        <v>6</v>
      </c>
      <c r="Y46" s="5">
        <f t="shared" si="34"/>
        <v>5</v>
      </c>
      <c r="Z46" s="5">
        <f t="shared" si="35"/>
        <v>9</v>
      </c>
      <c r="AA46" s="5">
        <f t="shared" si="36"/>
        <v>6</v>
      </c>
      <c r="AB46" s="5">
        <f t="shared" si="37"/>
        <v>9</v>
      </c>
      <c r="AC46" s="5">
        <f t="shared" si="38"/>
        <v>8</v>
      </c>
      <c r="AD46" s="5">
        <f t="shared" si="39"/>
        <v>8</v>
      </c>
      <c r="AE46" s="5">
        <f t="shared" si="40"/>
        <v>8</v>
      </c>
      <c r="AF46" s="5">
        <f t="shared" si="41"/>
        <v>8</v>
      </c>
      <c r="AG46" s="34">
        <f>SUM(C46,D46,F46,G46)+LARGE((E46,H46,I46,J46,K46,L46),1)+LARGE((E46,H46,I46,J46,K46,L46),2)</f>
        <v>326.5</v>
      </c>
      <c r="AH46" s="5">
        <f>SUM(W46,X46,Z46,AA46)+SMALL((Y46,AB46,AC46,AD46,AE46,AF46),1)+SMALL((Y46,AB46,AC46,AD46,AE46,AF46),2)</f>
        <v>40</v>
      </c>
      <c r="AI46" s="15" t="str">
        <f>'Teacher''s Remarks'!M47</f>
        <v>PATIENCE AFUA MENSAH</v>
      </c>
      <c r="AJ46" s="15" t="str">
        <f>'Teacher''s Remarks'!N47</f>
        <v>Calm</v>
      </c>
      <c r="AK46" s="15" t="str">
        <f>'Teacher''s Remarks'!O47</f>
        <v>She is regular and puntual to school</v>
      </c>
      <c r="AL46" s="15" t="str">
        <f>'Teacher''s Remarks'!P47</f>
        <v>Needs special attention at home</v>
      </c>
      <c r="AM46" s="13" t="str">
        <f t="shared" si="42"/>
        <v xml:space="preserve">GYEMENA SERWAH  </v>
      </c>
      <c r="AN46" s="14">
        <f>Attendance!B46</f>
        <v>59</v>
      </c>
      <c r="AO46" s="15"/>
      <c r="AP46" s="15"/>
      <c r="AQ46" s="22">
        <f t="shared" ca="1" si="43"/>
        <v>45764</v>
      </c>
      <c r="AR46" s="15"/>
      <c r="AT46" s="12">
        <f t="shared" si="45"/>
        <v>19</v>
      </c>
      <c r="AU46" t="str">
        <f>IF(OR(VALUE(RIGHT(AT46,5))={11,12,13}),"th",IF(OR(VALUE(RIGHT(AT46))={1,2,3}),CHOOSE(RIGHT(AT46),"st","nd","rd"),"th"))</f>
        <v>th</v>
      </c>
      <c r="AV46">
        <f t="shared" si="46"/>
        <v>18</v>
      </c>
      <c r="AW46" t="str">
        <f>IF(OR(VALUE(RIGHT(AV46,5))={11,12,13}),"th",IF(OR(VALUE(RIGHT(AV46))={1,2,3}),CHOOSE(RIGHT(AV46),"st","nd","rd"),"th"))</f>
        <v>th</v>
      </c>
      <c r="AX46">
        <f t="shared" si="47"/>
        <v>23</v>
      </c>
      <c r="AY46" t="str">
        <f>IF(OR(VALUE(RIGHT(AX46,5))={11,12,13}),"th",IF(OR(VALUE(RIGHT(AX46))={1,2,3}),CHOOSE(RIGHT(AX46),"st","nd","rd"),"th"))</f>
        <v>rd</v>
      </c>
      <c r="AZ46">
        <f t="shared" si="48"/>
        <v>31</v>
      </c>
      <c r="BA46" t="str">
        <f>IF(OR(VALUE(RIGHT(AZ46,5))={11,12,13}),"th",IF(OR(VALUE(RIGHT(AZ46))={1,2,3}),CHOOSE(RIGHT(AZ46),"st","nd","rd"),"th"))</f>
        <v>st</v>
      </c>
      <c r="BB46">
        <f t="shared" si="49"/>
        <v>18</v>
      </c>
      <c r="BC46" t="str">
        <f>IF(OR(VALUE(RIGHT(BB46,5))={11,12,13}),"th",IF(OR(VALUE(RIGHT(BB46))={1,2,3}),CHOOSE(RIGHT(BB46),"st","nd","rd"),"th"))</f>
        <v>th</v>
      </c>
      <c r="BD46">
        <f t="shared" si="50"/>
        <v>53</v>
      </c>
      <c r="BE46" t="str">
        <f>IF(OR(VALUE(RIGHT(BD46,5))={11,12,13}),"th",IF(OR(VALUE(RIGHT(BD46))={1,2,3}),CHOOSE(RIGHT(BD46),"st","nd","rd"),"th"))</f>
        <v>rd</v>
      </c>
      <c r="BF46">
        <f t="shared" si="51"/>
        <v>19</v>
      </c>
      <c r="BG46" t="str">
        <f>IF(OR(VALUE(RIGHT(BF46,5))={11,12,13}),"th",IF(OR(VALUE(RIGHT(BF46))={1,2,3}),CHOOSE(RIGHT(BF46),"st","nd","rd"),"th"))</f>
        <v>th</v>
      </c>
      <c r="BH46">
        <f t="shared" si="52"/>
        <v>20</v>
      </c>
      <c r="BI46" t="str">
        <f>IF(OR(VALUE(RIGHT(BH46,5))={11,12,13}),"th",IF(OR(VALUE(RIGHT(BH46))={1,2,3}),CHOOSE(RIGHT(BH46),"st","nd","rd"),"th"))</f>
        <v>th</v>
      </c>
      <c r="BJ46">
        <f t="shared" si="53"/>
        <v>24</v>
      </c>
      <c r="BK46" t="str" cm="1">
        <f t="array" ref="BK46">IF(OR(VALUE(RIGHT(BJ46,5))={11,12,13}),"th",IF(OR(VALUE(RIGHT(BJ46))={1,2,3}),CHOOSE(RIGHT(BJ46),"st","nd","rd"),"th"))</f>
        <v>th</v>
      </c>
      <c r="BL46">
        <f t="shared" si="54"/>
        <v>43</v>
      </c>
      <c r="BM46" t="str">
        <f>IF(OR(VALUE(RIGHT(BL46,5))={11,12,13}),"th",IF(OR(VALUE(RIGHT(BL46))={1,2,3}),CHOOSE(RIGHT(BL46),"st","nd","rd"),"th"))</f>
        <v>rd</v>
      </c>
      <c r="BO46" s="30">
        <f t="shared" si="44"/>
        <v>483.5</v>
      </c>
      <c r="BP46">
        <f t="shared" si="55"/>
        <v>28</v>
      </c>
      <c r="BQ46" t="str">
        <f>IF(OR(VALUE(RIGHT(BP46,5))={11,12,13}),"th",IF(OR(VALUE(RIGHT(BP46))={1,2,3}),CHOOSE(RIGHT(BP46),"st","nd","rd"),"th"))</f>
        <v>th</v>
      </c>
      <c r="BS46" s="27">
        <f>ClassScore!M46</f>
        <v>45</v>
      </c>
      <c r="BT46" s="27">
        <f>ClassScore!N46</f>
        <v>44.5</v>
      </c>
      <c r="BU46" s="27">
        <f>ClassScore!O46</f>
        <v>33.5</v>
      </c>
      <c r="BV46" s="27">
        <f>ClassScore!P46</f>
        <v>32</v>
      </c>
      <c r="BW46" s="27">
        <f>ClassScore!Q46</f>
        <v>38.5</v>
      </c>
      <c r="BX46" s="27">
        <f>ClassScore!R46</f>
        <v>18</v>
      </c>
      <c r="BY46" s="27">
        <f>ClassScore!S46</f>
        <v>27</v>
      </c>
      <c r="BZ46" s="27">
        <f>ClassScore!T46</f>
        <v>24</v>
      </c>
      <c r="CA46" s="27">
        <f>ClassScore!U46</f>
        <v>26.5</v>
      </c>
      <c r="CB46" s="27">
        <f>ClassScore!V46</f>
        <v>37.5</v>
      </c>
      <c r="CD46" s="27">
        <f>Examscore!M46</f>
        <v>14.5</v>
      </c>
      <c r="CE46" s="27">
        <f>Examscore!N46</f>
        <v>14.5</v>
      </c>
      <c r="CF46" s="27">
        <f>Examscore!O46</f>
        <v>30.5</v>
      </c>
      <c r="CG46" s="27">
        <f>Examscore!P46</f>
        <v>7</v>
      </c>
      <c r="CH46" s="27">
        <f>Examscore!Q46</f>
        <v>17.5</v>
      </c>
      <c r="CI46" s="27">
        <f>Examscore!R46</f>
        <v>8.5</v>
      </c>
      <c r="CJ46" s="27">
        <f>Examscore!S46</f>
        <v>17.5</v>
      </c>
      <c r="CK46" s="27">
        <f>Examscore!T46</f>
        <v>16.5</v>
      </c>
      <c r="CL46" s="27">
        <f>Examscore!U46</f>
        <v>19</v>
      </c>
      <c r="CM46" s="27">
        <f>Examscore!V46</f>
        <v>11.5</v>
      </c>
    </row>
    <row r="47" spans="1:91" ht="15.75" x14ac:dyDescent="0.25">
      <c r="A47" s="5">
        <f>Student!A47</f>
        <v>385</v>
      </c>
      <c r="B47" s="21" t="str">
        <f>Student!B47</f>
        <v xml:space="preserve">HABLEAME SHILLA  </v>
      </c>
      <c r="C47" s="28">
        <f>ClassScore!M47+Examscore!M47</f>
        <v>56</v>
      </c>
      <c r="D47" s="28">
        <f>ClassScore!N47+Examscore!N47</f>
        <v>54</v>
      </c>
      <c r="E47" s="28">
        <f>ClassScore!O47+Examscore!O47</f>
        <v>42.5</v>
      </c>
      <c r="F47" s="28">
        <f>ClassScore!P47+Examscore!P47</f>
        <v>33</v>
      </c>
      <c r="G47" s="28">
        <f>ClassScore!Q47+Examscore!Q47</f>
        <v>57</v>
      </c>
      <c r="H47" s="28">
        <f>ClassScore!R47+Examscore!R47</f>
        <v>42.5</v>
      </c>
      <c r="I47" s="28">
        <f>ClassScore!S47+Examscore!S47</f>
        <v>49</v>
      </c>
      <c r="J47" s="28">
        <f>ClassScore!T47+Examscore!T47</f>
        <v>46.5</v>
      </c>
      <c r="K47" s="28">
        <f>ClassScore!U47+Examscore!U47</f>
        <v>51.5</v>
      </c>
      <c r="L47" s="28">
        <f>ClassScore!V47+Examscore!V47</f>
        <v>44</v>
      </c>
      <c r="M47" s="5" t="str">
        <f t="shared" si="22"/>
        <v>Low Average</v>
      </c>
      <c r="N47" s="5" t="str">
        <f t="shared" si="23"/>
        <v>Low</v>
      </c>
      <c r="O47" s="5" t="str">
        <f t="shared" si="24"/>
        <v>Lower</v>
      </c>
      <c r="P47" s="5" t="str">
        <f t="shared" si="25"/>
        <v>Lowest</v>
      </c>
      <c r="Q47" s="5" t="str">
        <f t="shared" si="26"/>
        <v>Low Average</v>
      </c>
      <c r="R47" s="5" t="str">
        <f t="shared" si="27"/>
        <v>Lower</v>
      </c>
      <c r="S47" s="5" t="str">
        <f t="shared" si="28"/>
        <v>Lower</v>
      </c>
      <c r="T47" s="5" t="str">
        <f t="shared" si="29"/>
        <v>Lower</v>
      </c>
      <c r="U47" s="5" t="str">
        <f t="shared" si="30"/>
        <v>Low</v>
      </c>
      <c r="V47" s="5" t="str">
        <f t="shared" si="31"/>
        <v>Lower</v>
      </c>
      <c r="W47" s="5">
        <f t="shared" si="32"/>
        <v>6</v>
      </c>
      <c r="X47" s="5">
        <f t="shared" si="33"/>
        <v>7</v>
      </c>
      <c r="Y47" s="5">
        <f t="shared" si="34"/>
        <v>8</v>
      </c>
      <c r="Z47" s="5">
        <f t="shared" si="35"/>
        <v>9</v>
      </c>
      <c r="AA47" s="5">
        <f t="shared" si="36"/>
        <v>6</v>
      </c>
      <c r="AB47" s="5">
        <f t="shared" si="37"/>
        <v>8</v>
      </c>
      <c r="AC47" s="5">
        <f t="shared" si="38"/>
        <v>8</v>
      </c>
      <c r="AD47" s="5">
        <f t="shared" si="39"/>
        <v>8</v>
      </c>
      <c r="AE47" s="5">
        <f t="shared" si="40"/>
        <v>7</v>
      </c>
      <c r="AF47" s="5">
        <f t="shared" si="41"/>
        <v>8</v>
      </c>
      <c r="AG47" s="34">
        <f>SUM(C47,D47,F47,G47)+LARGE((E47,H47,I47,J47,K47,L47),1)+LARGE((E47,H47,I47,J47,K47,L47),2)</f>
        <v>300.5</v>
      </c>
      <c r="AH47" s="5">
        <f>SUM(W47,X47,Z47,AA47)+SMALL((Y47,AB47,AC47,AD47,AE47,AF47),1)+SMALL((Y47,AB47,AC47,AD47,AE47,AF47),2)</f>
        <v>43</v>
      </c>
      <c r="AI47" s="15" t="str">
        <f>'Teacher''s Remarks'!M48</f>
        <v>PATIENCE AFUA MENSAH</v>
      </c>
      <c r="AJ47" s="15" t="str">
        <f>'Teacher''s Remarks'!N48</f>
        <v>playful</v>
      </c>
      <c r="AK47" s="15" t="str">
        <f>'Teacher''s Remarks'!O48</f>
        <v>She is regular and puntual to school</v>
      </c>
      <c r="AL47" s="15" t="str">
        <f>'Teacher''s Remarks'!P48</f>
        <v>Needs special attention at home</v>
      </c>
      <c r="AM47" s="13" t="str">
        <f t="shared" si="42"/>
        <v xml:space="preserve">HABLEAME SHILLA  </v>
      </c>
      <c r="AN47" s="14">
        <f>Attendance!B47</f>
        <v>64</v>
      </c>
      <c r="AO47" s="15"/>
      <c r="AP47" s="15"/>
      <c r="AQ47" s="22">
        <f t="shared" ca="1" si="43"/>
        <v>45764</v>
      </c>
      <c r="AR47" s="15"/>
      <c r="AT47" s="12">
        <f t="shared" si="45"/>
        <v>27</v>
      </c>
      <c r="AU47" t="str">
        <f>IF(OR(VALUE(RIGHT(AT47,5))={11,12,13}),"th",IF(OR(VALUE(RIGHT(AT47))={1,2,3}),CHOOSE(RIGHT(AT47),"st","nd","rd"),"th"))</f>
        <v>th</v>
      </c>
      <c r="AV47">
        <f t="shared" si="46"/>
        <v>30</v>
      </c>
      <c r="AW47" t="str">
        <f>IF(OR(VALUE(RIGHT(AV47,5))={11,12,13}),"th",IF(OR(VALUE(RIGHT(AV47))={1,2,3}),CHOOSE(RIGHT(AV47),"st","nd","rd"),"th"))</f>
        <v>th</v>
      </c>
      <c r="AX47">
        <f t="shared" si="47"/>
        <v>51</v>
      </c>
      <c r="AY47" t="str">
        <f>IF(OR(VALUE(RIGHT(AX47,5))={11,12,13}),"th",IF(OR(VALUE(RIGHT(AX47))={1,2,3}),CHOOSE(RIGHT(AX47),"st","nd","rd"),"th"))</f>
        <v>st</v>
      </c>
      <c r="AZ47">
        <f t="shared" si="48"/>
        <v>39</v>
      </c>
      <c r="BA47" t="str">
        <f>IF(OR(VALUE(RIGHT(AZ47,5))={11,12,13}),"th",IF(OR(VALUE(RIGHT(AZ47))={1,2,3}),CHOOSE(RIGHT(AZ47),"st","nd","rd"),"th"))</f>
        <v>th</v>
      </c>
      <c r="BB47">
        <f t="shared" si="49"/>
        <v>17</v>
      </c>
      <c r="BC47" t="str">
        <f>IF(OR(VALUE(RIGHT(BB47,5))={11,12,13}),"th",IF(OR(VALUE(RIGHT(BB47))={1,2,3}),CHOOSE(RIGHT(BB47),"st","nd","rd"),"th"))</f>
        <v>th</v>
      </c>
      <c r="BD47">
        <f t="shared" si="50"/>
        <v>15</v>
      </c>
      <c r="BE47" t="str">
        <f>IF(OR(VALUE(RIGHT(BD47,5))={11,12,13}),"th",IF(OR(VALUE(RIGHT(BD47))={1,2,3}),CHOOSE(RIGHT(BD47),"st","nd","rd"),"th"))</f>
        <v>th</v>
      </c>
      <c r="BF47">
        <f t="shared" si="51"/>
        <v>10</v>
      </c>
      <c r="BG47" t="str">
        <f>IF(OR(VALUE(RIGHT(BF47,5))={11,12,13}),"th",IF(OR(VALUE(RIGHT(BF47))={1,2,3}),CHOOSE(RIGHT(BF47),"st","nd","rd"),"th"))</f>
        <v>th</v>
      </c>
      <c r="BH47">
        <f t="shared" si="52"/>
        <v>16</v>
      </c>
      <c r="BI47" t="str">
        <f>IF(OR(VALUE(RIGHT(BH47,5))={11,12,13}),"th",IF(OR(VALUE(RIGHT(BH47))={1,2,3}),CHOOSE(RIGHT(BH47),"st","nd","rd"),"th"))</f>
        <v>th</v>
      </c>
      <c r="BJ47">
        <f t="shared" si="53"/>
        <v>12</v>
      </c>
      <c r="BK47" t="str" cm="1">
        <f t="array" ref="BK47">IF(OR(VALUE(RIGHT(BJ47,5))={11,12,13}),"th",IF(OR(VALUE(RIGHT(BJ47))={1,2,3}),CHOOSE(RIGHT(BJ47),"st","nd","rd"),"th"))</f>
        <v>th</v>
      </c>
      <c r="BL47">
        <f t="shared" si="54"/>
        <v>50</v>
      </c>
      <c r="BM47" t="str">
        <f>IF(OR(VALUE(RIGHT(BL47,5))={11,12,13}),"th",IF(OR(VALUE(RIGHT(BL47))={1,2,3}),CHOOSE(RIGHT(BL47),"st","nd","rd"),"th"))</f>
        <v>th</v>
      </c>
      <c r="BO47" s="30">
        <f t="shared" si="44"/>
        <v>476</v>
      </c>
      <c r="BP47">
        <f t="shared" si="55"/>
        <v>31</v>
      </c>
      <c r="BQ47" t="str">
        <f>IF(OR(VALUE(RIGHT(BP47,5))={11,12,13}),"th",IF(OR(VALUE(RIGHT(BP47))={1,2,3}),CHOOSE(RIGHT(BP47),"st","nd","rd"),"th"))</f>
        <v>st</v>
      </c>
      <c r="BS47" s="27">
        <f>ClassScore!M47</f>
        <v>41</v>
      </c>
      <c r="BT47" s="27">
        <f>ClassScore!N47</f>
        <v>39</v>
      </c>
      <c r="BU47" s="27">
        <f>ClassScore!O47</f>
        <v>34.5</v>
      </c>
      <c r="BV47" s="27">
        <f>ClassScore!P47</f>
        <v>24</v>
      </c>
      <c r="BW47" s="27">
        <f>ClassScore!Q47</f>
        <v>32</v>
      </c>
      <c r="BX47" s="27">
        <f>ClassScore!R47</f>
        <v>32.5</v>
      </c>
      <c r="BY47" s="27">
        <f>ClassScore!S47</f>
        <v>22</v>
      </c>
      <c r="BZ47" s="27">
        <f>ClassScore!T47</f>
        <v>25.5</v>
      </c>
      <c r="CA47" s="27">
        <f>ClassScore!U47</f>
        <v>25.5</v>
      </c>
      <c r="CB47" s="27">
        <f>ClassScore!V47</f>
        <v>29</v>
      </c>
      <c r="CD47" s="27">
        <f>Examscore!M47</f>
        <v>15</v>
      </c>
      <c r="CE47" s="27">
        <f>Examscore!N47</f>
        <v>15</v>
      </c>
      <c r="CF47" s="27">
        <f>Examscore!O47</f>
        <v>8</v>
      </c>
      <c r="CG47" s="27">
        <f>Examscore!P47</f>
        <v>9</v>
      </c>
      <c r="CH47" s="27">
        <f>Examscore!Q47</f>
        <v>25</v>
      </c>
      <c r="CI47" s="27">
        <f>Examscore!R47</f>
        <v>10</v>
      </c>
      <c r="CJ47" s="27">
        <f>Examscore!S47</f>
        <v>27</v>
      </c>
      <c r="CK47" s="27">
        <f>Examscore!T47</f>
        <v>21</v>
      </c>
      <c r="CL47" s="27">
        <f>Examscore!U47</f>
        <v>26</v>
      </c>
      <c r="CM47" s="27">
        <f>Examscore!V47</f>
        <v>15</v>
      </c>
    </row>
    <row r="48" spans="1:91" ht="15.75" x14ac:dyDescent="0.25">
      <c r="A48" s="5" t="str">
        <f>Student!A48</f>
        <v>A244</v>
      </c>
      <c r="B48" s="21" t="str">
        <f>Student!B48</f>
        <v xml:space="preserve">MENSAH FLORENCE  </v>
      </c>
      <c r="C48" s="28">
        <f>ClassScore!M48+Examscore!M48</f>
        <v>54.5</v>
      </c>
      <c r="D48" s="28">
        <f>ClassScore!N48+Examscore!N48</f>
        <v>41</v>
      </c>
      <c r="E48" s="28">
        <f>ClassScore!O48+Examscore!O48</f>
        <v>76</v>
      </c>
      <c r="F48" s="28">
        <f>ClassScore!P48+Examscore!P48</f>
        <v>44</v>
      </c>
      <c r="G48" s="28">
        <f>ClassScore!Q48+Examscore!Q48</f>
        <v>58.5</v>
      </c>
      <c r="H48" s="28">
        <f>ClassScore!R48+Examscore!R48</f>
        <v>33.5</v>
      </c>
      <c r="I48" s="28">
        <f>ClassScore!S48+Examscore!S48</f>
        <v>35</v>
      </c>
      <c r="J48" s="28">
        <f>ClassScore!T48+Examscore!T48</f>
        <v>36.5</v>
      </c>
      <c r="K48" s="28">
        <f>ClassScore!U48+Examscore!U48</f>
        <v>51.5</v>
      </c>
      <c r="L48" s="28">
        <f>ClassScore!V48+Examscore!V48</f>
        <v>65</v>
      </c>
      <c r="M48" s="5" t="str">
        <f t="shared" si="22"/>
        <v>Low</v>
      </c>
      <c r="N48" s="5" t="str">
        <f t="shared" si="23"/>
        <v>Lower</v>
      </c>
      <c r="O48" s="5" t="str">
        <f t="shared" si="24"/>
        <v>High</v>
      </c>
      <c r="P48" s="5" t="str">
        <f t="shared" si="25"/>
        <v>Lower</v>
      </c>
      <c r="Q48" s="5" t="str">
        <f t="shared" si="26"/>
        <v>Low Average</v>
      </c>
      <c r="R48" s="5" t="str">
        <f t="shared" si="27"/>
        <v>Lowest</v>
      </c>
      <c r="S48" s="5" t="str">
        <f t="shared" si="28"/>
        <v>Lowest</v>
      </c>
      <c r="T48" s="5" t="str">
        <f t="shared" si="29"/>
        <v>Lowest</v>
      </c>
      <c r="U48" s="5" t="str">
        <f t="shared" si="30"/>
        <v>Low</v>
      </c>
      <c r="V48" s="5" t="str">
        <f t="shared" si="31"/>
        <v>High Average</v>
      </c>
      <c r="W48" s="5">
        <f t="shared" si="32"/>
        <v>7</v>
      </c>
      <c r="X48" s="5">
        <f t="shared" si="33"/>
        <v>8</v>
      </c>
      <c r="Y48" s="5">
        <f t="shared" si="34"/>
        <v>3</v>
      </c>
      <c r="Z48" s="5">
        <f t="shared" si="35"/>
        <v>8</v>
      </c>
      <c r="AA48" s="5">
        <f t="shared" si="36"/>
        <v>6</v>
      </c>
      <c r="AB48" s="5">
        <f t="shared" si="37"/>
        <v>9</v>
      </c>
      <c r="AC48" s="5">
        <f t="shared" si="38"/>
        <v>9</v>
      </c>
      <c r="AD48" s="5">
        <f t="shared" si="39"/>
        <v>9</v>
      </c>
      <c r="AE48" s="5">
        <f t="shared" si="40"/>
        <v>7</v>
      </c>
      <c r="AF48" s="5">
        <f t="shared" si="41"/>
        <v>4</v>
      </c>
      <c r="AG48" s="34">
        <f>SUM(C48,D48,F48,G48)+LARGE((E48,H48,I48,J48,K48,L48),1)+LARGE((E48,H48,I48,J48,K48,L48),2)</f>
        <v>339</v>
      </c>
      <c r="AH48" s="5">
        <f>SUM(W48,X48,Z48,AA48)+SMALL((Y48,AB48,AC48,AD48,AE48,AF48),1)+SMALL((Y48,AB48,AC48,AD48,AE48,AF48),2)</f>
        <v>36</v>
      </c>
      <c r="AI48" s="15" t="str">
        <f>'Teacher''s Remarks'!M49</f>
        <v>PATIENCE AFUA MENSAH</v>
      </c>
      <c r="AJ48" s="15" t="str">
        <f>'Teacher''s Remarks'!N49</f>
        <v>Calm</v>
      </c>
      <c r="AK48" s="15" t="str">
        <f>'Teacher''s Remarks'!O49</f>
        <v>She is regular and puntual to school</v>
      </c>
      <c r="AL48" s="15" t="str">
        <f>'Teacher''s Remarks'!P49</f>
        <v>Needs special attention at home</v>
      </c>
      <c r="AM48" s="13" t="str">
        <f t="shared" si="42"/>
        <v xml:space="preserve">MENSAH FLORENCE  </v>
      </c>
      <c r="AN48" s="14">
        <f>Attendance!B48</f>
        <v>67</v>
      </c>
      <c r="AO48" s="15"/>
      <c r="AP48" s="15"/>
      <c r="AQ48" s="22">
        <f t="shared" ca="1" si="43"/>
        <v>45764</v>
      </c>
      <c r="AR48" s="15"/>
      <c r="AT48" s="12">
        <f t="shared" si="45"/>
        <v>30</v>
      </c>
      <c r="AU48" t="str">
        <f>IF(OR(VALUE(RIGHT(AT48,5))={11,12,13}),"th",IF(OR(VALUE(RIGHT(AT48))={1,2,3}),CHOOSE(RIGHT(AT48),"st","nd","rd"),"th"))</f>
        <v>th</v>
      </c>
      <c r="AV48">
        <f t="shared" si="46"/>
        <v>53</v>
      </c>
      <c r="AW48" t="str">
        <f>IF(OR(VALUE(RIGHT(AV48,5))={11,12,13}),"th",IF(OR(VALUE(RIGHT(AV48))={1,2,3}),CHOOSE(RIGHT(AV48),"st","nd","rd"),"th"))</f>
        <v>rd</v>
      </c>
      <c r="AX48">
        <f t="shared" si="47"/>
        <v>4</v>
      </c>
      <c r="AY48" t="str">
        <f>IF(OR(VALUE(RIGHT(AX48,5))={11,12,13}),"th",IF(OR(VALUE(RIGHT(AX48))={1,2,3}),CHOOSE(RIGHT(AX48),"st","nd","rd"),"th"))</f>
        <v>th</v>
      </c>
      <c r="AZ48">
        <f t="shared" si="48"/>
        <v>24</v>
      </c>
      <c r="BA48" t="str">
        <f>IF(OR(VALUE(RIGHT(AZ48,5))={11,12,13}),"th",IF(OR(VALUE(RIGHT(AZ48))={1,2,3}),CHOOSE(RIGHT(AZ48),"st","nd","rd"),"th"))</f>
        <v>th</v>
      </c>
      <c r="BB48">
        <f t="shared" si="49"/>
        <v>15</v>
      </c>
      <c r="BC48" t="str">
        <f>IF(OR(VALUE(RIGHT(BB48,5))={11,12,13}),"th",IF(OR(VALUE(RIGHT(BB48))={1,2,3}),CHOOSE(RIGHT(BB48),"st","nd","rd"),"th"))</f>
        <v>th</v>
      </c>
      <c r="BD48">
        <f t="shared" si="50"/>
        <v>37</v>
      </c>
      <c r="BE48" t="str">
        <f>IF(OR(VALUE(RIGHT(BD48,5))={11,12,13}),"th",IF(OR(VALUE(RIGHT(BD48))={1,2,3}),CHOOSE(RIGHT(BD48),"st","nd","rd"),"th"))</f>
        <v>th</v>
      </c>
      <c r="BF48">
        <f t="shared" si="51"/>
        <v>36</v>
      </c>
      <c r="BG48" t="str">
        <f>IF(OR(VALUE(RIGHT(BF48,5))={11,12,13}),"th",IF(OR(VALUE(RIGHT(BF48))={1,2,3}),CHOOSE(RIGHT(BF48),"st","nd","rd"),"th"))</f>
        <v>th</v>
      </c>
      <c r="BH48">
        <f t="shared" si="52"/>
        <v>27</v>
      </c>
      <c r="BI48" t="str">
        <f>IF(OR(VALUE(RIGHT(BH48,5))={11,12,13}),"th",IF(OR(VALUE(RIGHT(BH48))={1,2,3}),CHOOSE(RIGHT(BH48),"st","nd","rd"),"th"))</f>
        <v>th</v>
      </c>
      <c r="BJ48">
        <f t="shared" si="53"/>
        <v>12</v>
      </c>
      <c r="BK48" t="str" cm="1">
        <f t="array" ref="BK48">IF(OR(VALUE(RIGHT(BJ48,5))={11,12,13}),"th",IF(OR(VALUE(RIGHT(BJ48))={1,2,3}),CHOOSE(RIGHT(BJ48),"st","nd","rd"),"th"))</f>
        <v>th</v>
      </c>
      <c r="BL48">
        <f t="shared" si="54"/>
        <v>9</v>
      </c>
      <c r="BM48" t="str">
        <f>IF(OR(VALUE(RIGHT(BL48,5))={11,12,13}),"th",IF(OR(VALUE(RIGHT(BL48))={1,2,3}),CHOOSE(RIGHT(BL48),"st","nd","rd"),"th"))</f>
        <v>th</v>
      </c>
      <c r="BO48" s="30">
        <f t="shared" si="44"/>
        <v>495.5</v>
      </c>
      <c r="BP48">
        <f t="shared" si="55"/>
        <v>22</v>
      </c>
      <c r="BQ48" t="str">
        <f>IF(OR(VALUE(RIGHT(BP48,5))={11,12,13}),"th",IF(OR(VALUE(RIGHT(BP48))={1,2,3}),CHOOSE(RIGHT(BP48),"st","nd","rd"),"th"))</f>
        <v>nd</v>
      </c>
      <c r="BS48" s="27">
        <f>ClassScore!M48</f>
        <v>39</v>
      </c>
      <c r="BT48" s="27">
        <f>ClassScore!N48</f>
        <v>34.5</v>
      </c>
      <c r="BU48" s="27">
        <f>ClassScore!O48</f>
        <v>37</v>
      </c>
      <c r="BV48" s="27">
        <f>ClassScore!P48</f>
        <v>36</v>
      </c>
      <c r="BW48" s="27">
        <f>ClassScore!Q48</f>
        <v>40.5</v>
      </c>
      <c r="BX48" s="27">
        <f>ClassScore!R48</f>
        <v>18</v>
      </c>
      <c r="BY48" s="27">
        <f>ClassScore!S48</f>
        <v>16</v>
      </c>
      <c r="BZ48" s="27">
        <f>ClassScore!T48</f>
        <v>25.5</v>
      </c>
      <c r="CA48" s="27">
        <f>ClassScore!U48</f>
        <v>31.5</v>
      </c>
      <c r="CB48" s="27">
        <f>ClassScore!V48</f>
        <v>46.5</v>
      </c>
      <c r="CD48" s="27">
        <f>Examscore!M48</f>
        <v>15.5</v>
      </c>
      <c r="CE48" s="27">
        <f>Examscore!N48</f>
        <v>6.5</v>
      </c>
      <c r="CF48" s="27">
        <f>Examscore!O48</f>
        <v>39</v>
      </c>
      <c r="CG48" s="27">
        <f>Examscore!P48</f>
        <v>8</v>
      </c>
      <c r="CH48" s="27">
        <f>Examscore!Q48</f>
        <v>18</v>
      </c>
      <c r="CI48" s="27">
        <f>Examscore!R48</f>
        <v>15.5</v>
      </c>
      <c r="CJ48" s="27">
        <f>Examscore!S48</f>
        <v>19</v>
      </c>
      <c r="CK48" s="27">
        <f>Examscore!T48</f>
        <v>11</v>
      </c>
      <c r="CL48" s="27">
        <f>Examscore!U48</f>
        <v>20</v>
      </c>
      <c r="CM48" s="27">
        <f>Examscore!V48</f>
        <v>18.5</v>
      </c>
    </row>
    <row r="49" spans="1:91" ht="15.75" x14ac:dyDescent="0.25">
      <c r="A49" s="5">
        <f>Student!A49</f>
        <v>508</v>
      </c>
      <c r="B49" s="21" t="str">
        <f>Student!B49</f>
        <v xml:space="preserve">MENSAH VANESSA  </v>
      </c>
      <c r="C49" s="28">
        <f>ClassScore!M49+Examscore!M49</f>
        <v>0</v>
      </c>
      <c r="D49" s="28">
        <f>ClassScore!N49+Examscore!N49</f>
        <v>0</v>
      </c>
      <c r="E49" s="28">
        <f>ClassScore!O49+Examscore!O49</f>
        <v>0</v>
      </c>
      <c r="F49" s="28">
        <f>ClassScore!P49+Examscore!P49</f>
        <v>0</v>
      </c>
      <c r="G49" s="28">
        <f>ClassScore!Q49+Examscore!Q49</f>
        <v>0</v>
      </c>
      <c r="H49" s="28">
        <f>ClassScore!R49+Examscore!R49</f>
        <v>0</v>
      </c>
      <c r="I49" s="28">
        <f>ClassScore!S49+Examscore!S49</f>
        <v>0</v>
      </c>
      <c r="J49" s="28">
        <f>ClassScore!T49+Examscore!T49</f>
        <v>0</v>
      </c>
      <c r="K49" s="28">
        <f>ClassScore!U49+Examscore!U49</f>
        <v>0</v>
      </c>
      <c r="L49" s="28">
        <f>ClassScore!V49+Examscore!V49</f>
        <v>0</v>
      </c>
      <c r="M49" s="5" t="str">
        <f t="shared" si="22"/>
        <v>--</v>
      </c>
      <c r="N49" s="5" t="str">
        <f t="shared" si="23"/>
        <v>--</v>
      </c>
      <c r="O49" s="5" t="str">
        <f t="shared" si="24"/>
        <v>--</v>
      </c>
      <c r="P49" s="5" t="str">
        <f t="shared" si="25"/>
        <v>--</v>
      </c>
      <c r="Q49" s="5" t="str">
        <f t="shared" si="26"/>
        <v>--</v>
      </c>
      <c r="R49" s="5" t="str">
        <f t="shared" si="27"/>
        <v>--</v>
      </c>
      <c r="S49" s="5" t="str">
        <f t="shared" si="28"/>
        <v>--</v>
      </c>
      <c r="T49" s="5" t="str">
        <f t="shared" si="29"/>
        <v>--</v>
      </c>
      <c r="U49" s="5" t="str">
        <f t="shared" si="30"/>
        <v>--</v>
      </c>
      <c r="V49" s="5" t="str">
        <f t="shared" si="31"/>
        <v>--</v>
      </c>
      <c r="W49" s="5" t="str">
        <f t="shared" si="32"/>
        <v>--</v>
      </c>
      <c r="X49" s="5" t="str">
        <f t="shared" si="33"/>
        <v>--</v>
      </c>
      <c r="Y49" s="5" t="str">
        <f t="shared" si="34"/>
        <v>--</v>
      </c>
      <c r="Z49" s="5" t="str">
        <f t="shared" si="35"/>
        <v>--</v>
      </c>
      <c r="AA49" s="5" t="str">
        <f t="shared" si="36"/>
        <v>--</v>
      </c>
      <c r="AB49" s="5" t="str">
        <f t="shared" si="37"/>
        <v>--</v>
      </c>
      <c r="AC49" s="5" t="str">
        <f t="shared" si="38"/>
        <v>--</v>
      </c>
      <c r="AD49" s="5" t="str">
        <f t="shared" si="39"/>
        <v>--</v>
      </c>
      <c r="AE49" s="5" t="str">
        <f t="shared" si="40"/>
        <v>--</v>
      </c>
      <c r="AF49" s="5" t="str">
        <f t="shared" si="41"/>
        <v>--</v>
      </c>
      <c r="AG49" s="34">
        <f>SUM(C49,D49,F49,G49)+LARGE((E49,H49,I49,J49,K49,L49),1)+LARGE((E49,H49,I49,J49,K49,L49),2)</f>
        <v>0</v>
      </c>
      <c r="AH49" s="5" t="e">
        <f>SUM(W49,X49,Z49,AA49)+SMALL((Y49,AB49,AC49,AD49,AE49,AF49),1)+SMALL((Y49,AB49,AC49,AD49,AE49,AF49),2)</f>
        <v>#NUM!</v>
      </c>
      <c r="AI49" s="15" t="str">
        <f>'Teacher''s Remarks'!M50</f>
        <v>PATIENCE AFUA MENSAH</v>
      </c>
      <c r="AJ49" s="15" t="str">
        <f>'Teacher''s Remarks'!N50</f>
        <v>Dutiful</v>
      </c>
      <c r="AK49" s="15" t="str">
        <f>'Teacher''s Remarks'!O50</f>
        <v>She is regular and puntual to school</v>
      </c>
      <c r="AL49" s="15" t="str">
        <f>'Teacher''s Remarks'!P50</f>
        <v>She can do better than this. Sit up!</v>
      </c>
      <c r="AM49" s="13" t="str">
        <f t="shared" si="42"/>
        <v xml:space="preserve">MENSAH VANESSA  </v>
      </c>
      <c r="AN49" s="14">
        <f>Attendance!B49</f>
        <v>0</v>
      </c>
      <c r="AO49" s="15"/>
      <c r="AP49" s="15"/>
      <c r="AQ49" s="22">
        <f t="shared" ca="1" si="43"/>
        <v>45764</v>
      </c>
      <c r="AR49" s="15"/>
      <c r="AT49" s="12">
        <f t="shared" si="45"/>
        <v>56</v>
      </c>
      <c r="AU49" t="str">
        <f>IF(OR(VALUE(RIGHT(AT49,5))={11,12,13}),"th",IF(OR(VALUE(RIGHT(AT49))={1,2,3}),CHOOSE(RIGHT(AT49),"st","nd","rd"),"th"))</f>
        <v>th</v>
      </c>
      <c r="AV49">
        <f t="shared" si="46"/>
        <v>56</v>
      </c>
      <c r="AW49" t="str">
        <f>IF(OR(VALUE(RIGHT(AV49,5))={11,12,13}),"th",IF(OR(VALUE(RIGHT(AV49))={1,2,3}),CHOOSE(RIGHT(AV49),"st","nd","rd"),"th"))</f>
        <v>th</v>
      </c>
      <c r="AX49">
        <f t="shared" si="47"/>
        <v>56</v>
      </c>
      <c r="AY49" t="str">
        <f>IF(OR(VALUE(RIGHT(AX49,5))={11,12,13}),"th",IF(OR(VALUE(RIGHT(AX49))={1,2,3}),CHOOSE(RIGHT(AX49),"st","nd","rd"),"th"))</f>
        <v>th</v>
      </c>
      <c r="AZ49">
        <f t="shared" si="48"/>
        <v>56</v>
      </c>
      <c r="BA49" t="str">
        <f>IF(OR(VALUE(RIGHT(AZ49,5))={11,12,13}),"th",IF(OR(VALUE(RIGHT(AZ49))={1,2,3}),CHOOSE(RIGHT(AZ49),"st","nd","rd"),"th"))</f>
        <v>th</v>
      </c>
      <c r="BB49">
        <f t="shared" si="49"/>
        <v>56</v>
      </c>
      <c r="BC49" t="str">
        <f>IF(OR(VALUE(RIGHT(BB49,5))={11,12,13}),"th",IF(OR(VALUE(RIGHT(BB49))={1,2,3}),CHOOSE(RIGHT(BB49),"st","nd","rd"),"th"))</f>
        <v>th</v>
      </c>
      <c r="BD49">
        <f t="shared" si="50"/>
        <v>56</v>
      </c>
      <c r="BE49" t="str">
        <f>IF(OR(VALUE(RIGHT(BD49,5))={11,12,13}),"th",IF(OR(VALUE(RIGHT(BD49))={1,2,3}),CHOOSE(RIGHT(BD49),"st","nd","rd"),"th"))</f>
        <v>th</v>
      </c>
      <c r="BF49">
        <f t="shared" si="51"/>
        <v>56</v>
      </c>
      <c r="BG49" t="str">
        <f>IF(OR(VALUE(RIGHT(BF49,5))={11,12,13}),"th",IF(OR(VALUE(RIGHT(BF49))={1,2,3}),CHOOSE(RIGHT(BF49),"st","nd","rd"),"th"))</f>
        <v>th</v>
      </c>
      <c r="BH49">
        <f t="shared" si="52"/>
        <v>56</v>
      </c>
      <c r="BI49" t="str">
        <f>IF(OR(VALUE(RIGHT(BH49,5))={11,12,13}),"th",IF(OR(VALUE(RIGHT(BH49))={1,2,3}),CHOOSE(RIGHT(BH49),"st","nd","rd"),"th"))</f>
        <v>th</v>
      </c>
      <c r="BJ49">
        <f t="shared" si="53"/>
        <v>56</v>
      </c>
      <c r="BK49" t="str" cm="1">
        <f t="array" ref="BK49">IF(OR(VALUE(RIGHT(BJ49,5))={11,12,13}),"th",IF(OR(VALUE(RIGHT(BJ49))={1,2,3}),CHOOSE(RIGHT(BJ49),"st","nd","rd"),"th"))</f>
        <v>th</v>
      </c>
      <c r="BL49">
        <f t="shared" si="54"/>
        <v>57</v>
      </c>
      <c r="BM49" t="str">
        <f>IF(OR(VALUE(RIGHT(BL49,5))={11,12,13}),"th",IF(OR(VALUE(RIGHT(BL49))={1,2,3}),CHOOSE(RIGHT(BL49),"st","nd","rd"),"th"))</f>
        <v>th</v>
      </c>
      <c r="BO49" s="30">
        <f t="shared" si="44"/>
        <v>0</v>
      </c>
      <c r="BP49">
        <f t="shared" si="55"/>
        <v>57</v>
      </c>
      <c r="BQ49" t="str">
        <f>IF(OR(VALUE(RIGHT(BP49,5))={11,12,13}),"th",IF(OR(VALUE(RIGHT(BP49))={1,2,3}),CHOOSE(RIGHT(BP49),"st","nd","rd"),"th"))</f>
        <v>th</v>
      </c>
      <c r="BS49" s="27">
        <f>ClassScore!M49</f>
        <v>0</v>
      </c>
      <c r="BT49" s="27">
        <f>ClassScore!N49</f>
        <v>0</v>
      </c>
      <c r="BU49" s="27">
        <f>ClassScore!O49</f>
        <v>0</v>
      </c>
      <c r="BV49" s="27">
        <f>ClassScore!P49</f>
        <v>0</v>
      </c>
      <c r="BW49" s="27">
        <f>ClassScore!Q49</f>
        <v>0</v>
      </c>
      <c r="BX49" s="27">
        <f>ClassScore!R49</f>
        <v>0</v>
      </c>
      <c r="BY49" s="27">
        <f>ClassScore!S49</f>
        <v>0</v>
      </c>
      <c r="BZ49" s="27">
        <f>ClassScore!T49</f>
        <v>0</v>
      </c>
      <c r="CA49" s="27">
        <f>ClassScore!U49</f>
        <v>0</v>
      </c>
      <c r="CB49" s="27">
        <f>ClassScore!V49</f>
        <v>0</v>
      </c>
      <c r="CD49" s="27">
        <f>Examscore!M49</f>
        <v>0</v>
      </c>
      <c r="CE49" s="27">
        <f>Examscore!N49</f>
        <v>0</v>
      </c>
      <c r="CF49" s="27">
        <f>Examscore!O49</f>
        <v>0</v>
      </c>
      <c r="CG49" s="27">
        <f>Examscore!P49</f>
        <v>0</v>
      </c>
      <c r="CH49" s="27">
        <f>Examscore!Q49</f>
        <v>0</v>
      </c>
      <c r="CI49" s="27">
        <f>Examscore!R49</f>
        <v>0</v>
      </c>
      <c r="CJ49" s="27">
        <f>Examscore!S49</f>
        <v>0</v>
      </c>
      <c r="CK49" s="27">
        <f>Examscore!T49</f>
        <v>0</v>
      </c>
      <c r="CL49" s="27">
        <f>Examscore!U49</f>
        <v>0</v>
      </c>
      <c r="CM49" s="27">
        <f>Examscore!V49</f>
        <v>0</v>
      </c>
    </row>
    <row r="50" spans="1:91" ht="15.75" x14ac:dyDescent="0.25">
      <c r="A50" s="5">
        <f>Student!A50</f>
        <v>433</v>
      </c>
      <c r="B50" s="21" t="str">
        <f>Student!B50</f>
        <v xml:space="preserve">NKETIA POKUAA CECELIA  </v>
      </c>
      <c r="C50" s="28">
        <f>ClassScore!M50+Examscore!M50</f>
        <v>59.5</v>
      </c>
      <c r="D50" s="28">
        <f>ClassScore!N50+Examscore!N50</f>
        <v>61</v>
      </c>
      <c r="E50" s="28">
        <f>ClassScore!O50+Examscore!O50</f>
        <v>70</v>
      </c>
      <c r="F50" s="28">
        <f>ClassScore!P50+Examscore!P50</f>
        <v>50</v>
      </c>
      <c r="G50" s="28">
        <f>ClassScore!Q50+Examscore!Q50</f>
        <v>53</v>
      </c>
      <c r="H50" s="28">
        <f>ClassScore!R50+Examscore!R50</f>
        <v>47.5</v>
      </c>
      <c r="I50" s="28">
        <f>ClassScore!S50+Examscore!S50</f>
        <v>30.5</v>
      </c>
      <c r="J50" s="28">
        <f>ClassScore!T50+Examscore!T50</f>
        <v>55.5</v>
      </c>
      <c r="K50" s="28">
        <f>ClassScore!U50+Examscore!U50</f>
        <v>52</v>
      </c>
      <c r="L50" s="28">
        <f>ClassScore!V50+Examscore!V50</f>
        <v>61</v>
      </c>
      <c r="M50" s="5" t="str">
        <f t="shared" si="22"/>
        <v>Low Average</v>
      </c>
      <c r="N50" s="5" t="str">
        <f t="shared" si="23"/>
        <v>Average</v>
      </c>
      <c r="O50" s="5" t="str">
        <f t="shared" si="24"/>
        <v>High</v>
      </c>
      <c r="P50" s="5" t="str">
        <f t="shared" si="25"/>
        <v>Low</v>
      </c>
      <c r="Q50" s="5" t="str">
        <f t="shared" si="26"/>
        <v>Low</v>
      </c>
      <c r="R50" s="5" t="str">
        <f t="shared" si="27"/>
        <v>Lower</v>
      </c>
      <c r="S50" s="5" t="str">
        <f t="shared" si="28"/>
        <v>Lowest</v>
      </c>
      <c r="T50" s="5" t="str">
        <f t="shared" si="29"/>
        <v>Low Average</v>
      </c>
      <c r="U50" s="5" t="str">
        <f t="shared" si="30"/>
        <v>Low</v>
      </c>
      <c r="V50" s="5" t="str">
        <f t="shared" si="31"/>
        <v>Average</v>
      </c>
      <c r="W50" s="5">
        <f t="shared" si="32"/>
        <v>6</v>
      </c>
      <c r="X50" s="5">
        <f t="shared" si="33"/>
        <v>5</v>
      </c>
      <c r="Y50" s="5">
        <f t="shared" si="34"/>
        <v>3</v>
      </c>
      <c r="Z50" s="5">
        <f t="shared" si="35"/>
        <v>7</v>
      </c>
      <c r="AA50" s="5">
        <f t="shared" si="36"/>
        <v>7</v>
      </c>
      <c r="AB50" s="5">
        <f t="shared" si="37"/>
        <v>8</v>
      </c>
      <c r="AC50" s="5">
        <f t="shared" si="38"/>
        <v>9</v>
      </c>
      <c r="AD50" s="5">
        <f t="shared" si="39"/>
        <v>6</v>
      </c>
      <c r="AE50" s="5">
        <f t="shared" si="40"/>
        <v>7</v>
      </c>
      <c r="AF50" s="5">
        <f t="shared" si="41"/>
        <v>5</v>
      </c>
      <c r="AG50" s="34">
        <f>SUM(C50,D50,F50,G50)+LARGE((E50,H50,I50,J50,K50,L50),1)+LARGE((E50,H50,I50,J50,K50,L50),2)</f>
        <v>354.5</v>
      </c>
      <c r="AH50" s="5">
        <f>SUM(W50,X50,Z50,AA50)+SMALL((Y50,AB50,AC50,AD50,AE50,AF50),1)+SMALL((Y50,AB50,AC50,AD50,AE50,AF50),2)</f>
        <v>33</v>
      </c>
      <c r="AI50" s="15" t="str">
        <f>'Teacher''s Remarks'!M51</f>
        <v>PATIENCE AFUA MENSAH</v>
      </c>
      <c r="AJ50" s="15" t="str">
        <f>'Teacher''s Remarks'!N51</f>
        <v>Respectful</v>
      </c>
      <c r="AK50" s="15" t="str">
        <f>'Teacher''s Remarks'!O51</f>
        <v>She is regular and puntual to school</v>
      </c>
      <c r="AL50" s="15" t="str">
        <f>'Teacher''s Remarks'!P51</f>
        <v>She can do better than this. Sit up!</v>
      </c>
      <c r="AM50" s="13" t="str">
        <f t="shared" si="42"/>
        <v xml:space="preserve">NKETIA POKUAA CECELIA  </v>
      </c>
      <c r="AN50" s="14">
        <f>Attendance!B50</f>
        <v>67</v>
      </c>
      <c r="AO50" s="15"/>
      <c r="AP50" s="15"/>
      <c r="AQ50" s="22">
        <f t="shared" ca="1" si="43"/>
        <v>45764</v>
      </c>
      <c r="AR50" s="15"/>
      <c r="AT50" s="12">
        <f t="shared" si="45"/>
        <v>19</v>
      </c>
      <c r="AU50" t="str">
        <f>IF(OR(VALUE(RIGHT(AT50,5))={11,12,13}),"th",IF(OR(VALUE(RIGHT(AT50))={1,2,3}),CHOOSE(RIGHT(AT50),"st","nd","rd"),"th"))</f>
        <v>th</v>
      </c>
      <c r="AV50">
        <f t="shared" si="46"/>
        <v>14</v>
      </c>
      <c r="AW50" t="str">
        <f>IF(OR(VALUE(RIGHT(AV50,5))={11,12,13}),"th",IF(OR(VALUE(RIGHT(AV50))={1,2,3}),CHOOSE(RIGHT(AV50),"st","nd","rd"),"th"))</f>
        <v>th</v>
      </c>
      <c r="AX50">
        <f t="shared" si="47"/>
        <v>13</v>
      </c>
      <c r="AY50" t="str">
        <f>IF(OR(VALUE(RIGHT(AX50,5))={11,12,13}),"th",IF(OR(VALUE(RIGHT(AX50))={1,2,3}),CHOOSE(RIGHT(AX50),"st","nd","rd"),"th"))</f>
        <v>th</v>
      </c>
      <c r="AZ50">
        <f t="shared" si="48"/>
        <v>16</v>
      </c>
      <c r="BA50" t="str">
        <f>IF(OR(VALUE(RIGHT(AZ50,5))={11,12,13}),"th",IF(OR(VALUE(RIGHT(AZ50))={1,2,3}),CHOOSE(RIGHT(AZ50),"st","nd","rd"),"th"))</f>
        <v>th</v>
      </c>
      <c r="BB50">
        <f t="shared" si="49"/>
        <v>19</v>
      </c>
      <c r="BC50" t="str">
        <f>IF(OR(VALUE(RIGHT(BB50,5))={11,12,13}),"th",IF(OR(VALUE(RIGHT(BB50))={1,2,3}),CHOOSE(RIGHT(BB50),"st","nd","rd"),"th"))</f>
        <v>th</v>
      </c>
      <c r="BD50">
        <f t="shared" si="50"/>
        <v>4</v>
      </c>
      <c r="BE50" t="str">
        <f>IF(OR(VALUE(RIGHT(BD50,5))={11,12,13}),"th",IF(OR(VALUE(RIGHT(BD50))={1,2,3}),CHOOSE(RIGHT(BD50),"st","nd","rd"),"th"))</f>
        <v>th</v>
      </c>
      <c r="BF50">
        <f t="shared" si="51"/>
        <v>50</v>
      </c>
      <c r="BG50" t="str">
        <f>IF(OR(VALUE(RIGHT(BF50,5))={11,12,13}),"th",IF(OR(VALUE(RIGHT(BF50))={1,2,3}),CHOOSE(RIGHT(BF50),"st","nd","rd"),"th"))</f>
        <v>th</v>
      </c>
      <c r="BH50">
        <f t="shared" si="52"/>
        <v>9</v>
      </c>
      <c r="BI50" t="str">
        <f>IF(OR(VALUE(RIGHT(BH50,5))={11,12,13}),"th",IF(OR(VALUE(RIGHT(BH50))={1,2,3}),CHOOSE(RIGHT(BH50),"st","nd","rd"),"th"))</f>
        <v>th</v>
      </c>
      <c r="BJ50">
        <f t="shared" si="53"/>
        <v>10</v>
      </c>
      <c r="BK50" t="str" cm="1">
        <f t="array" ref="BK50">IF(OR(VALUE(RIGHT(BJ50,5))={11,12,13}),"th",IF(OR(VALUE(RIGHT(BJ50))={1,2,3}),CHOOSE(RIGHT(BJ50),"st","nd","rd"),"th"))</f>
        <v>th</v>
      </c>
      <c r="BL50">
        <f t="shared" si="54"/>
        <v>11</v>
      </c>
      <c r="BM50" t="str">
        <f>IF(OR(VALUE(RIGHT(BL50,5))={11,12,13}),"th",IF(OR(VALUE(RIGHT(BL50))={1,2,3}),CHOOSE(RIGHT(BL50),"st","nd","rd"),"th"))</f>
        <v>th</v>
      </c>
      <c r="BO50" s="30">
        <f t="shared" si="44"/>
        <v>540</v>
      </c>
      <c r="BP50">
        <f t="shared" si="55"/>
        <v>10</v>
      </c>
      <c r="BQ50" t="str">
        <f>IF(OR(VALUE(RIGHT(BP50,5))={11,12,13}),"th",IF(OR(VALUE(RIGHT(BP50))={1,2,3}),CHOOSE(RIGHT(BP50),"st","nd","rd"),"th"))</f>
        <v>th</v>
      </c>
      <c r="BS50" s="27">
        <f>ClassScore!M50</f>
        <v>44</v>
      </c>
      <c r="BT50" s="27">
        <f>ClassScore!N50</f>
        <v>45.5</v>
      </c>
      <c r="BU50" s="27">
        <f>ClassScore!O50</f>
        <v>29</v>
      </c>
      <c r="BV50" s="27">
        <f>ClassScore!P50</f>
        <v>41</v>
      </c>
      <c r="BW50" s="27">
        <f>ClassScore!Q50</f>
        <v>36.5</v>
      </c>
      <c r="BX50" s="27">
        <f>ClassScore!R50</f>
        <v>34</v>
      </c>
      <c r="BY50" s="27">
        <f>ClassScore!S50</f>
        <v>16</v>
      </c>
      <c r="BZ50" s="27">
        <f>ClassScore!T50</f>
        <v>35</v>
      </c>
      <c r="CA50" s="27">
        <f>ClassScore!U50</f>
        <v>28.5</v>
      </c>
      <c r="CB50" s="27">
        <f>ClassScore!V50</f>
        <v>41</v>
      </c>
      <c r="CD50" s="27">
        <f>Examscore!M50</f>
        <v>15.5</v>
      </c>
      <c r="CE50" s="27">
        <f>Examscore!N50</f>
        <v>15.5</v>
      </c>
      <c r="CF50" s="27">
        <f>Examscore!O50</f>
        <v>41</v>
      </c>
      <c r="CG50" s="27">
        <f>Examscore!P50</f>
        <v>9</v>
      </c>
      <c r="CH50" s="27">
        <f>Examscore!Q50</f>
        <v>16.5</v>
      </c>
      <c r="CI50" s="27">
        <f>Examscore!R50</f>
        <v>13.5</v>
      </c>
      <c r="CJ50" s="27">
        <f>Examscore!S50</f>
        <v>14.5</v>
      </c>
      <c r="CK50" s="27">
        <f>Examscore!T50</f>
        <v>20.5</v>
      </c>
      <c r="CL50" s="27">
        <f>Examscore!U50</f>
        <v>23.5</v>
      </c>
      <c r="CM50" s="27">
        <f>Examscore!V50</f>
        <v>20</v>
      </c>
    </row>
    <row r="51" spans="1:91" ht="15.75" x14ac:dyDescent="0.25">
      <c r="A51" s="5">
        <f>Student!A51</f>
        <v>593</v>
      </c>
      <c r="B51" s="21" t="str">
        <f>Student!B51</f>
        <v xml:space="preserve">ODOI MARGARET  </v>
      </c>
      <c r="C51" s="28">
        <f>ClassScore!M51+Examscore!M51</f>
        <v>54.5</v>
      </c>
      <c r="D51" s="28">
        <f>ClassScore!N51+Examscore!N51</f>
        <v>48</v>
      </c>
      <c r="E51" s="28">
        <f>ClassScore!O51+Examscore!O51</f>
        <v>61</v>
      </c>
      <c r="F51" s="28">
        <f>ClassScore!P51+Examscore!P51</f>
        <v>19.5</v>
      </c>
      <c r="G51" s="28">
        <f>ClassScore!Q51+Examscore!Q51</f>
        <v>36.5</v>
      </c>
      <c r="H51" s="28">
        <f>ClassScore!R51+Examscore!R51</f>
        <v>26.5</v>
      </c>
      <c r="I51" s="28">
        <f>ClassScore!S51+Examscore!S51</f>
        <v>49</v>
      </c>
      <c r="J51" s="28">
        <f>ClassScore!T51+Examscore!T51</f>
        <v>25</v>
      </c>
      <c r="K51" s="28">
        <f>ClassScore!U51+Examscore!U51</f>
        <v>22.5</v>
      </c>
      <c r="L51" s="28">
        <f>ClassScore!V51+Examscore!V51</f>
        <v>40</v>
      </c>
      <c r="M51" s="5" t="str">
        <f t="shared" si="22"/>
        <v>Low</v>
      </c>
      <c r="N51" s="5" t="str">
        <f t="shared" si="23"/>
        <v>Lower</v>
      </c>
      <c r="O51" s="5" t="str">
        <f t="shared" si="24"/>
        <v>Average</v>
      </c>
      <c r="P51" s="5" t="str">
        <f t="shared" si="25"/>
        <v>Lowest</v>
      </c>
      <c r="Q51" s="5" t="str">
        <f t="shared" si="26"/>
        <v>Lowest</v>
      </c>
      <c r="R51" s="5" t="str">
        <f t="shared" si="27"/>
        <v>Lowest</v>
      </c>
      <c r="S51" s="5" t="str">
        <f t="shared" si="28"/>
        <v>Lower</v>
      </c>
      <c r="T51" s="5" t="str">
        <f t="shared" si="29"/>
        <v>Lowest</v>
      </c>
      <c r="U51" s="5" t="str">
        <f t="shared" si="30"/>
        <v>Lowest</v>
      </c>
      <c r="V51" s="5" t="str">
        <f t="shared" si="31"/>
        <v>Lower</v>
      </c>
      <c r="W51" s="5">
        <f t="shared" si="32"/>
        <v>7</v>
      </c>
      <c r="X51" s="5">
        <f t="shared" si="33"/>
        <v>8</v>
      </c>
      <c r="Y51" s="5">
        <f t="shared" si="34"/>
        <v>5</v>
      </c>
      <c r="Z51" s="5">
        <f t="shared" si="35"/>
        <v>9</v>
      </c>
      <c r="AA51" s="5">
        <f t="shared" si="36"/>
        <v>9</v>
      </c>
      <c r="AB51" s="5">
        <f t="shared" si="37"/>
        <v>9</v>
      </c>
      <c r="AC51" s="5">
        <f t="shared" si="38"/>
        <v>8</v>
      </c>
      <c r="AD51" s="5">
        <f t="shared" si="39"/>
        <v>9</v>
      </c>
      <c r="AE51" s="5">
        <f t="shared" si="40"/>
        <v>9</v>
      </c>
      <c r="AF51" s="5">
        <f t="shared" si="41"/>
        <v>8</v>
      </c>
      <c r="AG51" s="34">
        <f>SUM(C51,D51,F51,G51)+LARGE((E51,H51,I51,J51,K51,L51),1)+LARGE((E51,H51,I51,J51,K51,L51),2)</f>
        <v>268.5</v>
      </c>
      <c r="AH51" s="5">
        <f>SUM(W51,X51,Z51,AA51)+SMALL((Y51,AB51,AC51,AD51,AE51,AF51),1)+SMALL((Y51,AB51,AC51,AD51,AE51,AF51),2)</f>
        <v>46</v>
      </c>
      <c r="AI51" s="15" t="str">
        <f>'Teacher''s Remarks'!M52</f>
        <v>PATIENCE AFUA MENSAH</v>
      </c>
      <c r="AJ51" s="15" t="str">
        <f>'Teacher''s Remarks'!N52</f>
        <v>Helpful</v>
      </c>
      <c r="AK51" s="15" t="str">
        <f>'Teacher''s Remarks'!O52</f>
        <v>She is regular and puntual to school</v>
      </c>
      <c r="AL51" s="15" t="str">
        <f>'Teacher''s Remarks'!P52</f>
        <v>She can do better than this. Sit up!</v>
      </c>
      <c r="AM51" s="13" t="str">
        <f t="shared" si="42"/>
        <v xml:space="preserve">ODOI MARGARET  </v>
      </c>
      <c r="AN51" s="14">
        <f>Attendance!B51</f>
        <v>58</v>
      </c>
      <c r="AO51" s="15"/>
      <c r="AP51" s="15"/>
      <c r="AQ51" s="22">
        <f t="shared" ca="1" si="43"/>
        <v>45764</v>
      </c>
      <c r="AR51" s="15"/>
      <c r="AT51" s="12">
        <f t="shared" si="45"/>
        <v>30</v>
      </c>
      <c r="AU51" t="str">
        <f>IF(OR(VALUE(RIGHT(AT51,5))={11,12,13}),"th",IF(OR(VALUE(RIGHT(AT51))={1,2,3}),CHOOSE(RIGHT(AT51),"st","nd","rd"),"th"))</f>
        <v>th</v>
      </c>
      <c r="AV51">
        <f t="shared" si="46"/>
        <v>47</v>
      </c>
      <c r="AW51" t="str">
        <f>IF(OR(VALUE(RIGHT(AV51,5))={11,12,13}),"th",IF(OR(VALUE(RIGHT(AV51))={1,2,3}),CHOOSE(RIGHT(AV51),"st","nd","rd"),"th"))</f>
        <v>th</v>
      </c>
      <c r="AX51">
        <f t="shared" si="47"/>
        <v>26</v>
      </c>
      <c r="AY51" t="str">
        <f>IF(OR(VALUE(RIGHT(AX51,5))={11,12,13}),"th",IF(OR(VALUE(RIGHT(AX51))={1,2,3}),CHOOSE(RIGHT(AX51),"st","nd","rd"),"th"))</f>
        <v>th</v>
      </c>
      <c r="AZ51">
        <f t="shared" si="48"/>
        <v>54</v>
      </c>
      <c r="BA51" t="str">
        <f>IF(OR(VALUE(RIGHT(AZ51,5))={11,12,13}),"th",IF(OR(VALUE(RIGHT(AZ51))={1,2,3}),CHOOSE(RIGHT(AZ51),"st","nd","rd"),"th"))</f>
        <v>th</v>
      </c>
      <c r="BB51">
        <f t="shared" si="49"/>
        <v>54</v>
      </c>
      <c r="BC51" t="str">
        <f>IF(OR(VALUE(RIGHT(BB51,5))={11,12,13}),"th",IF(OR(VALUE(RIGHT(BB51))={1,2,3}),CHOOSE(RIGHT(BB51),"st","nd","rd"),"th"))</f>
        <v>th</v>
      </c>
      <c r="BD51">
        <f t="shared" si="50"/>
        <v>53</v>
      </c>
      <c r="BE51" t="str">
        <f>IF(OR(VALUE(RIGHT(BD51,5))={11,12,13}),"th",IF(OR(VALUE(RIGHT(BD51))={1,2,3}),CHOOSE(RIGHT(BD51),"st","nd","rd"),"th"))</f>
        <v>rd</v>
      </c>
      <c r="BF51">
        <f t="shared" si="51"/>
        <v>10</v>
      </c>
      <c r="BG51" t="str">
        <f>IF(OR(VALUE(RIGHT(BF51,5))={11,12,13}),"th",IF(OR(VALUE(RIGHT(BF51))={1,2,3}),CHOOSE(RIGHT(BF51),"st","nd","rd"),"th"))</f>
        <v>th</v>
      </c>
      <c r="BH51">
        <f t="shared" si="52"/>
        <v>51</v>
      </c>
      <c r="BI51" t="str">
        <f>IF(OR(VALUE(RIGHT(BH51,5))={11,12,13}),"th",IF(OR(VALUE(RIGHT(BH51))={1,2,3}),CHOOSE(RIGHT(BH51),"st","nd","rd"),"th"))</f>
        <v>st</v>
      </c>
      <c r="BJ51">
        <f t="shared" si="53"/>
        <v>54</v>
      </c>
      <c r="BK51" t="str" cm="1">
        <f t="array" ref="BK51">IF(OR(VALUE(RIGHT(BJ51,5))={11,12,13}),"th",IF(OR(VALUE(RIGHT(BJ51))={1,2,3}),CHOOSE(RIGHT(BJ51),"st","nd","rd"),"th"))</f>
        <v>th</v>
      </c>
      <c r="BL51">
        <f t="shared" si="54"/>
        <v>53</v>
      </c>
      <c r="BM51" t="str">
        <f>IF(OR(VALUE(RIGHT(BL51,5))={11,12,13}),"th",IF(OR(VALUE(RIGHT(BL51))={1,2,3}),CHOOSE(RIGHT(BL51),"st","nd","rd"),"th"))</f>
        <v>rd</v>
      </c>
      <c r="BO51" s="30">
        <f t="shared" si="44"/>
        <v>382.5</v>
      </c>
      <c r="BP51">
        <f t="shared" si="55"/>
        <v>51</v>
      </c>
      <c r="BQ51" t="str">
        <f>IF(OR(VALUE(RIGHT(BP51,5))={11,12,13}),"th",IF(OR(VALUE(RIGHT(BP51))={1,2,3}),CHOOSE(RIGHT(BP51),"st","nd","rd"),"th"))</f>
        <v>st</v>
      </c>
      <c r="BS51" s="27">
        <f>ClassScore!M51</f>
        <v>44</v>
      </c>
      <c r="BT51" s="27">
        <f>ClassScore!N51</f>
        <v>37.5</v>
      </c>
      <c r="BU51" s="27">
        <f>ClassScore!O51</f>
        <v>36</v>
      </c>
      <c r="BV51" s="27">
        <f>ClassScore!P51</f>
        <v>13</v>
      </c>
      <c r="BW51" s="27">
        <f>ClassScore!Q51</f>
        <v>20</v>
      </c>
      <c r="BX51" s="27">
        <f>ClassScore!R51</f>
        <v>21</v>
      </c>
      <c r="BY51" s="27">
        <f>ClassScore!S51</f>
        <v>23.5</v>
      </c>
      <c r="BZ51" s="27">
        <f>ClassScore!T51</f>
        <v>12.5</v>
      </c>
      <c r="CA51" s="27">
        <f>ClassScore!U51</f>
        <v>12.5</v>
      </c>
      <c r="CB51" s="27">
        <f>ClassScore!V51</f>
        <v>30</v>
      </c>
      <c r="CD51" s="27">
        <f>Examscore!M51</f>
        <v>10.5</v>
      </c>
      <c r="CE51" s="27">
        <f>Examscore!N51</f>
        <v>10.5</v>
      </c>
      <c r="CF51" s="27">
        <f>Examscore!O51</f>
        <v>25</v>
      </c>
      <c r="CG51" s="27">
        <f>Examscore!P51</f>
        <v>6.5</v>
      </c>
      <c r="CH51" s="27">
        <f>Examscore!Q51</f>
        <v>16.5</v>
      </c>
      <c r="CI51" s="27">
        <f>Examscore!R51</f>
        <v>5.5</v>
      </c>
      <c r="CJ51" s="27">
        <f>Examscore!S51</f>
        <v>25.5</v>
      </c>
      <c r="CK51" s="27">
        <f>Examscore!T51</f>
        <v>12.5</v>
      </c>
      <c r="CL51" s="27">
        <f>Examscore!U51</f>
        <v>10</v>
      </c>
      <c r="CM51" s="27">
        <f>Examscore!V51</f>
        <v>10</v>
      </c>
    </row>
    <row r="52" spans="1:91" ht="15.75" x14ac:dyDescent="0.25">
      <c r="A52" s="5">
        <f>Student!A52</f>
        <v>388</v>
      </c>
      <c r="B52" s="21" t="str">
        <f>Student!B52</f>
        <v xml:space="preserve">OKYERE PRISCILLA  </v>
      </c>
      <c r="C52" s="28">
        <f>ClassScore!M52+Examscore!M52</f>
        <v>74</v>
      </c>
      <c r="D52" s="28">
        <f>ClassScore!N52+Examscore!N52</f>
        <v>71.5</v>
      </c>
      <c r="E52" s="28">
        <f>ClassScore!O52+Examscore!O52</f>
        <v>79</v>
      </c>
      <c r="F52" s="28">
        <f>ClassScore!P52+Examscore!P52</f>
        <v>53.5</v>
      </c>
      <c r="G52" s="28">
        <f>ClassScore!Q52+Examscore!Q52</f>
        <v>71</v>
      </c>
      <c r="H52" s="28">
        <f>ClassScore!R52+Examscore!R52</f>
        <v>57</v>
      </c>
      <c r="I52" s="28">
        <f>ClassScore!S52+Examscore!S52</f>
        <v>56.5</v>
      </c>
      <c r="J52" s="28">
        <f>ClassScore!T52+Examscore!T52</f>
        <v>69</v>
      </c>
      <c r="K52" s="28">
        <f>ClassScore!U52+Examscore!U52</f>
        <v>59.5</v>
      </c>
      <c r="L52" s="28">
        <f>ClassScore!V52+Examscore!V52</f>
        <v>59.5</v>
      </c>
      <c r="M52" s="5" t="str">
        <f t="shared" si="22"/>
        <v>High</v>
      </c>
      <c r="N52" s="5" t="str">
        <f t="shared" si="23"/>
        <v>High</v>
      </c>
      <c r="O52" s="5" t="str">
        <f t="shared" si="24"/>
        <v>High</v>
      </c>
      <c r="P52" s="5" t="str">
        <f t="shared" si="25"/>
        <v>Low</v>
      </c>
      <c r="Q52" s="5" t="str">
        <f t="shared" si="26"/>
        <v>High</v>
      </c>
      <c r="R52" s="5" t="str">
        <f t="shared" si="27"/>
        <v>Low Average</v>
      </c>
      <c r="S52" s="5" t="str">
        <f t="shared" si="28"/>
        <v>Low Average</v>
      </c>
      <c r="T52" s="5" t="str">
        <f t="shared" si="29"/>
        <v>High Average</v>
      </c>
      <c r="U52" s="5" t="str">
        <f t="shared" si="30"/>
        <v>Low Average</v>
      </c>
      <c r="V52" s="5" t="str">
        <f t="shared" si="31"/>
        <v>Low Average</v>
      </c>
      <c r="W52" s="5">
        <f t="shared" si="32"/>
        <v>3</v>
      </c>
      <c r="X52" s="5">
        <f t="shared" si="33"/>
        <v>3</v>
      </c>
      <c r="Y52" s="5">
        <f t="shared" si="34"/>
        <v>3</v>
      </c>
      <c r="Z52" s="5">
        <f t="shared" si="35"/>
        <v>7</v>
      </c>
      <c r="AA52" s="5">
        <f t="shared" si="36"/>
        <v>3</v>
      </c>
      <c r="AB52" s="5">
        <f t="shared" si="37"/>
        <v>6</v>
      </c>
      <c r="AC52" s="5">
        <f t="shared" si="38"/>
        <v>6</v>
      </c>
      <c r="AD52" s="5">
        <f t="shared" si="39"/>
        <v>4</v>
      </c>
      <c r="AE52" s="5">
        <f t="shared" si="40"/>
        <v>6</v>
      </c>
      <c r="AF52" s="5">
        <f t="shared" si="41"/>
        <v>6</v>
      </c>
      <c r="AG52" s="34">
        <f>SUM(C52,D52,F52,G52)+LARGE((E52,H52,I52,J52,K52,L52),1)+LARGE((E52,H52,I52,J52,K52,L52),2)</f>
        <v>418</v>
      </c>
      <c r="AH52" s="5">
        <f>SUM(W52,X52,Z52,AA52)+SMALL((Y52,AB52,AC52,AD52,AE52,AF52),1)+SMALL((Y52,AB52,AC52,AD52,AE52,AF52),2)</f>
        <v>23</v>
      </c>
      <c r="AI52" s="15" t="str">
        <f>'Teacher''s Remarks'!M53</f>
        <v>PATIENCE AFUA MENSAH</v>
      </c>
      <c r="AJ52" s="15" t="str">
        <f>'Teacher''s Remarks'!N53</f>
        <v>playful</v>
      </c>
      <c r="AK52" s="15" t="str">
        <f>'Teacher''s Remarks'!O53</f>
        <v>She is regular and puntual to school</v>
      </c>
      <c r="AL52" s="15" t="str">
        <f>'Teacher''s Remarks'!P53</f>
        <v>She can do better than this. Sit up!</v>
      </c>
      <c r="AM52" s="13" t="str">
        <f t="shared" si="42"/>
        <v xml:space="preserve">OKYERE PRISCILLA  </v>
      </c>
      <c r="AN52" s="14">
        <f>Attendance!B52</f>
        <v>65</v>
      </c>
      <c r="AO52" s="15"/>
      <c r="AP52" s="15"/>
      <c r="AQ52" s="22">
        <f t="shared" ca="1" si="43"/>
        <v>45764</v>
      </c>
      <c r="AR52" s="15"/>
      <c r="AT52" s="12">
        <f t="shared" si="45"/>
        <v>2</v>
      </c>
      <c r="AU52" t="str">
        <f>IF(OR(VALUE(RIGHT(AT52,5))={11,12,13}),"th",IF(OR(VALUE(RIGHT(AT52))={1,2,3}),CHOOSE(RIGHT(AT52),"st","nd","rd"),"th"))</f>
        <v>nd</v>
      </c>
      <c r="AV52">
        <f t="shared" si="46"/>
        <v>2</v>
      </c>
      <c r="AW52" t="str">
        <f>IF(OR(VALUE(RIGHT(AV52,5))={11,12,13}),"th",IF(OR(VALUE(RIGHT(AV52))={1,2,3}),CHOOSE(RIGHT(AV52),"st","nd","rd"),"th"))</f>
        <v>nd</v>
      </c>
      <c r="AX52">
        <f t="shared" si="47"/>
        <v>2</v>
      </c>
      <c r="AY52" t="str">
        <f>IF(OR(VALUE(RIGHT(AX52,5))={11,12,13}),"th",IF(OR(VALUE(RIGHT(AX52))={1,2,3}),CHOOSE(RIGHT(AX52),"st","nd","rd"),"th"))</f>
        <v>nd</v>
      </c>
      <c r="AZ52">
        <f t="shared" si="48"/>
        <v>7</v>
      </c>
      <c r="BA52" t="str">
        <f>IF(OR(VALUE(RIGHT(AZ52,5))={11,12,13}),"th",IF(OR(VALUE(RIGHT(AZ52))={1,2,3}),CHOOSE(RIGHT(AZ52),"st","nd","rd"),"th"))</f>
        <v>th</v>
      </c>
      <c r="BB52">
        <f t="shared" si="49"/>
        <v>4</v>
      </c>
      <c r="BC52" t="str">
        <f>IF(OR(VALUE(RIGHT(BB52,5))={11,12,13}),"th",IF(OR(VALUE(RIGHT(BB52))={1,2,3}),CHOOSE(RIGHT(BB52),"st","nd","rd"),"th"))</f>
        <v>th</v>
      </c>
      <c r="BD52">
        <f t="shared" si="50"/>
        <v>1</v>
      </c>
      <c r="BE52" t="str">
        <f>IF(OR(VALUE(RIGHT(BD52,5))={11,12,13}),"th",IF(OR(VALUE(RIGHT(BD52))={1,2,3}),CHOOSE(RIGHT(BD52),"st","nd","rd"),"th"))</f>
        <v>st</v>
      </c>
      <c r="BF52">
        <f t="shared" si="51"/>
        <v>5</v>
      </c>
      <c r="BG52" t="str">
        <f>IF(OR(VALUE(RIGHT(BF52,5))={11,12,13}),"th",IF(OR(VALUE(RIGHT(BF52))={1,2,3}),CHOOSE(RIGHT(BF52),"st","nd","rd"),"th"))</f>
        <v>th</v>
      </c>
      <c r="BH52">
        <f t="shared" si="52"/>
        <v>2</v>
      </c>
      <c r="BI52" t="str">
        <f>IF(OR(VALUE(RIGHT(BH52,5))={11,12,13}),"th",IF(OR(VALUE(RIGHT(BH52))={1,2,3}),CHOOSE(RIGHT(BH52),"st","nd","rd"),"th"))</f>
        <v>nd</v>
      </c>
      <c r="BJ52">
        <f t="shared" si="53"/>
        <v>6</v>
      </c>
      <c r="BK52" t="str" cm="1">
        <f t="array" ref="BK52">IF(OR(VALUE(RIGHT(BJ52,5))={11,12,13}),"th",IF(OR(VALUE(RIGHT(BJ52))={1,2,3}),CHOOSE(RIGHT(BJ52),"st","nd","rd"),"th"))</f>
        <v>th</v>
      </c>
      <c r="BL52">
        <f t="shared" si="54"/>
        <v>15</v>
      </c>
      <c r="BM52" t="str">
        <f>IF(OR(VALUE(RIGHT(BL52,5))={11,12,13}),"th",IF(OR(VALUE(RIGHT(BL52))={1,2,3}),CHOOSE(RIGHT(BL52),"st","nd","rd"),"th"))</f>
        <v>th</v>
      </c>
      <c r="BO52" s="30">
        <f t="shared" si="44"/>
        <v>650.5</v>
      </c>
      <c r="BP52">
        <f t="shared" si="55"/>
        <v>4</v>
      </c>
      <c r="BQ52" t="str">
        <f>IF(OR(VALUE(RIGHT(BP52,5))={11,12,13}),"th",IF(OR(VALUE(RIGHT(BP52))={1,2,3}),CHOOSE(RIGHT(BP52),"st","nd","rd"),"th"))</f>
        <v>th</v>
      </c>
      <c r="BS52" s="27">
        <f>ClassScore!M52</f>
        <v>44</v>
      </c>
      <c r="BT52" s="27">
        <f>ClassScore!N52</f>
        <v>41.5</v>
      </c>
      <c r="BU52" s="27">
        <f>ClassScore!O52</f>
        <v>35</v>
      </c>
      <c r="BV52" s="27">
        <f>ClassScore!P52</f>
        <v>42</v>
      </c>
      <c r="BW52" s="27">
        <f>ClassScore!Q52</f>
        <v>43.5</v>
      </c>
      <c r="BX52" s="27">
        <f>ClassScore!R52</f>
        <v>36.5</v>
      </c>
      <c r="BY52" s="27">
        <f>ClassScore!S52</f>
        <v>31</v>
      </c>
      <c r="BZ52" s="27">
        <f>ClassScore!T52</f>
        <v>35.5</v>
      </c>
      <c r="CA52" s="27">
        <f>ClassScore!U52</f>
        <v>34.5</v>
      </c>
      <c r="CB52" s="27">
        <f>ClassScore!V52</f>
        <v>36</v>
      </c>
      <c r="CD52" s="27">
        <f>Examscore!M52</f>
        <v>30</v>
      </c>
      <c r="CE52" s="27">
        <f>Examscore!N52</f>
        <v>30</v>
      </c>
      <c r="CF52" s="27">
        <f>Examscore!O52</f>
        <v>44</v>
      </c>
      <c r="CG52" s="27">
        <f>Examscore!P52</f>
        <v>11.5</v>
      </c>
      <c r="CH52" s="27">
        <f>Examscore!Q52</f>
        <v>27.5</v>
      </c>
      <c r="CI52" s="27">
        <f>Examscore!R52</f>
        <v>20.5</v>
      </c>
      <c r="CJ52" s="27">
        <f>Examscore!S52</f>
        <v>25.5</v>
      </c>
      <c r="CK52" s="27">
        <f>Examscore!T52</f>
        <v>33.5</v>
      </c>
      <c r="CL52" s="27">
        <f>Examscore!U52</f>
        <v>25</v>
      </c>
      <c r="CM52" s="27">
        <f>Examscore!V52</f>
        <v>23.5</v>
      </c>
    </row>
    <row r="53" spans="1:91" ht="15.75" x14ac:dyDescent="0.25">
      <c r="A53" s="5">
        <f>Student!A53</f>
        <v>437</v>
      </c>
      <c r="B53" s="21" t="str">
        <f>Student!B53</f>
        <v xml:space="preserve">SALIFU ZULAIHA  </v>
      </c>
      <c r="C53" s="28">
        <f>ClassScore!M53+Examscore!M53</f>
        <v>51.5</v>
      </c>
      <c r="D53" s="28">
        <f>ClassScore!N53+Examscore!N53</f>
        <v>50.5</v>
      </c>
      <c r="E53" s="28">
        <f>ClassScore!O53+Examscore!O53</f>
        <v>42</v>
      </c>
      <c r="F53" s="28">
        <f>ClassScore!P53+Examscore!P53</f>
        <v>44</v>
      </c>
      <c r="G53" s="28">
        <f>ClassScore!Q53+Examscore!Q53</f>
        <v>53</v>
      </c>
      <c r="H53" s="28">
        <f>ClassScore!R53+Examscore!R53</f>
        <v>27.5</v>
      </c>
      <c r="I53" s="28">
        <f>ClassScore!S53+Examscore!S53</f>
        <v>30.5</v>
      </c>
      <c r="J53" s="28">
        <f>ClassScore!T53+Examscore!T53</f>
        <v>25.5</v>
      </c>
      <c r="K53" s="28">
        <f>ClassScore!U53+Examscore!U53</f>
        <v>23.5</v>
      </c>
      <c r="L53" s="28">
        <f>ClassScore!V53+Examscore!V53</f>
        <v>59</v>
      </c>
      <c r="M53" s="5" t="str">
        <f t="shared" si="22"/>
        <v>Low</v>
      </c>
      <c r="N53" s="5" t="str">
        <f t="shared" si="23"/>
        <v>Low</v>
      </c>
      <c r="O53" s="5" t="str">
        <f t="shared" si="24"/>
        <v>Lower</v>
      </c>
      <c r="P53" s="5" t="str">
        <f t="shared" si="25"/>
        <v>Lower</v>
      </c>
      <c r="Q53" s="5" t="str">
        <f t="shared" si="26"/>
        <v>Low</v>
      </c>
      <c r="R53" s="5" t="str">
        <f t="shared" si="27"/>
        <v>Lowest</v>
      </c>
      <c r="S53" s="5" t="str">
        <f t="shared" si="28"/>
        <v>Lowest</v>
      </c>
      <c r="T53" s="5" t="str">
        <f t="shared" si="29"/>
        <v>Lowest</v>
      </c>
      <c r="U53" s="5" t="str">
        <f t="shared" si="30"/>
        <v>Lowest</v>
      </c>
      <c r="V53" s="5" t="str">
        <f t="shared" si="31"/>
        <v>Low Average</v>
      </c>
      <c r="W53" s="5">
        <f t="shared" si="32"/>
        <v>7</v>
      </c>
      <c r="X53" s="5">
        <f t="shared" si="33"/>
        <v>7</v>
      </c>
      <c r="Y53" s="5">
        <f t="shared" si="34"/>
        <v>8</v>
      </c>
      <c r="Z53" s="5">
        <f t="shared" si="35"/>
        <v>8</v>
      </c>
      <c r="AA53" s="5">
        <f t="shared" si="36"/>
        <v>7</v>
      </c>
      <c r="AB53" s="5">
        <f t="shared" si="37"/>
        <v>9</v>
      </c>
      <c r="AC53" s="5">
        <f t="shared" si="38"/>
        <v>9</v>
      </c>
      <c r="AD53" s="5">
        <f t="shared" si="39"/>
        <v>9</v>
      </c>
      <c r="AE53" s="5">
        <f t="shared" si="40"/>
        <v>9</v>
      </c>
      <c r="AF53" s="5">
        <f t="shared" si="41"/>
        <v>6</v>
      </c>
      <c r="AG53" s="34">
        <f>SUM(C53,D53,F53,G53)+LARGE((E53,H53,I53,J53,K53,L53),1)+LARGE((E53,H53,I53,J53,K53,L53),2)</f>
        <v>300</v>
      </c>
      <c r="AH53" s="5">
        <f>SUM(W53,X53,Z53,AA53)+SMALL((Y53,AB53,AC53,AD53,AE53,AF53),1)+SMALL((Y53,AB53,AC53,AD53,AE53,AF53),2)</f>
        <v>43</v>
      </c>
      <c r="AI53" s="15" t="str">
        <f>'Teacher''s Remarks'!M54</f>
        <v>PATIENCE AFUA MENSAH</v>
      </c>
      <c r="AJ53" s="15" t="str">
        <f>'Teacher''s Remarks'!N54</f>
        <v>Calm</v>
      </c>
      <c r="AK53" s="15" t="str">
        <f>'Teacher''s Remarks'!O54</f>
        <v>He is regular and puntual to school</v>
      </c>
      <c r="AL53" s="15" t="str">
        <f>'Teacher''s Remarks'!P54</f>
        <v>She can do better than this. Sit up!</v>
      </c>
      <c r="AM53" s="13" t="str">
        <f t="shared" si="42"/>
        <v xml:space="preserve">SALIFU ZULAIHA  </v>
      </c>
      <c r="AN53" s="14">
        <f>Attendance!B53</f>
        <v>63</v>
      </c>
      <c r="AO53" s="15"/>
      <c r="AP53" s="15"/>
      <c r="AQ53" s="22">
        <f t="shared" ca="1" si="43"/>
        <v>45764</v>
      </c>
      <c r="AR53" s="15"/>
      <c r="AT53" s="12">
        <f t="shared" si="45"/>
        <v>43</v>
      </c>
      <c r="AU53" t="str">
        <f>IF(OR(VALUE(RIGHT(AT53,5))={11,12,13}),"th",IF(OR(VALUE(RIGHT(AT53))={1,2,3}),CHOOSE(RIGHT(AT53),"st","nd","rd"),"th"))</f>
        <v>rd</v>
      </c>
      <c r="AV53">
        <f t="shared" si="46"/>
        <v>40</v>
      </c>
      <c r="AW53" t="str">
        <f>IF(OR(VALUE(RIGHT(AV53,5))={11,12,13}),"th",IF(OR(VALUE(RIGHT(AV53))={1,2,3}),CHOOSE(RIGHT(AV53),"st","nd","rd"),"th"))</f>
        <v>th</v>
      </c>
      <c r="AX53">
        <f t="shared" si="47"/>
        <v>52</v>
      </c>
      <c r="AY53" t="str">
        <f>IF(OR(VALUE(RIGHT(AX53,5))={11,12,13}),"th",IF(OR(VALUE(RIGHT(AX53))={1,2,3}),CHOOSE(RIGHT(AX53),"st","nd","rd"),"th"))</f>
        <v>nd</v>
      </c>
      <c r="AZ53">
        <f t="shared" si="48"/>
        <v>24</v>
      </c>
      <c r="BA53" t="str">
        <f>IF(OR(VALUE(RIGHT(AZ53,5))={11,12,13}),"th",IF(OR(VALUE(RIGHT(AZ53))={1,2,3}),CHOOSE(RIGHT(AZ53),"st","nd","rd"),"th"))</f>
        <v>th</v>
      </c>
      <c r="BB53">
        <f t="shared" si="49"/>
        <v>19</v>
      </c>
      <c r="BC53" t="str">
        <f>IF(OR(VALUE(RIGHT(BB53,5))={11,12,13}),"th",IF(OR(VALUE(RIGHT(BB53))={1,2,3}),CHOOSE(RIGHT(BB53),"st","nd","rd"),"th"))</f>
        <v>th</v>
      </c>
      <c r="BD53">
        <f t="shared" si="50"/>
        <v>52</v>
      </c>
      <c r="BE53" t="str">
        <f>IF(OR(VALUE(RIGHT(BD53,5))={11,12,13}),"th",IF(OR(VALUE(RIGHT(BD53))={1,2,3}),CHOOSE(RIGHT(BD53),"st","nd","rd"),"th"))</f>
        <v>nd</v>
      </c>
      <c r="BF53">
        <f t="shared" si="51"/>
        <v>50</v>
      </c>
      <c r="BG53" t="str">
        <f>IF(OR(VALUE(RIGHT(BF53,5))={11,12,13}),"th",IF(OR(VALUE(RIGHT(BF53))={1,2,3}),CHOOSE(RIGHT(BF53),"st","nd","rd"),"th"))</f>
        <v>th</v>
      </c>
      <c r="BH53">
        <f t="shared" si="52"/>
        <v>49</v>
      </c>
      <c r="BI53" t="str">
        <f>IF(OR(VALUE(RIGHT(BH53,5))={11,12,13}),"th",IF(OR(VALUE(RIGHT(BH53))={1,2,3}),CHOOSE(RIGHT(BH53),"st","nd","rd"),"th"))</f>
        <v>th</v>
      </c>
      <c r="BJ53">
        <f t="shared" si="53"/>
        <v>52</v>
      </c>
      <c r="BK53" t="str" cm="1">
        <f t="array" ref="BK53">IF(OR(VALUE(RIGHT(BJ53,5))={11,12,13}),"th",IF(OR(VALUE(RIGHT(BJ53))={1,2,3}),CHOOSE(RIGHT(BJ53),"st","nd","rd"),"th"))</f>
        <v>nd</v>
      </c>
      <c r="BL53">
        <f t="shared" si="54"/>
        <v>16</v>
      </c>
      <c r="BM53" t="str">
        <f>IF(OR(VALUE(RIGHT(BL53,5))={11,12,13}),"th",IF(OR(VALUE(RIGHT(BL53))={1,2,3}),CHOOSE(RIGHT(BL53),"st","nd","rd"),"th"))</f>
        <v>th</v>
      </c>
      <c r="BO53" s="30">
        <f t="shared" si="44"/>
        <v>407</v>
      </c>
      <c r="BP53">
        <f t="shared" si="55"/>
        <v>49</v>
      </c>
      <c r="BQ53" t="str">
        <f>IF(OR(VALUE(RIGHT(BP53,5))={11,12,13}),"th",IF(OR(VALUE(RIGHT(BP53))={1,2,3}),CHOOSE(RIGHT(BP53),"st","nd","rd"),"th"))</f>
        <v>th</v>
      </c>
      <c r="BS53" s="27">
        <f>ClassScore!M53</f>
        <v>37.5</v>
      </c>
      <c r="BT53" s="27">
        <f>ClassScore!N53</f>
        <v>36.5</v>
      </c>
      <c r="BU53" s="27">
        <f>ClassScore!O53</f>
        <v>20.5</v>
      </c>
      <c r="BV53" s="27">
        <f>ClassScore!P53</f>
        <v>34.5</v>
      </c>
      <c r="BW53" s="27">
        <f>ClassScore!Q53</f>
        <v>37</v>
      </c>
      <c r="BX53" s="27">
        <f>ClassScore!R53</f>
        <v>19.5</v>
      </c>
      <c r="BY53" s="27">
        <f>ClassScore!S53</f>
        <v>18.5</v>
      </c>
      <c r="BZ53" s="27">
        <f>ClassScore!T53</f>
        <v>16.5</v>
      </c>
      <c r="CA53" s="27">
        <f>ClassScore!U53</f>
        <v>17.5</v>
      </c>
      <c r="CB53" s="27">
        <f>ClassScore!V53</f>
        <v>45.5</v>
      </c>
      <c r="CD53" s="27">
        <f>Examscore!M53</f>
        <v>14</v>
      </c>
      <c r="CE53" s="27">
        <f>Examscore!N53</f>
        <v>14</v>
      </c>
      <c r="CF53" s="27">
        <f>Examscore!O53</f>
        <v>21.5</v>
      </c>
      <c r="CG53" s="27">
        <f>Examscore!P53</f>
        <v>9.5</v>
      </c>
      <c r="CH53" s="27">
        <f>Examscore!Q53</f>
        <v>16</v>
      </c>
      <c r="CI53" s="27">
        <f>Examscore!R53</f>
        <v>8</v>
      </c>
      <c r="CJ53" s="27">
        <f>Examscore!S53</f>
        <v>12</v>
      </c>
      <c r="CK53" s="27">
        <f>Examscore!T53</f>
        <v>9</v>
      </c>
      <c r="CL53" s="27">
        <f>Examscore!U53</f>
        <v>6</v>
      </c>
      <c r="CM53" s="27">
        <f>Examscore!V53</f>
        <v>13.5</v>
      </c>
    </row>
    <row r="54" spans="1:91" ht="15.75" x14ac:dyDescent="0.25">
      <c r="A54" s="5">
        <f>Student!A54</f>
        <v>709</v>
      </c>
      <c r="B54" s="21" t="str">
        <f>Student!B54</f>
        <v>SEFA AMA OWUSUWAA</v>
      </c>
      <c r="C54" s="28">
        <f>ClassScore!M54+Examscore!M54</f>
        <v>59.5</v>
      </c>
      <c r="D54" s="28">
        <f>ClassScore!N54+Examscore!N54</f>
        <v>55.5</v>
      </c>
      <c r="E54" s="28">
        <f>ClassScore!O54+Examscore!O54</f>
        <v>58</v>
      </c>
      <c r="F54" s="28">
        <f>ClassScore!P54+Examscore!P54</f>
        <v>35</v>
      </c>
      <c r="G54" s="28">
        <f>ClassScore!Q54+Examscore!Q54</f>
        <v>36.5</v>
      </c>
      <c r="H54" s="28">
        <f>ClassScore!R54+Examscore!R54</f>
        <v>31.5</v>
      </c>
      <c r="I54" s="28">
        <f>ClassScore!S54+Examscore!S54</f>
        <v>43</v>
      </c>
      <c r="J54" s="28">
        <f>ClassScore!T54+Examscore!T54</f>
        <v>35.5</v>
      </c>
      <c r="K54" s="28">
        <f>ClassScore!U54+Examscore!U54</f>
        <v>58</v>
      </c>
      <c r="L54" s="28">
        <f>ClassScore!V54+Examscore!V54</f>
        <v>47.5</v>
      </c>
      <c r="M54" s="5" t="str">
        <f t="shared" si="22"/>
        <v>Low Average</v>
      </c>
      <c r="N54" s="5" t="str">
        <f t="shared" si="23"/>
        <v>Low Average</v>
      </c>
      <c r="O54" s="5" t="str">
        <f t="shared" si="24"/>
        <v>Low Average</v>
      </c>
      <c r="P54" s="5" t="str">
        <f t="shared" si="25"/>
        <v>Lowest</v>
      </c>
      <c r="Q54" s="5" t="str">
        <f t="shared" si="26"/>
        <v>Lowest</v>
      </c>
      <c r="R54" s="5" t="str">
        <f t="shared" si="27"/>
        <v>Lowest</v>
      </c>
      <c r="S54" s="5" t="str">
        <f t="shared" si="28"/>
        <v>Lower</v>
      </c>
      <c r="T54" s="5" t="str">
        <f t="shared" si="29"/>
        <v>Lowest</v>
      </c>
      <c r="U54" s="5" t="str">
        <f t="shared" si="30"/>
        <v>Low Average</v>
      </c>
      <c r="V54" s="5" t="str">
        <f t="shared" si="31"/>
        <v>Lower</v>
      </c>
      <c r="W54" s="5">
        <f t="shared" si="32"/>
        <v>6</v>
      </c>
      <c r="X54" s="5">
        <f t="shared" si="33"/>
        <v>6</v>
      </c>
      <c r="Y54" s="5">
        <f t="shared" si="34"/>
        <v>6</v>
      </c>
      <c r="Z54" s="5">
        <f t="shared" si="35"/>
        <v>9</v>
      </c>
      <c r="AA54" s="5">
        <f t="shared" si="36"/>
        <v>9</v>
      </c>
      <c r="AB54" s="5">
        <f t="shared" si="37"/>
        <v>9</v>
      </c>
      <c r="AC54" s="5">
        <f t="shared" si="38"/>
        <v>8</v>
      </c>
      <c r="AD54" s="5">
        <f t="shared" si="39"/>
        <v>9</v>
      </c>
      <c r="AE54" s="5">
        <f t="shared" si="40"/>
        <v>6</v>
      </c>
      <c r="AF54" s="5">
        <f t="shared" si="41"/>
        <v>8</v>
      </c>
      <c r="AG54" s="34">
        <f>SUM(C54,D54,F54,G54)+LARGE((E54,H54,I54,J54,K54,L54),1)+LARGE((E54,H54,I54,J54,K54,L54),2)</f>
        <v>302.5</v>
      </c>
      <c r="AH54" s="5">
        <f>SUM(W54,X54,Z54,AA54)+SMALL((Y54,AB54,AC54,AD54,AE54,AF54),1)+SMALL((Y54,AB54,AC54,AD54,AE54,AF54),2)</f>
        <v>42</v>
      </c>
      <c r="AI54" s="15" t="str">
        <f>'Teacher''s Remarks'!M55</f>
        <v>PATIENCE AFUA MENSAH</v>
      </c>
      <c r="AJ54" s="15" t="str">
        <f>'Teacher''s Remarks'!N55</f>
        <v>Active</v>
      </c>
      <c r="AK54" s="15" t="str">
        <f>'Teacher''s Remarks'!O55</f>
        <v>Participates in class</v>
      </c>
      <c r="AL54" s="15" t="str">
        <f>'Teacher''s Remarks'!P55</f>
        <v>She can do better than this. Sit up!</v>
      </c>
      <c r="AM54" s="13" t="str">
        <f t="shared" si="42"/>
        <v>SEFA AMA OWUSUWAA</v>
      </c>
      <c r="AN54" s="14">
        <f>Attendance!B54</f>
        <v>66</v>
      </c>
      <c r="AO54" s="15"/>
      <c r="AP54" s="15"/>
      <c r="AQ54" s="22">
        <f t="shared" ca="1" si="43"/>
        <v>45764</v>
      </c>
      <c r="AR54" s="15"/>
      <c r="AT54" s="12">
        <f t="shared" si="45"/>
        <v>19</v>
      </c>
      <c r="AU54" t="str">
        <f>IF(OR(VALUE(RIGHT(AT54,5))={11,12,13}),"th",IF(OR(VALUE(RIGHT(AT54))={1,2,3}),CHOOSE(RIGHT(AT54),"st","nd","rd"),"th"))</f>
        <v>th</v>
      </c>
      <c r="AV54">
        <f t="shared" si="46"/>
        <v>26</v>
      </c>
      <c r="AW54" t="str">
        <f>IF(OR(VALUE(RIGHT(AV54,5))={11,12,13}),"th",IF(OR(VALUE(RIGHT(AV54))={1,2,3}),CHOOSE(RIGHT(AV54),"st","nd","rd"),"th"))</f>
        <v>th</v>
      </c>
      <c r="AX54">
        <f t="shared" si="47"/>
        <v>29</v>
      </c>
      <c r="AY54" t="str">
        <f>IF(OR(VALUE(RIGHT(AX54,5))={11,12,13}),"th",IF(OR(VALUE(RIGHT(AX54))={1,2,3}),CHOOSE(RIGHT(AX54),"st","nd","rd"),"th"))</f>
        <v>th</v>
      </c>
      <c r="AZ54">
        <f t="shared" si="48"/>
        <v>38</v>
      </c>
      <c r="BA54" t="str">
        <f>IF(OR(VALUE(RIGHT(AZ54,5))={11,12,13}),"th",IF(OR(VALUE(RIGHT(AZ54))={1,2,3}),CHOOSE(RIGHT(AZ54),"st","nd","rd"),"th"))</f>
        <v>th</v>
      </c>
      <c r="BB54">
        <f t="shared" si="49"/>
        <v>54</v>
      </c>
      <c r="BC54" t="str">
        <f>IF(OR(VALUE(RIGHT(BB54,5))={11,12,13}),"th",IF(OR(VALUE(RIGHT(BB54))={1,2,3}),CHOOSE(RIGHT(BB54),"st","nd","rd"),"th"))</f>
        <v>th</v>
      </c>
      <c r="BD54">
        <f t="shared" si="50"/>
        <v>44</v>
      </c>
      <c r="BE54" t="str">
        <f>IF(OR(VALUE(RIGHT(BD54,5))={11,12,13}),"th",IF(OR(VALUE(RIGHT(BD54))={1,2,3}),CHOOSE(RIGHT(BD54),"st","nd","rd"),"th"))</f>
        <v>th</v>
      </c>
      <c r="BF54">
        <f t="shared" si="51"/>
        <v>21</v>
      </c>
      <c r="BG54" t="str">
        <f>IF(OR(VALUE(RIGHT(BF54,5))={11,12,13}),"th",IF(OR(VALUE(RIGHT(BF54))={1,2,3}),CHOOSE(RIGHT(BF54),"st","nd","rd"),"th"))</f>
        <v>st</v>
      </c>
      <c r="BH54">
        <f t="shared" si="52"/>
        <v>29</v>
      </c>
      <c r="BI54" t="str">
        <f>IF(OR(VALUE(RIGHT(BH54,5))={11,12,13}),"th",IF(OR(VALUE(RIGHT(BH54))={1,2,3}),CHOOSE(RIGHT(BH54),"st","nd","rd"),"th"))</f>
        <v>th</v>
      </c>
      <c r="BJ54">
        <f t="shared" si="53"/>
        <v>7</v>
      </c>
      <c r="BK54" t="str" cm="1">
        <f t="array" ref="BK54">IF(OR(VALUE(RIGHT(BJ54,5))={11,12,13}),"th",IF(OR(VALUE(RIGHT(BJ54))={1,2,3}),CHOOSE(RIGHT(BJ54),"st","nd","rd"),"th"))</f>
        <v>th</v>
      </c>
      <c r="BL54">
        <f t="shared" si="54"/>
        <v>44</v>
      </c>
      <c r="BM54" t="str">
        <f>IF(OR(VALUE(RIGHT(BL54,5))={11,12,13}),"th",IF(OR(VALUE(RIGHT(BL54))={1,2,3}),CHOOSE(RIGHT(BL54),"st","nd","rd"),"th"))</f>
        <v>th</v>
      </c>
      <c r="BO54" s="30">
        <f t="shared" si="44"/>
        <v>460</v>
      </c>
      <c r="BP54">
        <f t="shared" si="55"/>
        <v>35</v>
      </c>
      <c r="BQ54" t="str">
        <f>IF(OR(VALUE(RIGHT(BP54,5))={11,12,13}),"th",IF(OR(VALUE(RIGHT(BP54))={1,2,3}),CHOOSE(RIGHT(BP54),"st","nd","rd"),"th"))</f>
        <v>th</v>
      </c>
      <c r="BS54" s="27">
        <f>ClassScore!M54</f>
        <v>39.5</v>
      </c>
      <c r="BT54" s="27">
        <f>ClassScore!N54</f>
        <v>35.5</v>
      </c>
      <c r="BU54" s="27">
        <f>ClassScore!O54</f>
        <v>20</v>
      </c>
      <c r="BV54" s="27">
        <f>ClassScore!P54</f>
        <v>29</v>
      </c>
      <c r="BW54" s="27">
        <f>ClassScore!Q54</f>
        <v>25.5</v>
      </c>
      <c r="BX54" s="27">
        <f>ClassScore!R54</f>
        <v>25</v>
      </c>
      <c r="BY54" s="27">
        <f>ClassScore!S54</f>
        <v>15.5</v>
      </c>
      <c r="BZ54" s="27">
        <f>ClassScore!T54</f>
        <v>18.5</v>
      </c>
      <c r="CA54" s="27">
        <f>ClassScore!U54</f>
        <v>30</v>
      </c>
      <c r="CB54" s="27">
        <f>ClassScore!V54</f>
        <v>32</v>
      </c>
      <c r="CD54" s="27">
        <f>Examscore!M54</f>
        <v>20</v>
      </c>
      <c r="CE54" s="27">
        <f>Examscore!N54</f>
        <v>20</v>
      </c>
      <c r="CF54" s="27">
        <f>Examscore!O54</f>
        <v>38</v>
      </c>
      <c r="CG54" s="27">
        <f>Examscore!P54</f>
        <v>6</v>
      </c>
      <c r="CH54" s="27">
        <f>Examscore!Q54</f>
        <v>11</v>
      </c>
      <c r="CI54" s="27">
        <f>Examscore!R54</f>
        <v>6.5</v>
      </c>
      <c r="CJ54" s="27">
        <f>Examscore!S54</f>
        <v>27.5</v>
      </c>
      <c r="CK54" s="27">
        <f>Examscore!T54</f>
        <v>17</v>
      </c>
      <c r="CL54" s="27">
        <f>Examscore!U54</f>
        <v>28</v>
      </c>
      <c r="CM54" s="27">
        <f>Examscore!V54</f>
        <v>15.5</v>
      </c>
    </row>
    <row r="55" spans="1:91" ht="15.75" x14ac:dyDescent="0.25">
      <c r="A55" s="5">
        <f>Student!A55</f>
        <v>140</v>
      </c>
      <c r="B55" s="21" t="str">
        <f>Student!B55</f>
        <v xml:space="preserve">TETTEH MAVIS  </v>
      </c>
      <c r="C55" s="28">
        <f>ClassScore!M55+Examscore!M55</f>
        <v>66</v>
      </c>
      <c r="D55" s="28">
        <f>ClassScore!N55+Examscore!N55</f>
        <v>61</v>
      </c>
      <c r="E55" s="28">
        <f>ClassScore!O55+Examscore!O55</f>
        <v>64.5</v>
      </c>
      <c r="F55" s="28">
        <f>ClassScore!P55+Examscore!P55</f>
        <v>35.5</v>
      </c>
      <c r="G55" s="28">
        <f>ClassScore!Q55+Examscore!Q55</f>
        <v>52</v>
      </c>
      <c r="H55" s="28">
        <f>ClassScore!R55+Examscore!R55</f>
        <v>33.5</v>
      </c>
      <c r="I55" s="28">
        <f>ClassScore!S55+Examscore!S55</f>
        <v>48.5</v>
      </c>
      <c r="J55" s="28">
        <f>ClassScore!T55+Examscore!T55</f>
        <v>32.5</v>
      </c>
      <c r="K55" s="28">
        <f>ClassScore!U55+Examscore!U55</f>
        <v>47</v>
      </c>
      <c r="L55" s="28">
        <f>ClassScore!V55+Examscore!V55</f>
        <v>50.5</v>
      </c>
      <c r="M55" s="5" t="str">
        <f t="shared" si="22"/>
        <v>High Average</v>
      </c>
      <c r="N55" s="5" t="str">
        <f t="shared" si="23"/>
        <v>Average</v>
      </c>
      <c r="O55" s="5" t="str">
        <f t="shared" si="24"/>
        <v>Average</v>
      </c>
      <c r="P55" s="5" t="str">
        <f t="shared" si="25"/>
        <v>Lowest</v>
      </c>
      <c r="Q55" s="5" t="str">
        <f t="shared" si="26"/>
        <v>Low</v>
      </c>
      <c r="R55" s="5" t="str">
        <f t="shared" si="27"/>
        <v>Lowest</v>
      </c>
      <c r="S55" s="5" t="str">
        <f t="shared" si="28"/>
        <v>Lower</v>
      </c>
      <c r="T55" s="5" t="str">
        <f t="shared" si="29"/>
        <v>Lowest</v>
      </c>
      <c r="U55" s="5" t="str">
        <f t="shared" si="30"/>
        <v>Lower</v>
      </c>
      <c r="V55" s="5" t="str">
        <f t="shared" si="31"/>
        <v>Low</v>
      </c>
      <c r="W55" s="5">
        <f t="shared" si="32"/>
        <v>4</v>
      </c>
      <c r="X55" s="5">
        <f t="shared" si="33"/>
        <v>5</v>
      </c>
      <c r="Y55" s="5">
        <f t="shared" si="34"/>
        <v>5</v>
      </c>
      <c r="Z55" s="5">
        <f t="shared" si="35"/>
        <v>9</v>
      </c>
      <c r="AA55" s="5">
        <f t="shared" si="36"/>
        <v>7</v>
      </c>
      <c r="AB55" s="5">
        <f t="shared" si="37"/>
        <v>9</v>
      </c>
      <c r="AC55" s="5">
        <f t="shared" si="38"/>
        <v>8</v>
      </c>
      <c r="AD55" s="5">
        <f t="shared" si="39"/>
        <v>9</v>
      </c>
      <c r="AE55" s="5">
        <f t="shared" si="40"/>
        <v>8</v>
      </c>
      <c r="AF55" s="5">
        <f t="shared" si="41"/>
        <v>7</v>
      </c>
      <c r="AG55" s="34">
        <f>SUM(C55,D55,F55,G55)+LARGE((E55,H55,I55,J55,K55,L55),1)+LARGE((E55,H55,I55,J55,K55,L55),2)</f>
        <v>329.5</v>
      </c>
      <c r="AH55" s="5">
        <f>SUM(W55,X55,Z55,AA55)+SMALL((Y55,AB55,AC55,AD55,AE55,AF55),1)+SMALL((Y55,AB55,AC55,AD55,AE55,AF55),2)</f>
        <v>37</v>
      </c>
      <c r="AI55" s="15" t="str">
        <f>'Teacher''s Remarks'!M56</f>
        <v>PATIENCE AFUA MENSAH</v>
      </c>
      <c r="AJ55" s="15" t="str">
        <f>'Teacher''s Remarks'!N56</f>
        <v>playful</v>
      </c>
      <c r="AK55" s="15" t="str">
        <f>'Teacher''s Remarks'!O56</f>
        <v>Slow to learning</v>
      </c>
      <c r="AL55" s="15" t="str">
        <f>'Teacher''s Remarks'!P50</f>
        <v>She can do better than this. Sit up!</v>
      </c>
      <c r="AM55" s="13" t="str">
        <f t="shared" si="42"/>
        <v xml:space="preserve">TETTEH MAVIS  </v>
      </c>
      <c r="AN55" s="14">
        <f>Attendance!B55</f>
        <v>66</v>
      </c>
      <c r="AO55" s="15"/>
      <c r="AP55" s="15"/>
      <c r="AQ55" s="22">
        <f t="shared" ca="1" si="43"/>
        <v>45764</v>
      </c>
      <c r="AR55" s="15"/>
      <c r="AT55" s="12">
        <f t="shared" si="45"/>
        <v>9</v>
      </c>
      <c r="AU55" t="str">
        <f>IF(OR(VALUE(RIGHT(AT55,5))={11,12,13}),"th",IF(OR(VALUE(RIGHT(AT55))={1,2,3}),CHOOSE(RIGHT(AT55),"st","nd","rd"),"th"))</f>
        <v>th</v>
      </c>
      <c r="AV55">
        <f t="shared" si="46"/>
        <v>14</v>
      </c>
      <c r="AW55" t="str">
        <f>IF(OR(VALUE(RIGHT(AV55,5))={11,12,13}),"th",IF(OR(VALUE(RIGHT(AV55))={1,2,3}),CHOOSE(RIGHT(AV55),"st","nd","rd"),"th"))</f>
        <v>th</v>
      </c>
      <c r="AX55">
        <f t="shared" si="47"/>
        <v>21</v>
      </c>
      <c r="AY55" t="str">
        <f>IF(OR(VALUE(RIGHT(AX55,5))={11,12,13}),"th",IF(OR(VALUE(RIGHT(AX55))={1,2,3}),CHOOSE(RIGHT(AX55),"st","nd","rd"),"th"))</f>
        <v>st</v>
      </c>
      <c r="AZ55">
        <f t="shared" si="48"/>
        <v>37</v>
      </c>
      <c r="BA55" t="str">
        <f>IF(OR(VALUE(RIGHT(AZ55,5))={11,12,13}),"th",IF(OR(VALUE(RIGHT(AZ55))={1,2,3}),CHOOSE(RIGHT(AZ55),"st","nd","rd"),"th"))</f>
        <v>th</v>
      </c>
      <c r="BB55">
        <f t="shared" si="49"/>
        <v>23</v>
      </c>
      <c r="BC55" t="str">
        <f>IF(OR(VALUE(RIGHT(BB55,5))={11,12,13}),"th",IF(OR(VALUE(RIGHT(BB55))={1,2,3}),CHOOSE(RIGHT(BB55),"st","nd","rd"),"th"))</f>
        <v>rd</v>
      </c>
      <c r="BD55">
        <f t="shared" si="50"/>
        <v>37</v>
      </c>
      <c r="BE55" t="str">
        <f>IF(OR(VALUE(RIGHT(BD55,5))={11,12,13}),"th",IF(OR(VALUE(RIGHT(BD55))={1,2,3}),CHOOSE(RIGHT(BD55),"st","nd","rd"),"th"))</f>
        <v>th</v>
      </c>
      <c r="BF55">
        <f t="shared" si="51"/>
        <v>12</v>
      </c>
      <c r="BG55" t="str">
        <f>IF(OR(VALUE(RIGHT(BF55,5))={11,12,13}),"th",IF(OR(VALUE(RIGHT(BF55))={1,2,3}),CHOOSE(RIGHT(BF55),"st","nd","rd"),"th"))</f>
        <v>th</v>
      </c>
      <c r="BH55">
        <f t="shared" si="52"/>
        <v>37</v>
      </c>
      <c r="BI55" t="str">
        <f>IF(OR(VALUE(RIGHT(BH55,5))={11,12,13}),"th",IF(OR(VALUE(RIGHT(BH55))={1,2,3}),CHOOSE(RIGHT(BH55),"st","nd","rd"),"th"))</f>
        <v>th</v>
      </c>
      <c r="BJ55">
        <f t="shared" si="53"/>
        <v>20</v>
      </c>
      <c r="BK55" t="str" cm="1">
        <f t="array" ref="BK55">IF(OR(VALUE(RIGHT(BJ55,5))={11,12,13}),"th",IF(OR(VALUE(RIGHT(BJ55))={1,2,3}),CHOOSE(RIGHT(BJ55),"st","nd","rd"),"th"))</f>
        <v>th</v>
      </c>
      <c r="BL55">
        <f t="shared" si="54"/>
        <v>39</v>
      </c>
      <c r="BM55" t="str">
        <f>IF(OR(VALUE(RIGHT(BL55,5))={11,12,13}),"th",IF(OR(VALUE(RIGHT(BL55))={1,2,3}),CHOOSE(RIGHT(BL55),"st","nd","rd"),"th"))</f>
        <v>th</v>
      </c>
      <c r="BO55" s="30">
        <f t="shared" si="44"/>
        <v>491</v>
      </c>
      <c r="BP55">
        <f t="shared" si="55"/>
        <v>24</v>
      </c>
      <c r="BQ55" t="str">
        <f>IF(OR(VALUE(RIGHT(BP55,5))={11,12,13}),"th",IF(OR(VALUE(RIGHT(BP55))={1,2,3}),CHOOSE(RIGHT(BP55),"st","nd","rd"),"th"))</f>
        <v>th</v>
      </c>
      <c r="BS55" s="27">
        <f>ClassScore!M55</f>
        <v>49</v>
      </c>
      <c r="BT55" s="27">
        <f>ClassScore!N55</f>
        <v>44</v>
      </c>
      <c r="BU55" s="27">
        <f>ClassScore!O55</f>
        <v>29</v>
      </c>
      <c r="BV55" s="27">
        <f>ClassScore!P55</f>
        <v>28</v>
      </c>
      <c r="BW55" s="27">
        <f>ClassScore!Q55</f>
        <v>30.5</v>
      </c>
      <c r="BX55" s="27">
        <f>ClassScore!R55</f>
        <v>21</v>
      </c>
      <c r="BY55" s="27">
        <f>ClassScore!S55</f>
        <v>27</v>
      </c>
      <c r="BZ55" s="27">
        <f>ClassScore!T55</f>
        <v>25</v>
      </c>
      <c r="CA55" s="27">
        <f>ClassScore!U55</f>
        <v>21</v>
      </c>
      <c r="CB55" s="27">
        <f>ClassScore!V55</f>
        <v>36.5</v>
      </c>
      <c r="CD55" s="27">
        <f>Examscore!M55</f>
        <v>17</v>
      </c>
      <c r="CE55" s="27">
        <f>Examscore!N55</f>
        <v>17</v>
      </c>
      <c r="CF55" s="27">
        <f>Examscore!O55</f>
        <v>35.5</v>
      </c>
      <c r="CG55" s="27">
        <f>Examscore!P55</f>
        <v>7.5</v>
      </c>
      <c r="CH55" s="27">
        <f>Examscore!Q55</f>
        <v>21.5</v>
      </c>
      <c r="CI55" s="27">
        <f>Examscore!R55</f>
        <v>12.5</v>
      </c>
      <c r="CJ55" s="27">
        <f>Examscore!S55</f>
        <v>21.5</v>
      </c>
      <c r="CK55" s="27">
        <f>Examscore!T55</f>
        <v>7.5</v>
      </c>
      <c r="CL55" s="27">
        <f>Examscore!U55</f>
        <v>26</v>
      </c>
      <c r="CM55" s="27">
        <f>Examscore!V55</f>
        <v>14</v>
      </c>
    </row>
    <row r="56" spans="1:91" ht="15.75" x14ac:dyDescent="0.25">
      <c r="A56" s="5">
        <f>Student!A56</f>
        <v>4065</v>
      </c>
      <c r="B56" s="21" t="str">
        <f>Student!B56</f>
        <v xml:space="preserve">TWUMASI VERA  </v>
      </c>
      <c r="C56" s="28">
        <f>ClassScore!M56+Examscore!M56</f>
        <v>69</v>
      </c>
      <c r="D56" s="28">
        <f>ClassScore!N56+Examscore!N56</f>
        <v>67</v>
      </c>
      <c r="E56" s="28">
        <f>ClassScore!O56+Examscore!O56</f>
        <v>77.5</v>
      </c>
      <c r="F56" s="28">
        <f>ClassScore!P56+Examscore!P56</f>
        <v>42.5</v>
      </c>
      <c r="G56" s="28">
        <f>ClassScore!Q56+Examscore!Q56</f>
        <v>64.5</v>
      </c>
      <c r="H56" s="28">
        <f>ClassScore!R56+Examscore!R56</f>
        <v>39</v>
      </c>
      <c r="I56" s="28">
        <f>ClassScore!S56+Examscore!S56</f>
        <v>34</v>
      </c>
      <c r="J56" s="28">
        <f>ClassScore!T56+Examscore!T56</f>
        <v>64.5</v>
      </c>
      <c r="K56" s="28">
        <f>ClassScore!U56+Examscore!U56</f>
        <v>66</v>
      </c>
      <c r="L56" s="28">
        <f>ClassScore!V56+Examscore!V56</f>
        <v>56</v>
      </c>
      <c r="M56" s="5" t="str">
        <f t="shared" si="22"/>
        <v>High Average</v>
      </c>
      <c r="N56" s="5" t="str">
        <f t="shared" si="23"/>
        <v>High Average</v>
      </c>
      <c r="O56" s="5" t="str">
        <f t="shared" si="24"/>
        <v>High</v>
      </c>
      <c r="P56" s="5" t="str">
        <f t="shared" si="25"/>
        <v>Lower</v>
      </c>
      <c r="Q56" s="5" t="str">
        <f t="shared" si="26"/>
        <v>Average</v>
      </c>
      <c r="R56" s="5" t="str">
        <f t="shared" si="27"/>
        <v>Lowest</v>
      </c>
      <c r="S56" s="5" t="str">
        <f t="shared" si="28"/>
        <v>Lowest</v>
      </c>
      <c r="T56" s="5" t="str">
        <f t="shared" si="29"/>
        <v>Average</v>
      </c>
      <c r="U56" s="5" t="str">
        <f t="shared" si="30"/>
        <v>High Average</v>
      </c>
      <c r="V56" s="5" t="str">
        <f t="shared" si="31"/>
        <v>Low Average</v>
      </c>
      <c r="W56" s="5">
        <f t="shared" si="32"/>
        <v>4</v>
      </c>
      <c r="X56" s="5">
        <f t="shared" si="33"/>
        <v>4</v>
      </c>
      <c r="Y56" s="5">
        <f t="shared" si="34"/>
        <v>3</v>
      </c>
      <c r="Z56" s="5">
        <f t="shared" si="35"/>
        <v>8</v>
      </c>
      <c r="AA56" s="5">
        <f t="shared" si="36"/>
        <v>5</v>
      </c>
      <c r="AB56" s="5">
        <f t="shared" si="37"/>
        <v>9</v>
      </c>
      <c r="AC56" s="5">
        <f t="shared" si="38"/>
        <v>9</v>
      </c>
      <c r="AD56" s="5">
        <f t="shared" si="39"/>
        <v>5</v>
      </c>
      <c r="AE56" s="5">
        <f t="shared" si="40"/>
        <v>4</v>
      </c>
      <c r="AF56" s="5">
        <f t="shared" si="41"/>
        <v>6</v>
      </c>
      <c r="AG56" s="34">
        <f>SUM(C56,D56,F56,G56)+LARGE((E56,H56,I56,J56,K56,L56),1)+LARGE((E56,H56,I56,J56,K56,L56),2)</f>
        <v>386.5</v>
      </c>
      <c r="AH56" s="5">
        <f>SUM(W56,X56,Z56,AA56)+SMALL((Y56,AB56,AC56,AD56,AE56,AF56),1)+SMALL((Y56,AB56,AC56,AD56,AE56,AF56),2)</f>
        <v>28</v>
      </c>
      <c r="AI56" s="15" t="str">
        <f>'Teacher''s Remarks'!M57</f>
        <v>PATIENCE AFUA MENSAH</v>
      </c>
      <c r="AJ56" s="15" t="str">
        <f>'Teacher''s Remarks'!N57</f>
        <v>Helpful</v>
      </c>
      <c r="AK56" s="15" t="str">
        <f>'Teacher''s Remarks'!O57</f>
        <v>She is regular and puntual to school</v>
      </c>
      <c r="AL56" s="15" t="str">
        <f>'Teacher''s Remarks'!P57</f>
        <v>She can do better than this. Sit up!</v>
      </c>
      <c r="AM56" s="13" t="str">
        <f t="shared" si="42"/>
        <v xml:space="preserve">TWUMASI VERA  </v>
      </c>
      <c r="AN56" s="14">
        <f>Attendance!B56</f>
        <v>61</v>
      </c>
      <c r="AO56" s="15"/>
      <c r="AP56" s="15"/>
      <c r="AQ56" s="22">
        <f t="shared" ca="1" si="43"/>
        <v>45764</v>
      </c>
      <c r="AR56" s="15"/>
      <c r="AT56" s="12">
        <f t="shared" si="45"/>
        <v>8</v>
      </c>
      <c r="AU56" t="str">
        <f>IF(OR(VALUE(RIGHT(AT56,5))={11,12,13}),"th",IF(OR(VALUE(RIGHT(AT56))={1,2,3}),CHOOSE(RIGHT(AT56),"st","nd","rd"),"th"))</f>
        <v>th</v>
      </c>
      <c r="AV56">
        <f t="shared" si="46"/>
        <v>6</v>
      </c>
      <c r="AW56" t="str">
        <f>IF(OR(VALUE(RIGHT(AV56,5))={11,12,13}),"th",IF(OR(VALUE(RIGHT(AV56))={1,2,3}),CHOOSE(RIGHT(AV56),"st","nd","rd"),"th"))</f>
        <v>th</v>
      </c>
      <c r="AX56">
        <f t="shared" si="47"/>
        <v>3</v>
      </c>
      <c r="AY56" t="str">
        <f>IF(OR(VALUE(RIGHT(AX56,5))={11,12,13}),"th",IF(OR(VALUE(RIGHT(AX56))={1,2,3}),CHOOSE(RIGHT(AX56),"st","nd","rd"),"th"))</f>
        <v>rd</v>
      </c>
      <c r="AZ56">
        <f t="shared" si="48"/>
        <v>28</v>
      </c>
      <c r="BA56" t="str">
        <f>IF(OR(VALUE(RIGHT(AZ56,5))={11,12,13}),"th",IF(OR(VALUE(RIGHT(AZ56))={1,2,3}),CHOOSE(RIGHT(AZ56),"st","nd","rd"),"th"))</f>
        <v>th</v>
      </c>
      <c r="BB56">
        <f t="shared" si="49"/>
        <v>6</v>
      </c>
      <c r="BC56" t="str">
        <f>IF(OR(VALUE(RIGHT(BB56,5))={11,12,13}),"th",IF(OR(VALUE(RIGHT(BB56))={1,2,3}),CHOOSE(RIGHT(BB56),"st","nd","rd"),"th"))</f>
        <v>th</v>
      </c>
      <c r="BD56">
        <f t="shared" si="50"/>
        <v>26</v>
      </c>
      <c r="BE56" t="str">
        <f>IF(OR(VALUE(RIGHT(BD56,5))={11,12,13}),"th",IF(OR(VALUE(RIGHT(BD56))={1,2,3}),CHOOSE(RIGHT(BD56),"st","nd","rd"),"th"))</f>
        <v>th</v>
      </c>
      <c r="BF56">
        <f t="shared" si="51"/>
        <v>41</v>
      </c>
      <c r="BG56" t="str">
        <f>IF(OR(VALUE(RIGHT(BF56,5))={11,12,13}),"th",IF(OR(VALUE(RIGHT(BF56))={1,2,3}),CHOOSE(RIGHT(BF56),"st","nd","rd"),"th"))</f>
        <v>st</v>
      </c>
      <c r="BH56">
        <f t="shared" si="52"/>
        <v>3</v>
      </c>
      <c r="BI56" t="str">
        <f>IF(OR(VALUE(RIGHT(BH56,5))={11,12,13}),"th",IF(OR(VALUE(RIGHT(BH56))={1,2,3}),CHOOSE(RIGHT(BH56),"st","nd","rd"),"th"))</f>
        <v>rd</v>
      </c>
      <c r="BJ56">
        <f t="shared" si="53"/>
        <v>3</v>
      </c>
      <c r="BK56" t="str" cm="1">
        <f t="array" ref="BK56">IF(OR(VALUE(RIGHT(BJ56,5))={11,12,13}),"th",IF(OR(VALUE(RIGHT(BJ56))={1,2,3}),CHOOSE(RIGHT(BJ56),"st","nd","rd"),"th"))</f>
        <v>rd</v>
      </c>
      <c r="BL56">
        <f t="shared" si="54"/>
        <v>28</v>
      </c>
      <c r="BM56" t="str">
        <f>IF(OR(VALUE(RIGHT(BL56,5))={11,12,13}),"th",IF(OR(VALUE(RIGHT(BL56))={1,2,3}),CHOOSE(RIGHT(BL56),"st","nd","rd"),"th"))</f>
        <v>th</v>
      </c>
      <c r="BO56" s="30">
        <f t="shared" si="44"/>
        <v>580</v>
      </c>
      <c r="BP56">
        <f t="shared" si="55"/>
        <v>6</v>
      </c>
      <c r="BQ56" t="str">
        <f>IF(OR(VALUE(RIGHT(BP56,5))={11,12,13}),"th",IF(OR(VALUE(RIGHT(BP56))={1,2,3}),CHOOSE(RIGHT(BP56),"st","nd","rd"),"th"))</f>
        <v>th</v>
      </c>
      <c r="BS56" s="27">
        <f>ClassScore!M56</f>
        <v>43</v>
      </c>
      <c r="BT56" s="27">
        <f>ClassScore!N56</f>
        <v>41</v>
      </c>
      <c r="BU56" s="27">
        <f>ClassScore!O56</f>
        <v>33.5</v>
      </c>
      <c r="BV56" s="27">
        <f>ClassScore!P56</f>
        <v>28</v>
      </c>
      <c r="BW56" s="27">
        <f>ClassScore!Q56</f>
        <v>29.5</v>
      </c>
      <c r="BX56" s="27">
        <f>ClassScore!R56</f>
        <v>19</v>
      </c>
      <c r="BY56" s="27">
        <f>ClassScore!S56</f>
        <v>12.5</v>
      </c>
      <c r="BZ56" s="27">
        <f>ClassScore!T56</f>
        <v>36.5</v>
      </c>
      <c r="CA56" s="27">
        <f>ClassScore!U56</f>
        <v>37.5</v>
      </c>
      <c r="CB56" s="27">
        <f>ClassScore!V56</f>
        <v>32</v>
      </c>
      <c r="CD56" s="27">
        <f>Examscore!M56</f>
        <v>26</v>
      </c>
      <c r="CE56" s="27">
        <f>Examscore!N56</f>
        <v>26</v>
      </c>
      <c r="CF56" s="27">
        <f>Examscore!O56</f>
        <v>44</v>
      </c>
      <c r="CG56" s="27">
        <f>Examscore!P56</f>
        <v>14.5</v>
      </c>
      <c r="CH56" s="27">
        <f>Examscore!Q56</f>
        <v>35</v>
      </c>
      <c r="CI56" s="27">
        <f>Examscore!R56</f>
        <v>20</v>
      </c>
      <c r="CJ56" s="27">
        <f>Examscore!S56</f>
        <v>21.5</v>
      </c>
      <c r="CK56" s="27">
        <f>Examscore!T56</f>
        <v>28</v>
      </c>
      <c r="CL56" s="27">
        <f>Examscore!U56</f>
        <v>28.5</v>
      </c>
      <c r="CM56" s="27">
        <f>Examscore!V56</f>
        <v>24</v>
      </c>
    </row>
    <row r="57" spans="1:91" ht="15.75" x14ac:dyDescent="0.25">
      <c r="A57" s="5">
        <f>Student!A57</f>
        <v>616</v>
      </c>
      <c r="B57" s="21" t="str">
        <f>Student!B57</f>
        <v xml:space="preserve">WORMENOR JULIA  </v>
      </c>
      <c r="C57" s="28">
        <f>ClassScore!M57+Examscore!M57</f>
        <v>80</v>
      </c>
      <c r="D57" s="28">
        <f>ClassScore!N57+Examscore!N57</f>
        <v>73</v>
      </c>
      <c r="E57" s="28">
        <f>ClassScore!O57+Examscore!O57</f>
        <v>85.5</v>
      </c>
      <c r="F57" s="28">
        <f>ClassScore!P57+Examscore!P57</f>
        <v>65.5</v>
      </c>
      <c r="G57" s="28">
        <f>ClassScore!Q57+Examscore!Q57</f>
        <v>88.5</v>
      </c>
      <c r="H57" s="28">
        <f>ClassScore!R57+Examscore!R57</f>
        <v>46.5</v>
      </c>
      <c r="I57" s="28">
        <f>ClassScore!S57+Examscore!S57</f>
        <v>64.5</v>
      </c>
      <c r="J57" s="28">
        <f>ClassScore!T57+Examscore!T57</f>
        <v>70</v>
      </c>
      <c r="K57" s="28">
        <f>ClassScore!U57+Examscore!U57</f>
        <v>77.5</v>
      </c>
      <c r="L57" s="28">
        <f>ClassScore!V57+Examscore!V57</f>
        <v>84</v>
      </c>
      <c r="M57" s="5" t="str">
        <f t="shared" si="22"/>
        <v>Higher</v>
      </c>
      <c r="N57" s="5" t="str">
        <f t="shared" si="23"/>
        <v>High</v>
      </c>
      <c r="O57" s="5" t="str">
        <f t="shared" si="24"/>
        <v>Highest</v>
      </c>
      <c r="P57" s="5" t="str">
        <f t="shared" si="25"/>
        <v>High Average</v>
      </c>
      <c r="Q57" s="5" t="str">
        <f t="shared" si="26"/>
        <v>Highest</v>
      </c>
      <c r="R57" s="5" t="str">
        <f t="shared" si="27"/>
        <v>Lower</v>
      </c>
      <c r="S57" s="5" t="str">
        <f t="shared" si="28"/>
        <v>Average</v>
      </c>
      <c r="T57" s="5" t="str">
        <f t="shared" si="29"/>
        <v>High</v>
      </c>
      <c r="U57" s="5" t="str">
        <f t="shared" si="30"/>
        <v>High</v>
      </c>
      <c r="V57" s="5" t="str">
        <f t="shared" si="31"/>
        <v>Higher</v>
      </c>
      <c r="W57" s="5">
        <f t="shared" si="32"/>
        <v>2</v>
      </c>
      <c r="X57" s="5">
        <f t="shared" si="33"/>
        <v>3</v>
      </c>
      <c r="Y57" s="5">
        <f t="shared" si="34"/>
        <v>2</v>
      </c>
      <c r="Z57" s="5">
        <f t="shared" si="35"/>
        <v>4</v>
      </c>
      <c r="AA57" s="5">
        <f t="shared" si="36"/>
        <v>2</v>
      </c>
      <c r="AB57" s="5">
        <f t="shared" si="37"/>
        <v>8</v>
      </c>
      <c r="AC57" s="5">
        <f t="shared" si="38"/>
        <v>5</v>
      </c>
      <c r="AD57" s="5">
        <f t="shared" si="39"/>
        <v>3</v>
      </c>
      <c r="AE57" s="5">
        <f t="shared" si="40"/>
        <v>3</v>
      </c>
      <c r="AF57" s="5">
        <f t="shared" si="41"/>
        <v>2</v>
      </c>
      <c r="AG57" s="34">
        <f>SUM(C57,D57,F57,G57)+LARGE((E57,H57,I57,J57,K57,L57),1)+LARGE((E57,H57,I57,J57,K57,L57),2)</f>
        <v>476.5</v>
      </c>
      <c r="AH57" s="5">
        <f>SUM(W57,X57,Z57,AA57)+SMALL((Y57,AB57,AC57,AD57,AE57,AF57),1)+SMALL((Y57,AB57,AC57,AD57,AE57,AF57),2)</f>
        <v>15</v>
      </c>
      <c r="AI57" s="15" t="str">
        <f>'Teacher''s Remarks'!M58</f>
        <v>PATIENCE AFUA MENSAH</v>
      </c>
      <c r="AJ57" s="15" t="str">
        <f>'Teacher''s Remarks'!N58</f>
        <v>Dutiful</v>
      </c>
      <c r="AK57" s="15" t="str">
        <f>'Teacher''s Remarks'!O58</f>
        <v>She is regular and puntual to school</v>
      </c>
      <c r="AL57" s="15" t="str">
        <f>'Teacher''s Remarks'!P58</f>
        <v>She can do better than this. Sit up!</v>
      </c>
      <c r="AM57" s="13" t="str">
        <f t="shared" si="42"/>
        <v xml:space="preserve">WORMENOR JULIA  </v>
      </c>
      <c r="AN57" s="14">
        <f>Attendance!B57</f>
        <v>67</v>
      </c>
      <c r="AO57" s="15"/>
      <c r="AP57" s="15"/>
      <c r="AQ57" s="22">
        <f t="shared" ca="1" si="43"/>
        <v>45764</v>
      </c>
      <c r="AR57" s="15"/>
      <c r="AT57" s="12">
        <f t="shared" si="45"/>
        <v>1</v>
      </c>
      <c r="AU57" t="str">
        <f>IF(OR(VALUE(RIGHT(AT57,5))={11,12,13}),"th",IF(OR(VALUE(RIGHT(AT57))={1,2,3}),CHOOSE(RIGHT(AT57),"st","nd","rd"),"th"))</f>
        <v>st</v>
      </c>
      <c r="AV57">
        <f t="shared" si="46"/>
        <v>1</v>
      </c>
      <c r="AW57" t="str">
        <f>IF(OR(VALUE(RIGHT(AV57,5))={11,12,13}),"th",IF(OR(VALUE(RIGHT(AV57))={1,2,3}),CHOOSE(RIGHT(AV57),"st","nd","rd"),"th"))</f>
        <v>st</v>
      </c>
      <c r="AX57">
        <f t="shared" si="47"/>
        <v>1</v>
      </c>
      <c r="AY57" t="str">
        <f>IF(OR(VALUE(RIGHT(AX57,5))={11,12,13}),"th",IF(OR(VALUE(RIGHT(AX57))={1,2,3}),CHOOSE(RIGHT(AX57),"st","nd","rd"),"th"))</f>
        <v>st</v>
      </c>
      <c r="AZ57">
        <f t="shared" si="48"/>
        <v>2</v>
      </c>
      <c r="BA57" t="str">
        <f>IF(OR(VALUE(RIGHT(AZ57,5))={11,12,13}),"th",IF(OR(VALUE(RIGHT(AZ57))={1,2,3}),CHOOSE(RIGHT(AZ57),"st","nd","rd"),"th"))</f>
        <v>nd</v>
      </c>
      <c r="BB57">
        <f t="shared" si="49"/>
        <v>1</v>
      </c>
      <c r="BC57" t="str">
        <f>IF(OR(VALUE(RIGHT(BB57,5))={11,12,13}),"th",IF(OR(VALUE(RIGHT(BB57))={1,2,3}),CHOOSE(RIGHT(BB57),"st","nd","rd"),"th"))</f>
        <v>st</v>
      </c>
      <c r="BD57">
        <f t="shared" si="50"/>
        <v>6</v>
      </c>
      <c r="BE57" t="str">
        <f>IF(OR(VALUE(RIGHT(BD57,5))={11,12,13}),"th",IF(OR(VALUE(RIGHT(BD57))={1,2,3}),CHOOSE(RIGHT(BD57),"st","nd","rd"),"th"))</f>
        <v>th</v>
      </c>
      <c r="BF57">
        <f t="shared" si="51"/>
        <v>2</v>
      </c>
      <c r="BG57" t="str">
        <f>IF(OR(VALUE(RIGHT(BF57,5))={11,12,13}),"th",IF(OR(VALUE(RIGHT(BF57))={1,2,3}),CHOOSE(RIGHT(BF57),"st","nd","rd"),"th"))</f>
        <v>nd</v>
      </c>
      <c r="BH57">
        <f t="shared" si="52"/>
        <v>1</v>
      </c>
      <c r="BI57" t="str">
        <f>IF(OR(VALUE(RIGHT(BH57,5))={11,12,13}),"th",IF(OR(VALUE(RIGHT(BH57))={1,2,3}),CHOOSE(RIGHT(BH57),"st","nd","rd"),"th"))</f>
        <v>st</v>
      </c>
      <c r="BJ57">
        <f t="shared" si="53"/>
        <v>1</v>
      </c>
      <c r="BK57" t="str" cm="1">
        <f t="array" ref="BK57">IF(OR(VALUE(RIGHT(BJ57,5))={11,12,13}),"th",IF(OR(VALUE(RIGHT(BJ57))={1,2,3}),CHOOSE(RIGHT(BJ57),"st","nd","rd"),"th"))</f>
        <v>st</v>
      </c>
      <c r="BL57">
        <f t="shared" si="54"/>
        <v>1</v>
      </c>
      <c r="BM57" t="str">
        <f>IF(OR(VALUE(RIGHT(BL57,5))={11,12,13}),"th",IF(OR(VALUE(RIGHT(BL57))={1,2,3}),CHOOSE(RIGHT(BL57),"st","nd","rd"),"th"))</f>
        <v>st</v>
      </c>
      <c r="BO57" s="30">
        <f t="shared" si="44"/>
        <v>735</v>
      </c>
      <c r="BP57">
        <f t="shared" si="55"/>
        <v>1</v>
      </c>
      <c r="BQ57" t="str">
        <f>IF(OR(VALUE(RIGHT(BP57,5))={11,12,13}),"th",IF(OR(VALUE(RIGHT(BP57))={1,2,3}),CHOOSE(RIGHT(BP57),"st","nd","rd"),"th"))</f>
        <v>st</v>
      </c>
      <c r="BS57" s="27">
        <f>ClassScore!M57</f>
        <v>50</v>
      </c>
      <c r="BT57" s="27">
        <f>ClassScore!N57</f>
        <v>43</v>
      </c>
      <c r="BU57" s="27">
        <f>ClassScore!O57</f>
        <v>38</v>
      </c>
      <c r="BV57" s="27">
        <f>ClassScore!P57</f>
        <v>50</v>
      </c>
      <c r="BW57" s="27">
        <f>ClassScore!Q57</f>
        <v>48</v>
      </c>
      <c r="BX57" s="27">
        <f>ClassScore!R57</f>
        <v>19.5</v>
      </c>
      <c r="BY57" s="27">
        <f>ClassScore!S57</f>
        <v>32</v>
      </c>
      <c r="BZ57" s="27">
        <f>ClassScore!T57</f>
        <v>38</v>
      </c>
      <c r="CA57" s="27">
        <f>ClassScore!U57</f>
        <v>40</v>
      </c>
      <c r="CB57" s="27">
        <f>ClassScore!V57</f>
        <v>50</v>
      </c>
      <c r="CD57" s="27">
        <f>Examscore!M57</f>
        <v>30</v>
      </c>
      <c r="CE57" s="27">
        <f>Examscore!N57</f>
        <v>30</v>
      </c>
      <c r="CF57" s="27">
        <f>Examscore!O57</f>
        <v>47.5</v>
      </c>
      <c r="CG57" s="27">
        <f>Examscore!P57</f>
        <v>15.5</v>
      </c>
      <c r="CH57" s="27">
        <f>Examscore!Q57</f>
        <v>40.5</v>
      </c>
      <c r="CI57" s="27">
        <f>Examscore!R57</f>
        <v>27</v>
      </c>
      <c r="CJ57" s="27">
        <f>Examscore!S57</f>
        <v>32.5</v>
      </c>
      <c r="CK57" s="27">
        <f>Examscore!T57</f>
        <v>32</v>
      </c>
      <c r="CL57" s="27">
        <f>Examscore!U57</f>
        <v>37.5</v>
      </c>
      <c r="CM57" s="27">
        <f>Examscore!V57</f>
        <v>34</v>
      </c>
    </row>
    <row r="58" spans="1:91" ht="15.75" x14ac:dyDescent="0.25">
      <c r="A58" s="5">
        <f>Student!A58</f>
        <v>339</v>
      </c>
      <c r="B58" s="21" t="str">
        <f>Student!B58</f>
        <v xml:space="preserve">YEBOAH OLIVIA  </v>
      </c>
      <c r="C58" s="28">
        <f>ClassScore!M58+Examscore!M58</f>
        <v>63.5</v>
      </c>
      <c r="D58" s="28">
        <f>ClassScore!N58+Examscore!N58</f>
        <v>60.5</v>
      </c>
      <c r="E58" s="28">
        <f>ClassScore!O58+Examscore!O58</f>
        <v>68.5</v>
      </c>
      <c r="F58" s="28">
        <f>ClassScore!P58+Examscore!P58</f>
        <v>37.5</v>
      </c>
      <c r="G58" s="28">
        <f>ClassScore!Q58+Examscore!Q58</f>
        <v>45</v>
      </c>
      <c r="H58" s="28">
        <f>ClassScore!R58+Examscore!R58</f>
        <v>47</v>
      </c>
      <c r="I58" s="28">
        <f>ClassScore!S58+Examscore!S58</f>
        <v>32</v>
      </c>
      <c r="J58" s="28">
        <f>ClassScore!T58+Examscore!T58</f>
        <v>42.5</v>
      </c>
      <c r="K58" s="28">
        <f>ClassScore!U58+Examscore!U58</f>
        <v>45.5</v>
      </c>
      <c r="L58" s="28">
        <f>ClassScore!V58+Examscore!V58</f>
        <v>54.5</v>
      </c>
      <c r="M58" s="5" t="str">
        <f t="shared" si="22"/>
        <v>Average</v>
      </c>
      <c r="N58" s="5" t="str">
        <f t="shared" si="23"/>
        <v>Average</v>
      </c>
      <c r="O58" s="5" t="str">
        <f t="shared" si="24"/>
        <v>High Average</v>
      </c>
      <c r="P58" s="5" t="str">
        <f t="shared" si="25"/>
        <v>Lowest</v>
      </c>
      <c r="Q58" s="5" t="str">
        <f t="shared" si="26"/>
        <v>Lower</v>
      </c>
      <c r="R58" s="5" t="str">
        <f t="shared" si="27"/>
        <v>Lower</v>
      </c>
      <c r="S58" s="5" t="str">
        <f t="shared" si="28"/>
        <v>Lowest</v>
      </c>
      <c r="T58" s="5" t="str">
        <f t="shared" si="29"/>
        <v>Lower</v>
      </c>
      <c r="U58" s="5" t="str">
        <f t="shared" si="30"/>
        <v>Lower</v>
      </c>
      <c r="V58" s="5" t="str">
        <f t="shared" si="31"/>
        <v>Low</v>
      </c>
      <c r="W58" s="5">
        <f t="shared" si="32"/>
        <v>5</v>
      </c>
      <c r="X58" s="5">
        <f t="shared" si="33"/>
        <v>5</v>
      </c>
      <c r="Y58" s="5">
        <f t="shared" si="34"/>
        <v>4</v>
      </c>
      <c r="Z58" s="5">
        <f t="shared" si="35"/>
        <v>9</v>
      </c>
      <c r="AA58" s="5">
        <f t="shared" si="36"/>
        <v>8</v>
      </c>
      <c r="AB58" s="5">
        <f t="shared" si="37"/>
        <v>8</v>
      </c>
      <c r="AC58" s="5">
        <f t="shared" si="38"/>
        <v>9</v>
      </c>
      <c r="AD58" s="5">
        <f t="shared" si="39"/>
        <v>8</v>
      </c>
      <c r="AE58" s="5">
        <f t="shared" si="40"/>
        <v>8</v>
      </c>
      <c r="AF58" s="5">
        <f t="shared" si="41"/>
        <v>7</v>
      </c>
      <c r="AG58" s="34">
        <f>SUM(C58,D58,F58,G58)+LARGE((E58,H58,I58,J58,K58,L58),1)+LARGE((E58,H58,I58,J58,K58,L58),2)</f>
        <v>329.5</v>
      </c>
      <c r="AH58" s="5">
        <f>SUM(W58,X58,Z58,AA58)+SMALL((Y58,AB58,AC58,AD58,AE58,AF58),1)+SMALL((Y58,AB58,AC58,AD58,AE58,AF58),2)</f>
        <v>38</v>
      </c>
      <c r="AI58" s="15" t="str">
        <f>'Teacher''s Remarks'!M59</f>
        <v>PATIENCE AFUA MENSAH</v>
      </c>
      <c r="AJ58" s="15" t="str">
        <f>'Teacher''s Remarks'!N59</f>
        <v>Energetic</v>
      </c>
      <c r="AK58" s="15" t="str">
        <f>'Teacher''s Remarks'!O59</f>
        <v>Slow to learning</v>
      </c>
      <c r="AL58" s="15" t="str">
        <f>'Teacher''s Remarks'!P59</f>
        <v>She is doing well but can still do better</v>
      </c>
      <c r="AM58" s="13" t="str">
        <f t="shared" si="42"/>
        <v xml:space="preserve">YEBOAH OLIVIA  </v>
      </c>
      <c r="AN58" s="14">
        <f>Attendance!B58</f>
        <v>62</v>
      </c>
      <c r="AO58" s="15"/>
      <c r="AP58" s="15"/>
      <c r="AQ58" s="22">
        <f t="shared" ca="1" si="43"/>
        <v>45764</v>
      </c>
      <c r="AR58" s="15"/>
      <c r="AT58" s="12">
        <f t="shared" si="45"/>
        <v>17</v>
      </c>
      <c r="AU58" t="str">
        <f>IF(OR(VALUE(RIGHT(AT58,5))={11,12,13}),"th",IF(OR(VALUE(RIGHT(AT58))={1,2,3}),CHOOSE(RIGHT(AT58),"st","nd","rd"),"th"))</f>
        <v>th</v>
      </c>
      <c r="AV58">
        <f t="shared" si="46"/>
        <v>16</v>
      </c>
      <c r="AW58" t="str">
        <f>IF(OR(VALUE(RIGHT(AV58,5))={11,12,13}),"th",IF(OR(VALUE(RIGHT(AV58))={1,2,3}),CHOOSE(RIGHT(AV58),"st","nd","rd"),"th"))</f>
        <v>th</v>
      </c>
      <c r="AX58">
        <f t="shared" si="47"/>
        <v>17</v>
      </c>
      <c r="AY58" t="str">
        <f>IF(OR(VALUE(RIGHT(AX58,5))={11,12,13}),"th",IF(OR(VALUE(RIGHT(AX58))={1,2,3}),CHOOSE(RIGHT(AX58),"st","nd","rd"),"th"))</f>
        <v>th</v>
      </c>
      <c r="AZ58">
        <f t="shared" si="48"/>
        <v>33</v>
      </c>
      <c r="BA58" t="str">
        <f>IF(OR(VALUE(RIGHT(AZ58,5))={11,12,13}),"th",IF(OR(VALUE(RIGHT(AZ58))={1,2,3}),CHOOSE(RIGHT(AZ58),"st","nd","rd"),"th"))</f>
        <v>rd</v>
      </c>
      <c r="BB58">
        <f t="shared" si="49"/>
        <v>45</v>
      </c>
      <c r="BC58" t="str">
        <f>IF(OR(VALUE(RIGHT(BB58,5))={11,12,13}),"th",IF(OR(VALUE(RIGHT(BB58))={1,2,3}),CHOOSE(RIGHT(BB58),"st","nd","rd"),"th"))</f>
        <v>th</v>
      </c>
      <c r="BD58">
        <f t="shared" si="50"/>
        <v>5</v>
      </c>
      <c r="BE58" t="str">
        <f>IF(OR(VALUE(RIGHT(BD58,5))={11,12,13}),"th",IF(OR(VALUE(RIGHT(BD58))={1,2,3}),CHOOSE(RIGHT(BD58),"st","nd","rd"),"th"))</f>
        <v>th</v>
      </c>
      <c r="BF58">
        <f t="shared" si="51"/>
        <v>45</v>
      </c>
      <c r="BG58" t="str">
        <f>IF(OR(VALUE(RIGHT(BF58,5))={11,12,13}),"th",IF(OR(VALUE(RIGHT(BF58))={1,2,3}),CHOOSE(RIGHT(BF58),"st","nd","rd"),"th"))</f>
        <v>th</v>
      </c>
      <c r="BH58">
        <f t="shared" si="52"/>
        <v>18</v>
      </c>
      <c r="BI58" t="str">
        <f>IF(OR(VALUE(RIGHT(BH58,5))={11,12,13}),"th",IF(OR(VALUE(RIGHT(BH58))={1,2,3}),CHOOSE(RIGHT(BH58),"st","nd","rd"),"th"))</f>
        <v>th</v>
      </c>
      <c r="BJ58">
        <f t="shared" si="53"/>
        <v>24</v>
      </c>
      <c r="BK58" t="str" cm="1">
        <f t="array" ref="BK58">IF(OR(VALUE(RIGHT(BJ58,5))={11,12,13}),"th",IF(OR(VALUE(RIGHT(BJ58))={1,2,3}),CHOOSE(RIGHT(BJ58),"st","nd","rd"),"th"))</f>
        <v>th</v>
      </c>
      <c r="BL58">
        <f t="shared" si="54"/>
        <v>32</v>
      </c>
      <c r="BM58" t="str">
        <f>IF(OR(VALUE(RIGHT(BL58,5))={11,12,13}),"th",IF(OR(VALUE(RIGHT(BL58))={1,2,3}),CHOOSE(RIGHT(BL58),"st","nd","rd"),"th"))</f>
        <v>nd</v>
      </c>
      <c r="BO58" s="30">
        <f t="shared" si="44"/>
        <v>496.5</v>
      </c>
      <c r="BP58">
        <f t="shared" si="55"/>
        <v>21</v>
      </c>
      <c r="BQ58" t="str">
        <f>IF(OR(VALUE(RIGHT(BP58,5))={11,12,13}),"th",IF(OR(VALUE(RIGHT(BP58))={1,2,3}),CHOOSE(RIGHT(BP58),"st","nd","rd"),"th"))</f>
        <v>st</v>
      </c>
      <c r="BS58" s="27">
        <f>ClassScore!M58</f>
        <v>45</v>
      </c>
      <c r="BT58" s="27">
        <f>ClassScore!N58</f>
        <v>42</v>
      </c>
      <c r="BU58" s="27">
        <f>ClassScore!O58</f>
        <v>29</v>
      </c>
      <c r="BV58" s="27">
        <f>ClassScore!P58</f>
        <v>24</v>
      </c>
      <c r="BW58" s="27">
        <f>ClassScore!Q58</f>
        <v>30.5</v>
      </c>
      <c r="BX58" s="27">
        <f>ClassScore!R58</f>
        <v>30.5</v>
      </c>
      <c r="BY58" s="27">
        <f>ClassScore!S58</f>
        <v>12.5</v>
      </c>
      <c r="BZ58" s="27">
        <f>ClassScore!T58</f>
        <v>21.5</v>
      </c>
      <c r="CA58" s="27">
        <f>ClassScore!U58</f>
        <v>20</v>
      </c>
      <c r="CB58" s="27">
        <f>ClassScore!V58</f>
        <v>32</v>
      </c>
      <c r="CD58" s="27">
        <f>Examscore!M58</f>
        <v>18.5</v>
      </c>
      <c r="CE58" s="27">
        <f>Examscore!N58</f>
        <v>18.5</v>
      </c>
      <c r="CF58" s="27">
        <f>Examscore!O58</f>
        <v>39.5</v>
      </c>
      <c r="CG58" s="27">
        <f>Examscore!P58</f>
        <v>13.5</v>
      </c>
      <c r="CH58" s="27">
        <f>Examscore!Q58</f>
        <v>14.5</v>
      </c>
      <c r="CI58" s="27">
        <f>Examscore!R58</f>
        <v>16.5</v>
      </c>
      <c r="CJ58" s="27">
        <f>Examscore!S58</f>
        <v>19.5</v>
      </c>
      <c r="CK58" s="27">
        <f>Examscore!T58</f>
        <v>21</v>
      </c>
      <c r="CL58" s="27">
        <f>Examscore!U58</f>
        <v>25.5</v>
      </c>
      <c r="CM58" s="27">
        <f>Examscore!V58</f>
        <v>22.5</v>
      </c>
    </row>
    <row r="59" spans="1:91" ht="15.75" x14ac:dyDescent="0.25">
      <c r="A59" s="5">
        <f>Student!A59</f>
        <v>768</v>
      </c>
      <c r="B59" s="21" t="str">
        <f>Student!B59</f>
        <v>BRAHENE PRISCILLA</v>
      </c>
      <c r="C59" s="28">
        <f>ClassScore!M59+Examscore!M59</f>
        <v>0</v>
      </c>
      <c r="D59" s="28">
        <f>ClassScore!N59+Examscore!N59</f>
        <v>0</v>
      </c>
      <c r="E59" s="28">
        <f>ClassScore!O59+Examscore!O59</f>
        <v>0</v>
      </c>
      <c r="F59" s="28">
        <f>ClassScore!P59+Examscore!P59</f>
        <v>0</v>
      </c>
      <c r="G59" s="28">
        <f>ClassScore!Q59+Examscore!Q59</f>
        <v>0</v>
      </c>
      <c r="H59" s="28">
        <f>ClassScore!R59+Examscore!R59</f>
        <v>0</v>
      </c>
      <c r="I59" s="28">
        <f>ClassScore!S59+Examscore!S59</f>
        <v>0</v>
      </c>
      <c r="J59" s="28">
        <f>ClassScore!T59+Examscore!T59</f>
        <v>0</v>
      </c>
      <c r="K59" s="28">
        <f>ClassScore!U59+Examscore!U59</f>
        <v>0</v>
      </c>
      <c r="L59" s="28">
        <f>ClassScore!V59+Examscore!V59</f>
        <v>0</v>
      </c>
      <c r="M59" s="5" t="str">
        <f t="shared" si="22"/>
        <v>--</v>
      </c>
      <c r="N59" s="5" t="str">
        <f t="shared" si="23"/>
        <v>--</v>
      </c>
      <c r="O59" s="5" t="str">
        <f t="shared" si="24"/>
        <v>--</v>
      </c>
      <c r="P59" s="5" t="str">
        <f t="shared" si="25"/>
        <v>--</v>
      </c>
      <c r="Q59" s="5" t="str">
        <f t="shared" si="26"/>
        <v>--</v>
      </c>
      <c r="R59" s="5" t="str">
        <f t="shared" si="27"/>
        <v>--</v>
      </c>
      <c r="S59" s="5" t="str">
        <f t="shared" si="28"/>
        <v>--</v>
      </c>
      <c r="T59" s="5" t="str">
        <f t="shared" si="29"/>
        <v>--</v>
      </c>
      <c r="U59" s="5" t="str">
        <f t="shared" si="30"/>
        <v>--</v>
      </c>
      <c r="V59" s="5" t="str">
        <f t="shared" si="31"/>
        <v>--</v>
      </c>
      <c r="W59" s="5" t="str">
        <f t="shared" si="32"/>
        <v>--</v>
      </c>
      <c r="X59" s="5" t="str">
        <f t="shared" si="33"/>
        <v>--</v>
      </c>
      <c r="Y59" s="5" t="str">
        <f t="shared" si="34"/>
        <v>--</v>
      </c>
      <c r="Z59" s="5" t="str">
        <f t="shared" si="35"/>
        <v>--</v>
      </c>
      <c r="AA59" s="5" t="str">
        <f t="shared" si="36"/>
        <v>--</v>
      </c>
      <c r="AB59" s="5" t="str">
        <f t="shared" si="37"/>
        <v>--</v>
      </c>
      <c r="AC59" s="5" t="str">
        <f t="shared" si="38"/>
        <v>--</v>
      </c>
      <c r="AD59" s="5" t="str">
        <f t="shared" si="39"/>
        <v>--</v>
      </c>
      <c r="AE59" s="5" t="str">
        <f t="shared" si="40"/>
        <v>--</v>
      </c>
      <c r="AF59" s="5" t="str">
        <f t="shared" si="41"/>
        <v>--</v>
      </c>
      <c r="AG59" s="34">
        <f>SUM(C59,D59,F59,G59)+LARGE((E59,H59,I59,J59,K59,L59),1)+LARGE((E59,H59,I59,J59,K59,L59),2)</f>
        <v>0</v>
      </c>
      <c r="AH59" s="5" t="e">
        <f>SUM(W59,X59,Z59,AA59)+SMALL((Y59,AB59,AC59,AD59,AE59,AF59),1)+SMALL((Y59,AB59,AC59,AD59,AE59,AF59),2)</f>
        <v>#NUM!</v>
      </c>
      <c r="AI59" s="15" t="str">
        <f>'Teacher''s Remarks'!M60</f>
        <v>PATIENCE AFUA MENSAH</v>
      </c>
      <c r="AJ59" s="15"/>
      <c r="AK59" s="15"/>
      <c r="AL59" s="15"/>
      <c r="AM59" s="13" t="str">
        <f t="shared" si="42"/>
        <v>BRAHENE PRISCILLA</v>
      </c>
      <c r="AN59" s="14">
        <f>Attendance!B59</f>
        <v>0</v>
      </c>
      <c r="AO59" s="15"/>
      <c r="AP59" s="15"/>
      <c r="AQ59" s="22">
        <f t="shared" ca="1" si="43"/>
        <v>45764</v>
      </c>
      <c r="AR59" s="15"/>
      <c r="AT59" s="12">
        <f t="shared" si="45"/>
        <v>56</v>
      </c>
      <c r="AU59" t="str">
        <f>IF(OR(VALUE(RIGHT(AT59,5))={11,12,13}),"th",IF(OR(VALUE(RIGHT(AT59))={1,2,3}),CHOOSE(RIGHT(AT59),"st","nd","rd"),"th"))</f>
        <v>th</v>
      </c>
      <c r="AV59">
        <f t="shared" si="46"/>
        <v>56</v>
      </c>
      <c r="AW59" t="str">
        <f>IF(OR(VALUE(RIGHT(AV59,5))={11,12,13}),"th",IF(OR(VALUE(RIGHT(AV59))={1,2,3}),CHOOSE(RIGHT(AV59),"st","nd","rd"),"th"))</f>
        <v>th</v>
      </c>
      <c r="AX59">
        <f t="shared" si="47"/>
        <v>56</v>
      </c>
      <c r="AY59" t="str">
        <f>IF(OR(VALUE(RIGHT(AX59,5))={11,12,13}),"th",IF(OR(VALUE(RIGHT(AX59))={1,2,3}),CHOOSE(RIGHT(AX59),"st","nd","rd"),"th"))</f>
        <v>th</v>
      </c>
      <c r="AZ59">
        <f t="shared" si="48"/>
        <v>56</v>
      </c>
      <c r="BA59" t="str">
        <f>IF(OR(VALUE(RIGHT(AZ59,5))={11,12,13}),"th",IF(OR(VALUE(RIGHT(AZ59))={1,2,3}),CHOOSE(RIGHT(AZ59),"st","nd","rd"),"th"))</f>
        <v>th</v>
      </c>
      <c r="BB59">
        <f t="shared" si="49"/>
        <v>56</v>
      </c>
      <c r="BC59" t="str">
        <f>IF(OR(VALUE(RIGHT(BB59,5))={11,12,13}),"th",IF(OR(VALUE(RIGHT(BB59))={1,2,3}),CHOOSE(RIGHT(BB59),"st","nd","rd"),"th"))</f>
        <v>th</v>
      </c>
      <c r="BD59">
        <f t="shared" si="50"/>
        <v>56</v>
      </c>
      <c r="BE59" t="str">
        <f>IF(OR(VALUE(RIGHT(BD59,5))={11,12,13}),"th",IF(OR(VALUE(RIGHT(BD59))={1,2,3}),CHOOSE(RIGHT(BD59),"st","nd","rd"),"th"))</f>
        <v>th</v>
      </c>
      <c r="BF59">
        <f t="shared" si="51"/>
        <v>56</v>
      </c>
      <c r="BG59" t="str">
        <f>IF(OR(VALUE(RIGHT(BF59,5))={11,12,13}),"th",IF(OR(VALUE(RIGHT(BF59))={1,2,3}),CHOOSE(RIGHT(BF59),"st","nd","rd"),"th"))</f>
        <v>th</v>
      </c>
      <c r="BH59">
        <f t="shared" si="52"/>
        <v>56</v>
      </c>
      <c r="BI59" t="str">
        <f>IF(OR(VALUE(RIGHT(BH59,5))={11,12,13}),"th",IF(OR(VALUE(RIGHT(BH59))={1,2,3}),CHOOSE(RIGHT(BH59),"st","nd","rd"),"th"))</f>
        <v>th</v>
      </c>
      <c r="BJ59">
        <f t="shared" si="53"/>
        <v>56</v>
      </c>
      <c r="BK59" t="str" cm="1">
        <f t="array" ref="BK59">IF(OR(VALUE(RIGHT(BJ59,5))={11,12,13}),"th",IF(OR(VALUE(RIGHT(BJ59))={1,2,3}),CHOOSE(RIGHT(BJ59),"st","nd","rd"),"th"))</f>
        <v>th</v>
      </c>
      <c r="BL59">
        <f t="shared" si="54"/>
        <v>57</v>
      </c>
      <c r="BM59" t="str">
        <f>IF(OR(VALUE(RIGHT(BL59,5))={11,12,13}),"th",IF(OR(VALUE(RIGHT(BL59))={1,2,3}),CHOOSE(RIGHT(BL59),"st","nd","rd"),"th"))</f>
        <v>th</v>
      </c>
      <c r="BO59" s="30">
        <f t="shared" si="44"/>
        <v>0</v>
      </c>
      <c r="BP59">
        <f t="shared" si="55"/>
        <v>57</v>
      </c>
      <c r="BQ59" t="str">
        <f>IF(OR(VALUE(RIGHT(BP59,5))={11,12,13}),"th",IF(OR(VALUE(RIGHT(BP59))={1,2,3}),CHOOSE(RIGHT(BP59),"st","nd","rd"),"th"))</f>
        <v>th</v>
      </c>
      <c r="BS59" s="27">
        <f>ClassScore!M59</f>
        <v>0</v>
      </c>
      <c r="BT59" s="27">
        <f>ClassScore!N59</f>
        <v>0</v>
      </c>
      <c r="BU59" s="27">
        <f>ClassScore!O59</f>
        <v>0</v>
      </c>
      <c r="BV59" s="27">
        <f>ClassScore!P59</f>
        <v>0</v>
      </c>
      <c r="BW59" s="27">
        <f>ClassScore!Q59</f>
        <v>0</v>
      </c>
      <c r="BX59" s="27">
        <f>ClassScore!R59</f>
        <v>0</v>
      </c>
      <c r="BY59" s="27">
        <f>ClassScore!S59</f>
        <v>0</v>
      </c>
      <c r="BZ59" s="27">
        <f>ClassScore!T59</f>
        <v>0</v>
      </c>
      <c r="CA59" s="27">
        <f>ClassScore!U59</f>
        <v>0</v>
      </c>
      <c r="CB59" s="27">
        <f>ClassScore!V59</f>
        <v>0</v>
      </c>
      <c r="CD59" s="27">
        <f>Examscore!M59</f>
        <v>0</v>
      </c>
      <c r="CE59" s="27">
        <f>Examscore!N59</f>
        <v>0</v>
      </c>
      <c r="CF59" s="27">
        <f>Examscore!O59</f>
        <v>0</v>
      </c>
      <c r="CG59" s="27">
        <f>Examscore!P59</f>
        <v>0</v>
      </c>
      <c r="CH59" s="27">
        <f>Examscore!Q59</f>
        <v>0</v>
      </c>
      <c r="CI59" s="27">
        <f>Examscore!R59</f>
        <v>0</v>
      </c>
      <c r="CJ59" s="27">
        <f>Examscore!S59</f>
        <v>0</v>
      </c>
      <c r="CK59" s="27">
        <f>Examscore!T59</f>
        <v>0</v>
      </c>
      <c r="CL59" s="27">
        <f>Examscore!U59</f>
        <v>0</v>
      </c>
      <c r="CM59" s="27">
        <f>Examscore!V59</f>
        <v>0</v>
      </c>
    </row>
    <row r="60" spans="1:91" ht="15.75" x14ac:dyDescent="0.25">
      <c r="A60" s="5">
        <f>Student!A60</f>
        <v>0</v>
      </c>
      <c r="B60" s="21">
        <f>Student!B60</f>
        <v>0</v>
      </c>
      <c r="C60" s="28">
        <f>ClassScore!M60+Examscore!M60</f>
        <v>0</v>
      </c>
      <c r="D60" s="28">
        <f>ClassScore!N60+Examscore!N60</f>
        <v>0</v>
      </c>
      <c r="E60" s="28">
        <f>ClassScore!O60+Examscore!O60</f>
        <v>0</v>
      </c>
      <c r="F60" s="28">
        <f>ClassScore!P60+Examscore!P60</f>
        <v>0</v>
      </c>
      <c r="G60" s="28">
        <f>ClassScore!Q60+Examscore!Q60</f>
        <v>0</v>
      </c>
      <c r="H60" s="28">
        <f>ClassScore!R60+Examscore!R60</f>
        <v>0</v>
      </c>
      <c r="I60" s="28">
        <f>ClassScore!S60+Examscore!S60</f>
        <v>0</v>
      </c>
      <c r="J60" s="28">
        <f>ClassScore!T60+Examscore!T60</f>
        <v>0</v>
      </c>
      <c r="K60" s="28">
        <f>ClassScore!U60+Examscore!U60</f>
        <v>0</v>
      </c>
      <c r="L60" s="28">
        <f>ClassScore!V60+Examscore!V60</f>
        <v>0</v>
      </c>
      <c r="M60" s="5" t="str">
        <f t="shared" si="22"/>
        <v>--</v>
      </c>
      <c r="N60" s="5" t="str">
        <f t="shared" si="23"/>
        <v>--</v>
      </c>
      <c r="O60" s="5" t="str">
        <f t="shared" si="24"/>
        <v>--</v>
      </c>
      <c r="P60" s="5" t="str">
        <f t="shared" si="25"/>
        <v>--</v>
      </c>
      <c r="Q60" s="5" t="str">
        <f t="shared" si="26"/>
        <v>--</v>
      </c>
      <c r="R60" s="5" t="str">
        <f t="shared" si="27"/>
        <v>--</v>
      </c>
      <c r="S60" s="5" t="str">
        <f t="shared" si="28"/>
        <v>--</v>
      </c>
      <c r="T60" s="5" t="str">
        <f t="shared" si="29"/>
        <v>--</v>
      </c>
      <c r="U60" s="5" t="str">
        <f t="shared" si="30"/>
        <v>--</v>
      </c>
      <c r="V60" s="5" t="str">
        <f t="shared" si="31"/>
        <v>--</v>
      </c>
      <c r="W60" s="5" t="str">
        <f t="shared" si="32"/>
        <v>--</v>
      </c>
      <c r="X60" s="5" t="str">
        <f t="shared" si="33"/>
        <v>--</v>
      </c>
      <c r="Y60" s="5" t="str">
        <f t="shared" si="34"/>
        <v>--</v>
      </c>
      <c r="Z60" s="5" t="str">
        <f t="shared" si="35"/>
        <v>--</v>
      </c>
      <c r="AA60" s="5" t="str">
        <f t="shared" si="36"/>
        <v>--</v>
      </c>
      <c r="AB60" s="5" t="str">
        <f t="shared" si="37"/>
        <v>--</v>
      </c>
      <c r="AC60" s="5" t="str">
        <f t="shared" si="38"/>
        <v>--</v>
      </c>
      <c r="AD60" s="5" t="str">
        <f t="shared" si="39"/>
        <v>--</v>
      </c>
      <c r="AE60" s="5" t="str">
        <f t="shared" si="40"/>
        <v>--</v>
      </c>
      <c r="AF60" s="5" t="str">
        <f t="shared" si="41"/>
        <v>--</v>
      </c>
      <c r="AG60" s="34">
        <f>SUM(C60,D60,F60,G60)+LARGE((E60,H60,I60,J60,K60,L60),1)+LARGE((E60,H60,I60,J60,K60,L60),2)</f>
        <v>0</v>
      </c>
      <c r="AH60" s="5" t="e">
        <f>SUM(W60,X60,Z60,AA60)+SMALL((Y60,AB60,AC60,AD60,AE60,AF60),1)+SMALL((Y60,AB60,AC60,AD60,AE60,AF60),2)</f>
        <v>#NUM!</v>
      </c>
      <c r="AI60" s="15">
        <f>'Teacher''s Remarks'!M61</f>
        <v>0</v>
      </c>
      <c r="AJ60" s="15">
        <f>'Teacher''s Remarks'!N61</f>
        <v>0</v>
      </c>
      <c r="AK60" s="15">
        <f>'Teacher''s Remarks'!O61</f>
        <v>0</v>
      </c>
      <c r="AL60" s="15">
        <f>'Teacher''s Remarks'!P61</f>
        <v>0</v>
      </c>
      <c r="AM60" s="13">
        <f t="shared" si="42"/>
        <v>0</v>
      </c>
      <c r="AN60" s="14">
        <f>Attendance!B60</f>
        <v>0</v>
      </c>
      <c r="AO60" s="15"/>
      <c r="AP60" s="15"/>
      <c r="AQ60" s="22">
        <f t="shared" ca="1" si="43"/>
        <v>45764</v>
      </c>
      <c r="AR60" s="15"/>
      <c r="AT60" s="12">
        <f t="shared" si="45"/>
        <v>56</v>
      </c>
      <c r="AU60" t="str">
        <f>IF(OR(VALUE(RIGHT(AT60,5))={11,12,13}),"th",IF(OR(VALUE(RIGHT(AT60))={1,2,3}),CHOOSE(RIGHT(AT60),"st","nd","rd"),"th"))</f>
        <v>th</v>
      </c>
      <c r="AV60">
        <f t="shared" si="46"/>
        <v>56</v>
      </c>
      <c r="AW60" t="str">
        <f>IF(OR(VALUE(RIGHT(AV60,5))={11,12,13}),"th",IF(OR(VALUE(RIGHT(AV60))={1,2,3}),CHOOSE(RIGHT(AV60),"st","nd","rd"),"th"))</f>
        <v>th</v>
      </c>
      <c r="AX60">
        <f t="shared" si="47"/>
        <v>56</v>
      </c>
      <c r="AY60" t="str">
        <f>IF(OR(VALUE(RIGHT(AX60,5))={11,12,13}),"th",IF(OR(VALUE(RIGHT(AX60))={1,2,3}),CHOOSE(RIGHT(AX60),"st","nd","rd"),"th"))</f>
        <v>th</v>
      </c>
      <c r="AZ60">
        <f t="shared" si="48"/>
        <v>56</v>
      </c>
      <c r="BA60" t="str">
        <f>IF(OR(VALUE(RIGHT(AZ60,5))={11,12,13}),"th",IF(OR(VALUE(RIGHT(AZ60))={1,2,3}),CHOOSE(RIGHT(AZ60),"st","nd","rd"),"th"))</f>
        <v>th</v>
      </c>
      <c r="BB60">
        <f t="shared" si="49"/>
        <v>56</v>
      </c>
      <c r="BC60" t="str">
        <f>IF(OR(VALUE(RIGHT(BB60,5))={11,12,13}),"th",IF(OR(VALUE(RIGHT(BB60))={1,2,3}),CHOOSE(RIGHT(BB60),"st","nd","rd"),"th"))</f>
        <v>th</v>
      </c>
      <c r="BD60">
        <f t="shared" si="50"/>
        <v>56</v>
      </c>
      <c r="BE60" t="str">
        <f>IF(OR(VALUE(RIGHT(BD60,5))={11,12,13}),"th",IF(OR(VALUE(RIGHT(BD60))={1,2,3}),CHOOSE(RIGHT(BD60),"st","nd","rd"),"th"))</f>
        <v>th</v>
      </c>
      <c r="BF60">
        <f t="shared" si="51"/>
        <v>56</v>
      </c>
      <c r="BG60" t="str">
        <f>IF(OR(VALUE(RIGHT(BF60,5))={11,12,13}),"th",IF(OR(VALUE(RIGHT(BF60))={1,2,3}),CHOOSE(RIGHT(BF60),"st","nd","rd"),"th"))</f>
        <v>th</v>
      </c>
      <c r="BH60">
        <f t="shared" si="52"/>
        <v>56</v>
      </c>
      <c r="BI60" t="str">
        <f>IF(OR(VALUE(RIGHT(BH60,5))={11,12,13}),"th",IF(OR(VALUE(RIGHT(BH60))={1,2,3}),CHOOSE(RIGHT(BH60),"st","nd","rd"),"th"))</f>
        <v>th</v>
      </c>
      <c r="BJ60">
        <f t="shared" si="53"/>
        <v>56</v>
      </c>
      <c r="BK60" t="str" cm="1">
        <f t="array" ref="BK60">IF(OR(VALUE(RIGHT(BJ60,5))={11,12,13}),"th",IF(OR(VALUE(RIGHT(BJ60))={1,2,3}),CHOOSE(RIGHT(BJ60),"st","nd","rd"),"th"))</f>
        <v>th</v>
      </c>
      <c r="BL60">
        <f t="shared" si="54"/>
        <v>57</v>
      </c>
      <c r="BM60" t="str">
        <f>IF(OR(VALUE(RIGHT(BL60,5))={11,12,13}),"th",IF(OR(VALUE(RIGHT(BL60))={1,2,3}),CHOOSE(RIGHT(BL60),"st","nd","rd"),"th"))</f>
        <v>th</v>
      </c>
      <c r="BO60" s="30">
        <f t="shared" si="44"/>
        <v>0</v>
      </c>
      <c r="BP60">
        <f t="shared" si="55"/>
        <v>57</v>
      </c>
      <c r="BQ60" t="str">
        <f>IF(OR(VALUE(RIGHT(BP60,5))={11,12,13}),"th",IF(OR(VALUE(RIGHT(BP60))={1,2,3}),CHOOSE(RIGHT(BP60),"st","nd","rd"),"th"))</f>
        <v>th</v>
      </c>
      <c r="BS60" s="27">
        <f>ClassScore!M60</f>
        <v>0</v>
      </c>
      <c r="BT60" s="27">
        <f>ClassScore!N60</f>
        <v>0</v>
      </c>
      <c r="BU60" s="27">
        <f>ClassScore!O60</f>
        <v>0</v>
      </c>
      <c r="BV60" s="27">
        <f>ClassScore!P60</f>
        <v>0</v>
      </c>
      <c r="BW60" s="27">
        <f>ClassScore!Q60</f>
        <v>0</v>
      </c>
      <c r="BX60" s="27">
        <f>ClassScore!R60</f>
        <v>0</v>
      </c>
      <c r="BY60" s="27">
        <f>ClassScore!S60</f>
        <v>0</v>
      </c>
      <c r="BZ60" s="27">
        <f>ClassScore!T60</f>
        <v>0</v>
      </c>
      <c r="CA60" s="27">
        <f>ClassScore!U60</f>
        <v>0</v>
      </c>
      <c r="CB60" s="27">
        <f>ClassScore!V60</f>
        <v>0</v>
      </c>
      <c r="CD60" s="27">
        <f>Examscore!M60</f>
        <v>0</v>
      </c>
      <c r="CE60" s="27">
        <f>Examscore!N60</f>
        <v>0</v>
      </c>
      <c r="CF60" s="27">
        <f>Examscore!O60</f>
        <v>0</v>
      </c>
      <c r="CG60" s="27">
        <f>Examscore!P60</f>
        <v>0</v>
      </c>
      <c r="CH60" s="27">
        <f>Examscore!Q60</f>
        <v>0</v>
      </c>
      <c r="CI60" s="27">
        <f>Examscore!R60</f>
        <v>0</v>
      </c>
      <c r="CJ60" s="27">
        <f>Examscore!S60</f>
        <v>0</v>
      </c>
      <c r="CK60" s="27">
        <f>Examscore!T60</f>
        <v>0</v>
      </c>
      <c r="CL60" s="27">
        <f>Examscore!U60</f>
        <v>0</v>
      </c>
      <c r="CM60" s="27">
        <f>Examscore!V60</f>
        <v>0</v>
      </c>
    </row>
    <row r="61" spans="1:91" ht="15.75" x14ac:dyDescent="0.25">
      <c r="A61" s="5">
        <f>Student!A61</f>
        <v>0</v>
      </c>
      <c r="B61" s="21">
        <f>Student!B61</f>
        <v>0</v>
      </c>
      <c r="C61" s="28">
        <f>ClassScore!M61+Examscore!M61</f>
        <v>0</v>
      </c>
      <c r="D61" s="28">
        <f>ClassScore!N61+Examscore!N61</f>
        <v>0</v>
      </c>
      <c r="E61" s="28">
        <f>ClassScore!O61+Examscore!O61</f>
        <v>0</v>
      </c>
      <c r="F61" s="28">
        <f>ClassScore!P61+Examscore!P61</f>
        <v>0</v>
      </c>
      <c r="G61" s="28">
        <f>ClassScore!Q61+Examscore!Q61</f>
        <v>0</v>
      </c>
      <c r="H61" s="28">
        <f>ClassScore!R61+Examscore!R61</f>
        <v>0</v>
      </c>
      <c r="I61" s="28">
        <f>ClassScore!S61+Examscore!S61</f>
        <v>0</v>
      </c>
      <c r="J61" s="28">
        <f>ClassScore!T61+Examscore!T61</f>
        <v>0</v>
      </c>
      <c r="K61" s="28">
        <f>ClassScore!U61+Examscore!U61</f>
        <v>0</v>
      </c>
      <c r="L61" s="28">
        <f>ClassScore!V61+Examscore!V61</f>
        <v>0</v>
      </c>
      <c r="M61" s="5" t="str">
        <f t="shared" si="22"/>
        <v>--</v>
      </c>
      <c r="N61" s="5" t="str">
        <f t="shared" si="23"/>
        <v>--</v>
      </c>
      <c r="O61" s="5" t="str">
        <f t="shared" si="24"/>
        <v>--</v>
      </c>
      <c r="P61" s="5" t="str">
        <f t="shared" si="25"/>
        <v>--</v>
      </c>
      <c r="Q61" s="5" t="str">
        <f t="shared" si="26"/>
        <v>--</v>
      </c>
      <c r="R61" s="5" t="str">
        <f t="shared" si="27"/>
        <v>--</v>
      </c>
      <c r="S61" s="5" t="str">
        <f t="shared" si="28"/>
        <v>--</v>
      </c>
      <c r="T61" s="5" t="str">
        <f t="shared" si="29"/>
        <v>--</v>
      </c>
      <c r="U61" s="5" t="str">
        <f t="shared" si="30"/>
        <v>--</v>
      </c>
      <c r="V61" s="5" t="str">
        <f t="shared" si="31"/>
        <v>--</v>
      </c>
      <c r="W61" s="5" t="str">
        <f t="shared" si="32"/>
        <v>--</v>
      </c>
      <c r="X61" s="5" t="str">
        <f t="shared" si="33"/>
        <v>--</v>
      </c>
      <c r="Y61" s="5" t="str">
        <f t="shared" si="34"/>
        <v>--</v>
      </c>
      <c r="Z61" s="5" t="str">
        <f t="shared" si="35"/>
        <v>--</v>
      </c>
      <c r="AA61" s="5" t="str">
        <f t="shared" si="36"/>
        <v>--</v>
      </c>
      <c r="AB61" s="5" t="str">
        <f t="shared" si="37"/>
        <v>--</v>
      </c>
      <c r="AC61" s="5" t="str">
        <f t="shared" si="38"/>
        <v>--</v>
      </c>
      <c r="AD61" s="5" t="str">
        <f t="shared" si="39"/>
        <v>--</v>
      </c>
      <c r="AE61" s="5" t="str">
        <f t="shared" si="40"/>
        <v>--</v>
      </c>
      <c r="AF61" s="5" t="str">
        <f t="shared" si="41"/>
        <v>--</v>
      </c>
      <c r="AG61" s="34">
        <f>SUM(C61,D61,F61,G61)+LARGE((E61,H61,I61,J61,K61,L61),1)+LARGE((E61,H61,I61,J61,K61,L61),2)</f>
        <v>0</v>
      </c>
      <c r="AH61" s="5" t="e">
        <f>SUM(W61,X61,Z61,AA61)+SMALL((Y61,AB61,AC61,AD61,AE61,AF61),1)+SMALL((Y61,AB61,AC61,AD61,AE61,AF61),2)</f>
        <v>#NUM!</v>
      </c>
      <c r="AI61" s="15">
        <f>'Teacher''s Remarks'!M62</f>
        <v>0</v>
      </c>
      <c r="AJ61" s="15">
        <f>'Teacher''s Remarks'!N62</f>
        <v>0</v>
      </c>
      <c r="AK61" s="15">
        <f>'Teacher''s Remarks'!O62</f>
        <v>0</v>
      </c>
      <c r="AL61" s="15">
        <f>'Teacher''s Remarks'!P62</f>
        <v>0</v>
      </c>
      <c r="AM61" s="13">
        <f t="shared" si="42"/>
        <v>0</v>
      </c>
      <c r="AN61" s="14">
        <f>Attendance!B61</f>
        <v>0</v>
      </c>
      <c r="AO61" s="15"/>
      <c r="AP61" s="15"/>
      <c r="AQ61" s="22">
        <f t="shared" ca="1" si="43"/>
        <v>45764</v>
      </c>
      <c r="AR61" s="15"/>
      <c r="AT61" s="12">
        <f t="shared" si="45"/>
        <v>56</v>
      </c>
      <c r="AU61" t="str">
        <f>IF(OR(VALUE(RIGHT(AT61,5))={11,12,13}),"th",IF(OR(VALUE(RIGHT(AT61))={1,2,3}),CHOOSE(RIGHT(AT61),"st","nd","rd"),"th"))</f>
        <v>th</v>
      </c>
      <c r="AV61">
        <f t="shared" si="46"/>
        <v>56</v>
      </c>
      <c r="AW61" t="str">
        <f>IF(OR(VALUE(RIGHT(AV61,5))={11,12,13}),"th",IF(OR(VALUE(RIGHT(AV61))={1,2,3}),CHOOSE(RIGHT(AV61),"st","nd","rd"),"th"))</f>
        <v>th</v>
      </c>
      <c r="AX61">
        <f t="shared" si="47"/>
        <v>56</v>
      </c>
      <c r="AY61" t="str">
        <f>IF(OR(VALUE(RIGHT(AX61,5))={11,12,13}),"th",IF(OR(VALUE(RIGHT(AX61))={1,2,3}),CHOOSE(RIGHT(AX61),"st","nd","rd"),"th"))</f>
        <v>th</v>
      </c>
      <c r="AZ61">
        <f t="shared" si="48"/>
        <v>56</v>
      </c>
      <c r="BA61" t="str">
        <f>IF(OR(VALUE(RIGHT(AZ61,5))={11,12,13}),"th",IF(OR(VALUE(RIGHT(AZ61))={1,2,3}),CHOOSE(RIGHT(AZ61),"st","nd","rd"),"th"))</f>
        <v>th</v>
      </c>
      <c r="BB61">
        <f t="shared" si="49"/>
        <v>56</v>
      </c>
      <c r="BC61" t="str">
        <f>IF(OR(VALUE(RIGHT(BB61,5))={11,12,13}),"th",IF(OR(VALUE(RIGHT(BB61))={1,2,3}),CHOOSE(RIGHT(BB61),"st","nd","rd"),"th"))</f>
        <v>th</v>
      </c>
      <c r="BD61">
        <f t="shared" si="50"/>
        <v>56</v>
      </c>
      <c r="BE61" t="str">
        <f>IF(OR(VALUE(RIGHT(BD61,5))={11,12,13}),"th",IF(OR(VALUE(RIGHT(BD61))={1,2,3}),CHOOSE(RIGHT(BD61),"st","nd","rd"),"th"))</f>
        <v>th</v>
      </c>
      <c r="BF61">
        <f t="shared" si="51"/>
        <v>56</v>
      </c>
      <c r="BG61" t="str">
        <f>IF(OR(VALUE(RIGHT(BF61,5))={11,12,13}),"th",IF(OR(VALUE(RIGHT(BF61))={1,2,3}),CHOOSE(RIGHT(BF61),"st","nd","rd"),"th"))</f>
        <v>th</v>
      </c>
      <c r="BH61">
        <f t="shared" si="52"/>
        <v>56</v>
      </c>
      <c r="BI61" t="str">
        <f>IF(OR(VALUE(RIGHT(BH61,5))={11,12,13}),"th",IF(OR(VALUE(RIGHT(BH61))={1,2,3}),CHOOSE(RIGHT(BH61),"st","nd","rd"),"th"))</f>
        <v>th</v>
      </c>
      <c r="BJ61">
        <f t="shared" si="53"/>
        <v>56</v>
      </c>
      <c r="BK61" t="str" cm="1">
        <f t="array" ref="BK61">IF(OR(VALUE(RIGHT(BJ61,5))={11,12,13}),"th",IF(OR(VALUE(RIGHT(BJ61))={1,2,3}),CHOOSE(RIGHT(BJ61),"st","nd","rd"),"th"))</f>
        <v>th</v>
      </c>
      <c r="BL61">
        <f t="shared" si="54"/>
        <v>57</v>
      </c>
      <c r="BM61" t="str">
        <f>IF(OR(VALUE(RIGHT(BL61,5))={11,12,13}),"th",IF(OR(VALUE(RIGHT(BL61))={1,2,3}),CHOOSE(RIGHT(BL61),"st","nd","rd"),"th"))</f>
        <v>th</v>
      </c>
      <c r="BO61" s="30">
        <f t="shared" si="44"/>
        <v>0</v>
      </c>
      <c r="BP61">
        <f t="shared" si="55"/>
        <v>57</v>
      </c>
      <c r="BQ61" t="str">
        <f>IF(OR(VALUE(RIGHT(BP61,5))={11,12,13}),"th",IF(OR(VALUE(RIGHT(BP61))={1,2,3}),CHOOSE(RIGHT(BP61),"st","nd","rd"),"th"))</f>
        <v>th</v>
      </c>
      <c r="BS61" s="27">
        <f>ClassScore!M61</f>
        <v>0</v>
      </c>
      <c r="BT61" s="27">
        <f>ClassScore!N61</f>
        <v>0</v>
      </c>
      <c r="BU61" s="27">
        <f>ClassScore!O61</f>
        <v>0</v>
      </c>
      <c r="BV61" s="27">
        <f>ClassScore!P61</f>
        <v>0</v>
      </c>
      <c r="BW61" s="27">
        <f>ClassScore!Q61</f>
        <v>0</v>
      </c>
      <c r="BX61" s="27">
        <f>ClassScore!R61</f>
        <v>0</v>
      </c>
      <c r="BY61" s="27">
        <f>ClassScore!S61</f>
        <v>0</v>
      </c>
      <c r="BZ61" s="27">
        <f>ClassScore!T61</f>
        <v>0</v>
      </c>
      <c r="CA61" s="27">
        <f>ClassScore!U61</f>
        <v>0</v>
      </c>
      <c r="CB61" s="27">
        <f>ClassScore!V61</f>
        <v>0</v>
      </c>
      <c r="CD61" s="27">
        <f>Examscore!M61</f>
        <v>0</v>
      </c>
      <c r="CE61" s="27">
        <f>Examscore!N61</f>
        <v>0</v>
      </c>
      <c r="CF61" s="27">
        <f>Examscore!O61</f>
        <v>0</v>
      </c>
      <c r="CG61" s="27">
        <f>Examscore!P61</f>
        <v>0</v>
      </c>
      <c r="CH61" s="27">
        <f>Examscore!Q61</f>
        <v>0</v>
      </c>
      <c r="CI61" s="27">
        <f>Examscore!R61</f>
        <v>0</v>
      </c>
      <c r="CJ61" s="27">
        <f>Examscore!S61</f>
        <v>0</v>
      </c>
      <c r="CK61" s="27">
        <f>Examscore!T61</f>
        <v>0</v>
      </c>
      <c r="CL61" s="27">
        <f>Examscore!U61</f>
        <v>0</v>
      </c>
      <c r="CM61" s="27">
        <f>Examscore!V61</f>
        <v>0</v>
      </c>
    </row>
    <row r="62" spans="1:91" ht="15.75" x14ac:dyDescent="0.25">
      <c r="A62" s="5">
        <f>Student!A62</f>
        <v>0</v>
      </c>
      <c r="B62" s="21">
        <f>Student!B62</f>
        <v>0</v>
      </c>
      <c r="C62" s="28">
        <f>ClassScore!M62+Examscore!M62</f>
        <v>0</v>
      </c>
      <c r="D62" s="28">
        <f>ClassScore!N62+Examscore!N62</f>
        <v>0</v>
      </c>
      <c r="E62" s="28">
        <f>ClassScore!O62+Examscore!O62</f>
        <v>0</v>
      </c>
      <c r="F62" s="28">
        <f>ClassScore!P62+Examscore!P62</f>
        <v>0</v>
      </c>
      <c r="G62" s="28">
        <f>ClassScore!Q62+Examscore!Q62</f>
        <v>0</v>
      </c>
      <c r="H62" s="28">
        <f>ClassScore!R62+Examscore!R62</f>
        <v>0</v>
      </c>
      <c r="I62" s="28">
        <f>ClassScore!S62+Examscore!S62</f>
        <v>0</v>
      </c>
      <c r="J62" s="28">
        <f>ClassScore!T62+Examscore!T62</f>
        <v>0</v>
      </c>
      <c r="K62" s="28">
        <f>ClassScore!U62+Examscore!U62</f>
        <v>0</v>
      </c>
      <c r="L62" s="28">
        <f>ClassScore!V62+Examscore!V62</f>
        <v>0</v>
      </c>
      <c r="M62" s="5" t="str">
        <f t="shared" si="22"/>
        <v>--</v>
      </c>
      <c r="N62" s="5" t="str">
        <f t="shared" si="23"/>
        <v>--</v>
      </c>
      <c r="O62" s="5" t="str">
        <f t="shared" si="24"/>
        <v>--</v>
      </c>
      <c r="P62" s="5" t="str">
        <f t="shared" si="25"/>
        <v>--</v>
      </c>
      <c r="Q62" s="5" t="str">
        <f t="shared" si="26"/>
        <v>--</v>
      </c>
      <c r="R62" s="5" t="str">
        <f t="shared" si="27"/>
        <v>--</v>
      </c>
      <c r="S62" s="5" t="str">
        <f t="shared" si="28"/>
        <v>--</v>
      </c>
      <c r="T62" s="5" t="str">
        <f t="shared" si="29"/>
        <v>--</v>
      </c>
      <c r="U62" s="5" t="str">
        <f t="shared" si="30"/>
        <v>--</v>
      </c>
      <c r="V62" s="5" t="str">
        <f t="shared" si="31"/>
        <v>--</v>
      </c>
      <c r="W62" s="5" t="str">
        <f t="shared" si="32"/>
        <v>--</v>
      </c>
      <c r="X62" s="5" t="str">
        <f t="shared" si="33"/>
        <v>--</v>
      </c>
      <c r="Y62" s="5" t="str">
        <f t="shared" si="34"/>
        <v>--</v>
      </c>
      <c r="Z62" s="5" t="str">
        <f t="shared" si="35"/>
        <v>--</v>
      </c>
      <c r="AA62" s="5" t="str">
        <f t="shared" si="36"/>
        <v>--</v>
      </c>
      <c r="AB62" s="5" t="str">
        <f t="shared" si="37"/>
        <v>--</v>
      </c>
      <c r="AC62" s="5" t="str">
        <f t="shared" si="38"/>
        <v>--</v>
      </c>
      <c r="AD62" s="5" t="str">
        <f t="shared" si="39"/>
        <v>--</v>
      </c>
      <c r="AE62" s="5" t="str">
        <f t="shared" si="40"/>
        <v>--</v>
      </c>
      <c r="AF62" s="5" t="str">
        <f t="shared" si="41"/>
        <v>--</v>
      </c>
      <c r="AG62" s="34">
        <f>SUM(C62,D62,F62,G62)+LARGE((E62,H62,I62,J62,K62,L62),1)+LARGE((E62,H62,I62,J62,K62,L62),2)</f>
        <v>0</v>
      </c>
      <c r="AH62" s="5" t="e">
        <f>SUM(W62,X62,Z62,AA62)+SMALL((Y62,AB62,AC62,AD62,AE62,AF62),1)+SMALL((Y62,AB62,AC62,AD62,AE62,AF62),2)</f>
        <v>#NUM!</v>
      </c>
      <c r="AI62" s="15">
        <f>'Teacher''s Remarks'!M63</f>
        <v>0</v>
      </c>
      <c r="AJ62" s="15">
        <f>'Teacher''s Remarks'!N63</f>
        <v>0</v>
      </c>
      <c r="AK62" s="15">
        <f>'Teacher''s Remarks'!O63</f>
        <v>0</v>
      </c>
      <c r="AL62" s="15">
        <f>'Teacher''s Remarks'!P63</f>
        <v>0</v>
      </c>
      <c r="AM62" s="13">
        <f t="shared" si="42"/>
        <v>0</v>
      </c>
      <c r="AN62" s="14">
        <f>Attendance!B62</f>
        <v>0</v>
      </c>
      <c r="AO62" s="15"/>
      <c r="AP62" s="15"/>
      <c r="AQ62" s="22">
        <f t="shared" ca="1" si="43"/>
        <v>45764</v>
      </c>
      <c r="AR62" s="15"/>
      <c r="AT62" s="12">
        <f t="shared" si="45"/>
        <v>56</v>
      </c>
      <c r="AU62" t="str">
        <f>IF(OR(VALUE(RIGHT(AT62,5))={11,12,13}),"th",IF(OR(VALUE(RIGHT(AT62))={1,2,3}),CHOOSE(RIGHT(AT62),"st","nd","rd"),"th"))</f>
        <v>th</v>
      </c>
      <c r="AV62">
        <f t="shared" si="46"/>
        <v>56</v>
      </c>
      <c r="AW62" t="str">
        <f>IF(OR(VALUE(RIGHT(AV62,5))={11,12,13}),"th",IF(OR(VALUE(RIGHT(AV62))={1,2,3}),CHOOSE(RIGHT(AV62),"st","nd","rd"),"th"))</f>
        <v>th</v>
      </c>
      <c r="AX62">
        <f t="shared" si="47"/>
        <v>56</v>
      </c>
      <c r="AY62" t="str">
        <f>IF(OR(VALUE(RIGHT(AX62,5))={11,12,13}),"th",IF(OR(VALUE(RIGHT(AX62))={1,2,3}),CHOOSE(RIGHT(AX62),"st","nd","rd"),"th"))</f>
        <v>th</v>
      </c>
      <c r="AZ62">
        <f t="shared" si="48"/>
        <v>56</v>
      </c>
      <c r="BA62" t="str">
        <f>IF(OR(VALUE(RIGHT(AZ62,5))={11,12,13}),"th",IF(OR(VALUE(RIGHT(AZ62))={1,2,3}),CHOOSE(RIGHT(AZ62),"st","nd","rd"),"th"))</f>
        <v>th</v>
      </c>
      <c r="BB62">
        <f t="shared" si="49"/>
        <v>56</v>
      </c>
      <c r="BC62" t="str">
        <f>IF(OR(VALUE(RIGHT(BB62,5))={11,12,13}),"th",IF(OR(VALUE(RIGHT(BB62))={1,2,3}),CHOOSE(RIGHT(BB62),"st","nd","rd"),"th"))</f>
        <v>th</v>
      </c>
      <c r="BD62">
        <f t="shared" si="50"/>
        <v>56</v>
      </c>
      <c r="BE62" t="str">
        <f>IF(OR(VALUE(RIGHT(BD62,5))={11,12,13}),"th",IF(OR(VALUE(RIGHT(BD62))={1,2,3}),CHOOSE(RIGHT(BD62),"st","nd","rd"),"th"))</f>
        <v>th</v>
      </c>
      <c r="BF62">
        <f t="shared" si="51"/>
        <v>56</v>
      </c>
      <c r="BG62" t="str">
        <f>IF(OR(VALUE(RIGHT(BF62,5))={11,12,13}),"th",IF(OR(VALUE(RIGHT(BF62))={1,2,3}),CHOOSE(RIGHT(BF62),"st","nd","rd"),"th"))</f>
        <v>th</v>
      </c>
      <c r="BH62">
        <f t="shared" si="52"/>
        <v>56</v>
      </c>
      <c r="BI62" t="str">
        <f>IF(OR(VALUE(RIGHT(BH62,5))={11,12,13}),"th",IF(OR(VALUE(RIGHT(BH62))={1,2,3}),CHOOSE(RIGHT(BH62),"st","nd","rd"),"th"))</f>
        <v>th</v>
      </c>
      <c r="BJ62">
        <f t="shared" si="53"/>
        <v>56</v>
      </c>
      <c r="BK62" t="str" cm="1">
        <f t="array" ref="BK62">IF(OR(VALUE(RIGHT(BJ62,5))={11,12,13}),"th",IF(OR(VALUE(RIGHT(BJ62))={1,2,3}),CHOOSE(RIGHT(BJ62),"st","nd","rd"),"th"))</f>
        <v>th</v>
      </c>
      <c r="BL62">
        <f t="shared" si="54"/>
        <v>57</v>
      </c>
      <c r="BM62" t="str">
        <f>IF(OR(VALUE(RIGHT(BL62,5))={11,12,13}),"th",IF(OR(VALUE(RIGHT(BL62))={1,2,3}),CHOOSE(RIGHT(BL62),"st","nd","rd"),"th"))</f>
        <v>th</v>
      </c>
      <c r="BO62" s="30">
        <f t="shared" si="44"/>
        <v>0</v>
      </c>
      <c r="BP62">
        <f t="shared" si="55"/>
        <v>57</v>
      </c>
      <c r="BQ62" t="str">
        <f>IF(OR(VALUE(RIGHT(BP62,5))={11,12,13}),"th",IF(OR(VALUE(RIGHT(BP62))={1,2,3}),CHOOSE(RIGHT(BP62),"st","nd","rd"),"th"))</f>
        <v>th</v>
      </c>
      <c r="BS62" s="27">
        <f>ClassScore!M62</f>
        <v>0</v>
      </c>
      <c r="BT62" s="27">
        <f>ClassScore!N62</f>
        <v>0</v>
      </c>
      <c r="BU62" s="27">
        <f>ClassScore!O62</f>
        <v>0</v>
      </c>
      <c r="BV62" s="27">
        <f>ClassScore!P62</f>
        <v>0</v>
      </c>
      <c r="BW62" s="27">
        <f>ClassScore!Q62</f>
        <v>0</v>
      </c>
      <c r="BX62" s="27">
        <f>ClassScore!R62</f>
        <v>0</v>
      </c>
      <c r="BY62" s="27">
        <f>ClassScore!S62</f>
        <v>0</v>
      </c>
      <c r="BZ62" s="27">
        <f>ClassScore!T62</f>
        <v>0</v>
      </c>
      <c r="CA62" s="27">
        <f>ClassScore!U62</f>
        <v>0</v>
      </c>
      <c r="CB62" s="27">
        <f>ClassScore!V62</f>
        <v>0</v>
      </c>
      <c r="CD62" s="27">
        <f>Examscore!M62</f>
        <v>0</v>
      </c>
      <c r="CE62" s="27">
        <f>Examscore!N62</f>
        <v>0</v>
      </c>
      <c r="CF62" s="27">
        <f>Examscore!O62</f>
        <v>0</v>
      </c>
      <c r="CG62" s="27">
        <f>Examscore!P62</f>
        <v>0</v>
      </c>
      <c r="CH62" s="27">
        <f>Examscore!Q62</f>
        <v>0</v>
      </c>
      <c r="CI62" s="27">
        <f>Examscore!R62</f>
        <v>0</v>
      </c>
      <c r="CJ62" s="27">
        <f>Examscore!S62</f>
        <v>0</v>
      </c>
      <c r="CK62" s="27">
        <f>Examscore!T62</f>
        <v>0</v>
      </c>
      <c r="CL62" s="27">
        <f>Examscore!U62</f>
        <v>0</v>
      </c>
      <c r="CM62" s="27">
        <f>Examscore!V62</f>
        <v>0</v>
      </c>
    </row>
    <row r="63" spans="1:91" ht="15.75" x14ac:dyDescent="0.25">
      <c r="A63" s="5">
        <f>Student!A63</f>
        <v>0</v>
      </c>
      <c r="B63" s="21">
        <f>Student!B63</f>
        <v>0</v>
      </c>
      <c r="C63" s="28">
        <f>ClassScore!M63+Examscore!M63</f>
        <v>0</v>
      </c>
      <c r="D63" s="28">
        <f>ClassScore!N63+Examscore!N63</f>
        <v>0</v>
      </c>
      <c r="E63" s="28">
        <f>ClassScore!O63+Examscore!O63</f>
        <v>0</v>
      </c>
      <c r="F63" s="28">
        <f>ClassScore!P63+Examscore!P63</f>
        <v>0</v>
      </c>
      <c r="G63" s="28">
        <f>ClassScore!Q63+Examscore!Q63</f>
        <v>0</v>
      </c>
      <c r="H63" s="28">
        <f>ClassScore!R63+Examscore!R63</f>
        <v>0</v>
      </c>
      <c r="I63" s="28">
        <f>ClassScore!S63+Examscore!S63</f>
        <v>0</v>
      </c>
      <c r="J63" s="28">
        <f>ClassScore!T63+Examscore!T63</f>
        <v>0</v>
      </c>
      <c r="K63" s="28">
        <f>ClassScore!U63+Examscore!U63</f>
        <v>0</v>
      </c>
      <c r="L63" s="28">
        <f>ClassScore!V63+Examscore!V63</f>
        <v>0</v>
      </c>
      <c r="M63" s="5" t="str">
        <f t="shared" si="22"/>
        <v>--</v>
      </c>
      <c r="N63" s="5" t="str">
        <f t="shared" si="23"/>
        <v>--</v>
      </c>
      <c r="O63" s="5" t="str">
        <f t="shared" si="24"/>
        <v>--</v>
      </c>
      <c r="P63" s="5" t="str">
        <f t="shared" si="25"/>
        <v>--</v>
      </c>
      <c r="Q63" s="5" t="str">
        <f t="shared" si="26"/>
        <v>--</v>
      </c>
      <c r="R63" s="5" t="str">
        <f t="shared" si="27"/>
        <v>--</v>
      </c>
      <c r="S63" s="5" t="str">
        <f t="shared" si="28"/>
        <v>--</v>
      </c>
      <c r="T63" s="5" t="str">
        <f t="shared" si="29"/>
        <v>--</v>
      </c>
      <c r="U63" s="5" t="str">
        <f t="shared" si="30"/>
        <v>--</v>
      </c>
      <c r="V63" s="5" t="str">
        <f t="shared" si="31"/>
        <v>--</v>
      </c>
      <c r="W63" s="5" t="str">
        <f t="shared" si="32"/>
        <v>--</v>
      </c>
      <c r="X63" s="5" t="str">
        <f t="shared" si="33"/>
        <v>--</v>
      </c>
      <c r="Y63" s="5" t="str">
        <f t="shared" si="34"/>
        <v>--</v>
      </c>
      <c r="Z63" s="5" t="str">
        <f t="shared" si="35"/>
        <v>--</v>
      </c>
      <c r="AA63" s="5" t="str">
        <f t="shared" si="36"/>
        <v>--</v>
      </c>
      <c r="AB63" s="5" t="str">
        <f t="shared" si="37"/>
        <v>--</v>
      </c>
      <c r="AC63" s="5" t="str">
        <f t="shared" si="38"/>
        <v>--</v>
      </c>
      <c r="AD63" s="5" t="str">
        <f t="shared" si="39"/>
        <v>--</v>
      </c>
      <c r="AE63" s="5" t="str">
        <f t="shared" si="40"/>
        <v>--</v>
      </c>
      <c r="AF63" s="5" t="str">
        <f t="shared" si="41"/>
        <v>--</v>
      </c>
      <c r="AG63" s="34">
        <f>SUM(C63,D63,F63,G63)+LARGE((E63,H63,I63,J63,K63,L63),1)+LARGE((E63,H63,I63,J63,K63,L63),2)</f>
        <v>0</v>
      </c>
      <c r="AH63" s="5" t="e">
        <f>SUM(W63,X63,Z63,AA63)+SMALL((Y63,AB63,AC63,AD63,AE63,AF63),1)+SMALL((Y63,AB63,AC63,AD63,AE63,AF63),2)</f>
        <v>#NUM!</v>
      </c>
      <c r="AI63" s="15">
        <f>'Teacher''s Remarks'!M64</f>
        <v>0</v>
      </c>
      <c r="AJ63" s="15">
        <f>'Teacher''s Remarks'!N64</f>
        <v>0</v>
      </c>
      <c r="AK63" s="15">
        <f>'Teacher''s Remarks'!O64</f>
        <v>0</v>
      </c>
      <c r="AL63" s="15">
        <f>'Teacher''s Remarks'!P64</f>
        <v>0</v>
      </c>
      <c r="AM63" s="13">
        <f t="shared" si="42"/>
        <v>0</v>
      </c>
      <c r="AN63" s="14">
        <f>Attendance!B63</f>
        <v>0</v>
      </c>
      <c r="AO63" s="15"/>
      <c r="AP63" s="15"/>
      <c r="AQ63" s="22">
        <f t="shared" ca="1" si="43"/>
        <v>45764</v>
      </c>
      <c r="AR63" s="15"/>
      <c r="AT63" s="12">
        <f t="shared" si="45"/>
        <v>56</v>
      </c>
      <c r="AU63" t="str">
        <f>IF(OR(VALUE(RIGHT(AT63,5))={11,12,13}),"th",IF(OR(VALUE(RIGHT(AT63))={1,2,3}),CHOOSE(RIGHT(AT63),"st","nd","rd"),"th"))</f>
        <v>th</v>
      </c>
      <c r="AV63">
        <f t="shared" si="46"/>
        <v>56</v>
      </c>
      <c r="AW63" t="str">
        <f>IF(OR(VALUE(RIGHT(AV63,5))={11,12,13}),"th",IF(OR(VALUE(RIGHT(AV63))={1,2,3}),CHOOSE(RIGHT(AV63),"st","nd","rd"),"th"))</f>
        <v>th</v>
      </c>
      <c r="AX63">
        <f t="shared" si="47"/>
        <v>56</v>
      </c>
      <c r="AY63" t="str">
        <f>IF(OR(VALUE(RIGHT(AX63,5))={11,12,13}),"th",IF(OR(VALUE(RIGHT(AX63))={1,2,3}),CHOOSE(RIGHT(AX63),"st","nd","rd"),"th"))</f>
        <v>th</v>
      </c>
      <c r="AZ63">
        <f t="shared" si="48"/>
        <v>56</v>
      </c>
      <c r="BA63" t="str">
        <f>IF(OR(VALUE(RIGHT(AZ63,5))={11,12,13}),"th",IF(OR(VALUE(RIGHT(AZ63))={1,2,3}),CHOOSE(RIGHT(AZ63),"st","nd","rd"),"th"))</f>
        <v>th</v>
      </c>
      <c r="BB63">
        <f t="shared" si="49"/>
        <v>56</v>
      </c>
      <c r="BC63" t="str">
        <f>IF(OR(VALUE(RIGHT(BB63,5))={11,12,13}),"th",IF(OR(VALUE(RIGHT(BB63))={1,2,3}),CHOOSE(RIGHT(BB63),"st","nd","rd"),"th"))</f>
        <v>th</v>
      </c>
      <c r="BD63">
        <f t="shared" si="50"/>
        <v>56</v>
      </c>
      <c r="BE63" t="str">
        <f>IF(OR(VALUE(RIGHT(BD63,5))={11,12,13}),"th",IF(OR(VALUE(RIGHT(BD63))={1,2,3}),CHOOSE(RIGHT(BD63),"st","nd","rd"),"th"))</f>
        <v>th</v>
      </c>
      <c r="BF63">
        <f t="shared" si="51"/>
        <v>56</v>
      </c>
      <c r="BG63" t="str">
        <f>IF(OR(VALUE(RIGHT(BF63,5))={11,12,13}),"th",IF(OR(VALUE(RIGHT(BF63))={1,2,3}),CHOOSE(RIGHT(BF63),"st","nd","rd"),"th"))</f>
        <v>th</v>
      </c>
      <c r="BH63">
        <f t="shared" si="52"/>
        <v>56</v>
      </c>
      <c r="BI63" t="str">
        <f>IF(OR(VALUE(RIGHT(BH63,5))={11,12,13}),"th",IF(OR(VALUE(RIGHT(BH63))={1,2,3}),CHOOSE(RIGHT(BH63),"st","nd","rd"),"th"))</f>
        <v>th</v>
      </c>
      <c r="BJ63">
        <f t="shared" si="53"/>
        <v>56</v>
      </c>
      <c r="BK63" t="str" cm="1">
        <f t="array" ref="BK63">IF(OR(VALUE(RIGHT(BJ63,5))={11,12,13}),"th",IF(OR(VALUE(RIGHT(BJ63))={1,2,3}),CHOOSE(RIGHT(BJ63),"st","nd","rd"),"th"))</f>
        <v>th</v>
      </c>
      <c r="BL63">
        <f t="shared" si="54"/>
        <v>57</v>
      </c>
      <c r="BM63" t="str">
        <f>IF(OR(VALUE(RIGHT(BL63,5))={11,12,13}),"th",IF(OR(VALUE(RIGHT(BL63))={1,2,3}),CHOOSE(RIGHT(BL63),"st","nd","rd"),"th"))</f>
        <v>th</v>
      </c>
      <c r="BO63" s="30">
        <f t="shared" si="44"/>
        <v>0</v>
      </c>
      <c r="BP63">
        <f t="shared" si="55"/>
        <v>57</v>
      </c>
      <c r="BQ63" t="str">
        <f>IF(OR(VALUE(RIGHT(BP63,5))={11,12,13}),"th",IF(OR(VALUE(RIGHT(BP63))={1,2,3}),CHOOSE(RIGHT(BP63),"st","nd","rd"),"th"))</f>
        <v>th</v>
      </c>
      <c r="BS63" s="27">
        <f>ClassScore!M63</f>
        <v>0</v>
      </c>
      <c r="BT63" s="27">
        <f>ClassScore!N63</f>
        <v>0</v>
      </c>
      <c r="BU63" s="27">
        <f>ClassScore!O63</f>
        <v>0</v>
      </c>
      <c r="BV63" s="27">
        <f>ClassScore!P63</f>
        <v>0</v>
      </c>
      <c r="BW63" s="27">
        <f>ClassScore!Q63</f>
        <v>0</v>
      </c>
      <c r="BX63" s="27">
        <f>ClassScore!R63</f>
        <v>0</v>
      </c>
      <c r="BY63" s="27">
        <f>ClassScore!S63</f>
        <v>0</v>
      </c>
      <c r="BZ63" s="27">
        <f>ClassScore!T63</f>
        <v>0</v>
      </c>
      <c r="CA63" s="27">
        <f>ClassScore!U63</f>
        <v>0</v>
      </c>
      <c r="CB63" s="27">
        <f>ClassScore!V63</f>
        <v>0</v>
      </c>
      <c r="CD63" s="27">
        <f>Examscore!M63</f>
        <v>0</v>
      </c>
      <c r="CE63" s="27">
        <f>Examscore!N63</f>
        <v>0</v>
      </c>
      <c r="CF63" s="27">
        <f>Examscore!O63</f>
        <v>0</v>
      </c>
      <c r="CG63" s="27">
        <f>Examscore!P63</f>
        <v>0</v>
      </c>
      <c r="CH63" s="27">
        <f>Examscore!Q63</f>
        <v>0</v>
      </c>
      <c r="CI63" s="27">
        <f>Examscore!R63</f>
        <v>0</v>
      </c>
      <c r="CJ63" s="27">
        <f>Examscore!S63</f>
        <v>0</v>
      </c>
      <c r="CK63" s="27">
        <f>Examscore!T63</f>
        <v>0</v>
      </c>
      <c r="CL63" s="27">
        <f>Examscore!U63</f>
        <v>0</v>
      </c>
      <c r="CM63" s="27">
        <f>Examscore!V63</f>
        <v>0</v>
      </c>
    </row>
    <row r="64" spans="1:91" ht="15.75" x14ac:dyDescent="0.25">
      <c r="A64" s="5">
        <f>Student!A64</f>
        <v>0</v>
      </c>
      <c r="B64" s="21">
        <f>Student!B64</f>
        <v>0</v>
      </c>
      <c r="C64" s="28">
        <f>ClassScore!M64+Examscore!M64</f>
        <v>0</v>
      </c>
      <c r="D64" s="28">
        <f>ClassScore!N64+Examscore!N64</f>
        <v>0</v>
      </c>
      <c r="E64" s="28">
        <f>ClassScore!O64+Examscore!O64</f>
        <v>0</v>
      </c>
      <c r="F64" s="28">
        <f>ClassScore!P64+Examscore!P64</f>
        <v>0</v>
      </c>
      <c r="G64" s="28">
        <f>ClassScore!Q64+Examscore!Q64</f>
        <v>0</v>
      </c>
      <c r="H64" s="28">
        <f>ClassScore!R64+Examscore!R64</f>
        <v>0</v>
      </c>
      <c r="I64" s="28">
        <f>ClassScore!S64+Examscore!S64</f>
        <v>0</v>
      </c>
      <c r="J64" s="28">
        <f>ClassScore!T64+Examscore!T64</f>
        <v>0</v>
      </c>
      <c r="K64" s="28">
        <f>ClassScore!U64+Examscore!U64</f>
        <v>0</v>
      </c>
      <c r="L64" s="28">
        <f>ClassScore!V64+Examscore!V64</f>
        <v>0</v>
      </c>
      <c r="M64" s="5" t="str">
        <f t="shared" si="22"/>
        <v>--</v>
      </c>
      <c r="N64" s="5" t="str">
        <f t="shared" si="23"/>
        <v>--</v>
      </c>
      <c r="O64" s="5" t="str">
        <f t="shared" si="24"/>
        <v>--</v>
      </c>
      <c r="P64" s="5" t="str">
        <f t="shared" si="25"/>
        <v>--</v>
      </c>
      <c r="Q64" s="5" t="str">
        <f t="shared" si="26"/>
        <v>--</v>
      </c>
      <c r="R64" s="5" t="str">
        <f t="shared" si="27"/>
        <v>--</v>
      </c>
      <c r="S64" s="5" t="str">
        <f t="shared" si="28"/>
        <v>--</v>
      </c>
      <c r="T64" s="5" t="str">
        <f t="shared" si="29"/>
        <v>--</v>
      </c>
      <c r="U64" s="5" t="str">
        <f t="shared" si="30"/>
        <v>--</v>
      </c>
      <c r="V64" s="5" t="str">
        <f t="shared" si="31"/>
        <v>--</v>
      </c>
      <c r="W64" s="5" t="str">
        <f t="shared" si="32"/>
        <v>--</v>
      </c>
      <c r="X64" s="5" t="str">
        <f t="shared" si="33"/>
        <v>--</v>
      </c>
      <c r="Y64" s="5" t="str">
        <f t="shared" si="34"/>
        <v>--</v>
      </c>
      <c r="Z64" s="5" t="str">
        <f t="shared" si="35"/>
        <v>--</v>
      </c>
      <c r="AA64" s="5" t="str">
        <f t="shared" si="36"/>
        <v>--</v>
      </c>
      <c r="AB64" s="5" t="str">
        <f t="shared" si="37"/>
        <v>--</v>
      </c>
      <c r="AC64" s="5" t="str">
        <f t="shared" si="38"/>
        <v>--</v>
      </c>
      <c r="AD64" s="5" t="str">
        <f t="shared" si="39"/>
        <v>--</v>
      </c>
      <c r="AE64" s="5" t="str">
        <f t="shared" si="40"/>
        <v>--</v>
      </c>
      <c r="AF64" s="5" t="str">
        <f t="shared" si="41"/>
        <v>--</v>
      </c>
      <c r="AG64" s="34">
        <f>SUM(C64,D64,F64,G64)+LARGE((E64,H64,I64,J64,K64,L64),1)+LARGE((E64,H64,I64,J64,K64,L64),2)</f>
        <v>0</v>
      </c>
      <c r="AH64" s="5" t="e">
        <f>SUM(W64,X64,Z64,AA64)+SMALL((Y64,AB64,AC64,AD64,AE64,AF64),1)+SMALL((Y64,AB64,AC64,AD64,AE64,AF64),2)</f>
        <v>#NUM!</v>
      </c>
      <c r="AI64" s="15">
        <f>'Teacher''s Remarks'!M65</f>
        <v>0</v>
      </c>
      <c r="AJ64" s="15">
        <v>0</v>
      </c>
      <c r="AK64" s="15">
        <f>'Teacher''s Remarks'!O65</f>
        <v>0</v>
      </c>
      <c r="AL64" s="15">
        <f>'Teacher''s Remarks'!P65</f>
        <v>0</v>
      </c>
      <c r="AM64" s="13">
        <f t="shared" si="42"/>
        <v>0</v>
      </c>
      <c r="AN64" s="14">
        <f>Attendance!B64</f>
        <v>0</v>
      </c>
      <c r="AO64" s="15"/>
      <c r="AP64" s="15"/>
      <c r="AQ64" s="22">
        <f t="shared" ca="1" si="43"/>
        <v>45764</v>
      </c>
      <c r="AR64" s="15"/>
      <c r="AT64" s="12">
        <f t="shared" si="45"/>
        <v>56</v>
      </c>
      <c r="AU64" t="str">
        <f>IF(OR(VALUE(RIGHT(AT64,5))={11,12,13}),"th",IF(OR(VALUE(RIGHT(AT64))={1,2,3}),CHOOSE(RIGHT(AT64),"st","nd","rd"),"th"))</f>
        <v>th</v>
      </c>
      <c r="AV64">
        <f t="shared" si="46"/>
        <v>56</v>
      </c>
      <c r="AW64" t="str">
        <f>IF(OR(VALUE(RIGHT(AV64,5))={11,12,13}),"th",IF(OR(VALUE(RIGHT(AV64))={1,2,3}),CHOOSE(RIGHT(AV64),"st","nd","rd"),"th"))</f>
        <v>th</v>
      </c>
      <c r="AX64">
        <f t="shared" si="47"/>
        <v>56</v>
      </c>
      <c r="AY64" t="str">
        <f>IF(OR(VALUE(RIGHT(AX64,5))={11,12,13}),"th",IF(OR(VALUE(RIGHT(AX64))={1,2,3}),CHOOSE(RIGHT(AX64),"st","nd","rd"),"th"))</f>
        <v>th</v>
      </c>
      <c r="AZ64">
        <f t="shared" si="48"/>
        <v>56</v>
      </c>
      <c r="BA64" t="str">
        <f>IF(OR(VALUE(RIGHT(AZ64,5))={11,12,13}),"th",IF(OR(VALUE(RIGHT(AZ64))={1,2,3}),CHOOSE(RIGHT(AZ64),"st","nd","rd"),"th"))</f>
        <v>th</v>
      </c>
      <c r="BB64">
        <f t="shared" si="49"/>
        <v>56</v>
      </c>
      <c r="BC64" t="str">
        <f>IF(OR(VALUE(RIGHT(BB64,5))={11,12,13}),"th",IF(OR(VALUE(RIGHT(BB64))={1,2,3}),CHOOSE(RIGHT(BB64),"st","nd","rd"),"th"))</f>
        <v>th</v>
      </c>
      <c r="BD64">
        <f t="shared" si="50"/>
        <v>56</v>
      </c>
      <c r="BE64" t="str">
        <f>IF(OR(VALUE(RIGHT(BD64,5))={11,12,13}),"th",IF(OR(VALUE(RIGHT(BD64))={1,2,3}),CHOOSE(RIGHT(BD64),"st","nd","rd"),"th"))</f>
        <v>th</v>
      </c>
      <c r="BF64">
        <f t="shared" si="51"/>
        <v>56</v>
      </c>
      <c r="BG64" t="str">
        <f>IF(OR(VALUE(RIGHT(BF64,5))={11,12,13}),"th",IF(OR(VALUE(RIGHT(BF64))={1,2,3}),CHOOSE(RIGHT(BF64),"st","nd","rd"),"th"))</f>
        <v>th</v>
      </c>
      <c r="BH64">
        <f t="shared" si="52"/>
        <v>56</v>
      </c>
      <c r="BI64" t="str">
        <f>IF(OR(VALUE(RIGHT(BH64,5))={11,12,13}),"th",IF(OR(VALUE(RIGHT(BH64))={1,2,3}),CHOOSE(RIGHT(BH64),"st","nd","rd"),"th"))</f>
        <v>th</v>
      </c>
      <c r="BJ64">
        <f t="shared" si="53"/>
        <v>56</v>
      </c>
      <c r="BK64" t="str" cm="1">
        <f t="array" ref="BK64">IF(OR(VALUE(RIGHT(BJ64,5))={11,12,13}),"th",IF(OR(VALUE(RIGHT(BJ64))={1,2,3}),CHOOSE(RIGHT(BJ64),"st","nd","rd"),"th"))</f>
        <v>th</v>
      </c>
      <c r="BL64">
        <f t="shared" si="54"/>
        <v>57</v>
      </c>
      <c r="BM64" t="str">
        <f>IF(OR(VALUE(RIGHT(BL64,5))={11,12,13}),"th",IF(OR(VALUE(RIGHT(BL64))={1,2,3}),CHOOSE(RIGHT(BL64),"st","nd","rd"),"th"))</f>
        <v>th</v>
      </c>
      <c r="BO64" s="30">
        <f t="shared" si="44"/>
        <v>0</v>
      </c>
      <c r="BP64">
        <f t="shared" si="55"/>
        <v>57</v>
      </c>
      <c r="BQ64" t="str">
        <f>IF(OR(VALUE(RIGHT(BP64,5))={11,12,13}),"th",IF(OR(VALUE(RIGHT(BP64))={1,2,3}),CHOOSE(RIGHT(BP64),"st","nd","rd"),"th"))</f>
        <v>th</v>
      </c>
      <c r="BS64" s="27">
        <f>ClassScore!M64</f>
        <v>0</v>
      </c>
      <c r="BT64" s="27">
        <f>ClassScore!N64</f>
        <v>0</v>
      </c>
      <c r="BU64" s="27">
        <f>ClassScore!O64</f>
        <v>0</v>
      </c>
      <c r="BV64" s="27">
        <f>ClassScore!P64</f>
        <v>0</v>
      </c>
      <c r="BW64" s="27">
        <f>ClassScore!Q64</f>
        <v>0</v>
      </c>
      <c r="BX64" s="27">
        <f>ClassScore!R64</f>
        <v>0</v>
      </c>
      <c r="BY64" s="27">
        <f>ClassScore!S64</f>
        <v>0</v>
      </c>
      <c r="BZ64" s="27">
        <f>ClassScore!T64</f>
        <v>0</v>
      </c>
      <c r="CA64" s="27">
        <f>ClassScore!U64</f>
        <v>0</v>
      </c>
      <c r="CB64" s="27">
        <f>ClassScore!V64</f>
        <v>0</v>
      </c>
      <c r="CD64" s="27">
        <f>Examscore!M64</f>
        <v>0</v>
      </c>
      <c r="CE64" s="27">
        <f>Examscore!N64</f>
        <v>0</v>
      </c>
      <c r="CF64" s="27">
        <f>Examscore!O64</f>
        <v>0</v>
      </c>
      <c r="CG64" s="27">
        <f>Examscore!P64</f>
        <v>0</v>
      </c>
      <c r="CH64" s="27">
        <f>Examscore!Q64</f>
        <v>0</v>
      </c>
      <c r="CI64" s="27">
        <f>Examscore!R64</f>
        <v>0</v>
      </c>
      <c r="CJ64" s="27">
        <f>Examscore!S64</f>
        <v>0</v>
      </c>
      <c r="CK64" s="27">
        <f>Examscore!T64</f>
        <v>0</v>
      </c>
      <c r="CL64" s="27">
        <f>Examscore!U64</f>
        <v>0</v>
      </c>
      <c r="CM64" s="27">
        <f>Examscore!V64</f>
        <v>0</v>
      </c>
    </row>
    <row r="65" spans="1:91" ht="15.75" x14ac:dyDescent="0.25">
      <c r="A65" s="5">
        <f>Student!A65</f>
        <v>0</v>
      </c>
      <c r="B65" s="21">
        <f>Student!B65</f>
        <v>0</v>
      </c>
      <c r="C65" s="28">
        <f>ClassScore!M65+Examscore!M65</f>
        <v>0</v>
      </c>
      <c r="D65" s="28">
        <f>ClassScore!N65+Examscore!N65</f>
        <v>0</v>
      </c>
      <c r="E65" s="28">
        <f>ClassScore!O65+Examscore!O65</f>
        <v>0</v>
      </c>
      <c r="F65" s="28">
        <f>ClassScore!P65+Examscore!P65</f>
        <v>0</v>
      </c>
      <c r="G65" s="28">
        <f>ClassScore!Q65+Examscore!Q65</f>
        <v>0</v>
      </c>
      <c r="H65" s="28">
        <f>ClassScore!R65+Examscore!R65</f>
        <v>0</v>
      </c>
      <c r="I65" s="28">
        <f>ClassScore!S65+Examscore!S65</f>
        <v>0</v>
      </c>
      <c r="J65" s="28">
        <f>ClassScore!T65+Examscore!T65</f>
        <v>0</v>
      </c>
      <c r="K65" s="28">
        <f>ClassScore!U65+Examscore!U65</f>
        <v>0</v>
      </c>
      <c r="L65" s="28">
        <f>ClassScore!V65+Examscore!V65</f>
        <v>0</v>
      </c>
      <c r="M65" s="5" t="str">
        <f t="shared" si="22"/>
        <v>--</v>
      </c>
      <c r="N65" s="5" t="str">
        <f t="shared" si="23"/>
        <v>--</v>
      </c>
      <c r="O65" s="5" t="str">
        <f t="shared" si="24"/>
        <v>--</v>
      </c>
      <c r="P65" s="5" t="str">
        <f t="shared" si="25"/>
        <v>--</v>
      </c>
      <c r="Q65" s="5" t="str">
        <f t="shared" si="26"/>
        <v>--</v>
      </c>
      <c r="R65" s="5" t="str">
        <f t="shared" si="27"/>
        <v>--</v>
      </c>
      <c r="S65" s="5" t="str">
        <f t="shared" si="28"/>
        <v>--</v>
      </c>
      <c r="T65" s="5" t="str">
        <f t="shared" si="29"/>
        <v>--</v>
      </c>
      <c r="U65" s="5" t="str">
        <f t="shared" si="30"/>
        <v>--</v>
      </c>
      <c r="V65" s="5" t="str">
        <f t="shared" si="31"/>
        <v>--</v>
      </c>
      <c r="W65" s="5" t="str">
        <f t="shared" si="32"/>
        <v>--</v>
      </c>
      <c r="X65" s="5" t="str">
        <f t="shared" si="33"/>
        <v>--</v>
      </c>
      <c r="Y65" s="5" t="str">
        <f t="shared" si="34"/>
        <v>--</v>
      </c>
      <c r="Z65" s="5" t="str">
        <f t="shared" si="35"/>
        <v>--</v>
      </c>
      <c r="AA65" s="5" t="str">
        <f t="shared" si="36"/>
        <v>--</v>
      </c>
      <c r="AB65" s="5" t="str">
        <f t="shared" si="37"/>
        <v>--</v>
      </c>
      <c r="AC65" s="5" t="str">
        <f t="shared" si="38"/>
        <v>--</v>
      </c>
      <c r="AD65" s="5" t="str">
        <f t="shared" si="39"/>
        <v>--</v>
      </c>
      <c r="AE65" s="5" t="str">
        <f t="shared" si="40"/>
        <v>--</v>
      </c>
      <c r="AF65" s="5" t="str">
        <f t="shared" si="41"/>
        <v>--</v>
      </c>
      <c r="AG65" s="34">
        <f>SUM(C65,D65,F65,G65)+LARGE((E65,H65,I65,J65,K65,L65),1)+LARGE((E65,H65,I65,J65,K65,L65),2)</f>
        <v>0</v>
      </c>
      <c r="AH65" s="5" t="e">
        <f>SUM(W65,X65,Z65,AA65)+SMALL((Y65,AB65,AC65,AD65,AE65,AF65),1)+SMALL((Y65,AB65,AC65,AD65,AE65,AF65),2)</f>
        <v>#NUM!</v>
      </c>
      <c r="AI65" s="15">
        <f>'Teacher''s Remarks'!M66</f>
        <v>0</v>
      </c>
      <c r="AJ65" s="15">
        <f>'Teacher''s Remarks'!N66</f>
        <v>0</v>
      </c>
      <c r="AK65" s="15">
        <f>'Teacher''s Remarks'!O66</f>
        <v>0</v>
      </c>
      <c r="AL65" s="15">
        <f>'Teacher''s Remarks'!P66</f>
        <v>0</v>
      </c>
      <c r="AM65" s="13">
        <f t="shared" ref="AM65:AM117" si="56">B65</f>
        <v>0</v>
      </c>
      <c r="AN65" s="14">
        <f>Attendance!B65</f>
        <v>0</v>
      </c>
      <c r="AO65" s="15"/>
      <c r="AP65" s="15"/>
      <c r="AQ65" s="22">
        <f t="shared" ca="1" si="43"/>
        <v>45764</v>
      </c>
      <c r="AR65" s="15"/>
      <c r="AT65" s="12">
        <f t="shared" si="45"/>
        <v>56</v>
      </c>
      <c r="AU65" t="str">
        <f>IF(OR(VALUE(RIGHT(AT65,5))={11,12,13}),"th",IF(OR(VALUE(RIGHT(AT65))={1,2,3}),CHOOSE(RIGHT(AT65),"st","nd","rd"),"th"))</f>
        <v>th</v>
      </c>
      <c r="AV65">
        <f t="shared" si="46"/>
        <v>56</v>
      </c>
      <c r="AW65" t="str">
        <f>IF(OR(VALUE(RIGHT(AV65,5))={11,12,13}),"th",IF(OR(VALUE(RIGHT(AV65))={1,2,3}),CHOOSE(RIGHT(AV65),"st","nd","rd"),"th"))</f>
        <v>th</v>
      </c>
      <c r="AX65">
        <f t="shared" si="47"/>
        <v>56</v>
      </c>
      <c r="AY65" t="str">
        <f>IF(OR(VALUE(RIGHT(AX65,5))={11,12,13}),"th",IF(OR(VALUE(RIGHT(AX65))={1,2,3}),CHOOSE(RIGHT(AX65),"st","nd","rd"),"th"))</f>
        <v>th</v>
      </c>
      <c r="AZ65">
        <f t="shared" si="48"/>
        <v>56</v>
      </c>
      <c r="BA65" t="str">
        <f>IF(OR(VALUE(RIGHT(AZ65,5))={11,12,13}),"th",IF(OR(VALUE(RIGHT(AZ65))={1,2,3}),CHOOSE(RIGHT(AZ65),"st","nd","rd"),"th"))</f>
        <v>th</v>
      </c>
      <c r="BB65">
        <f t="shared" si="49"/>
        <v>56</v>
      </c>
      <c r="BC65" t="str">
        <f>IF(OR(VALUE(RIGHT(BB65,5))={11,12,13}),"th",IF(OR(VALUE(RIGHT(BB65))={1,2,3}),CHOOSE(RIGHT(BB65),"st","nd","rd"),"th"))</f>
        <v>th</v>
      </c>
      <c r="BD65">
        <f t="shared" si="50"/>
        <v>56</v>
      </c>
      <c r="BE65" t="str">
        <f>IF(OR(VALUE(RIGHT(BD65,5))={11,12,13}),"th",IF(OR(VALUE(RIGHT(BD65))={1,2,3}),CHOOSE(RIGHT(BD65),"st","nd","rd"),"th"))</f>
        <v>th</v>
      </c>
      <c r="BF65">
        <f t="shared" si="51"/>
        <v>56</v>
      </c>
      <c r="BG65" t="str">
        <f>IF(OR(VALUE(RIGHT(BF65,5))={11,12,13}),"th",IF(OR(VALUE(RIGHT(BF65))={1,2,3}),CHOOSE(RIGHT(BF65),"st","nd","rd"),"th"))</f>
        <v>th</v>
      </c>
      <c r="BH65">
        <f t="shared" si="52"/>
        <v>56</v>
      </c>
      <c r="BI65" t="str">
        <f>IF(OR(VALUE(RIGHT(BH65,5))={11,12,13}),"th",IF(OR(VALUE(RIGHT(BH65))={1,2,3}),CHOOSE(RIGHT(BH65),"st","nd","rd"),"th"))</f>
        <v>th</v>
      </c>
      <c r="BJ65">
        <f t="shared" si="53"/>
        <v>56</v>
      </c>
      <c r="BK65" t="str" cm="1">
        <f t="array" ref="BK65">IF(OR(VALUE(RIGHT(BJ65,5))={11,12,13}),"th",IF(OR(VALUE(RIGHT(BJ65))={1,2,3}),CHOOSE(RIGHT(BJ65),"st","nd","rd"),"th"))</f>
        <v>th</v>
      </c>
      <c r="BL65">
        <f t="shared" si="54"/>
        <v>57</v>
      </c>
      <c r="BM65" t="str">
        <f>IF(OR(VALUE(RIGHT(BL65,5))={11,12,13}),"th",IF(OR(VALUE(RIGHT(BL65))={1,2,3}),CHOOSE(RIGHT(BL65),"st","nd","rd"),"th"))</f>
        <v>th</v>
      </c>
      <c r="BO65" s="30">
        <f t="shared" si="44"/>
        <v>0</v>
      </c>
      <c r="BP65">
        <f t="shared" si="55"/>
        <v>57</v>
      </c>
      <c r="BQ65" t="str">
        <f>IF(OR(VALUE(RIGHT(BP65,5))={11,12,13}),"th",IF(OR(VALUE(RIGHT(BP65))={1,2,3}),CHOOSE(RIGHT(BP65),"st","nd","rd"),"th"))</f>
        <v>th</v>
      </c>
      <c r="BS65" s="27">
        <f>ClassScore!M65</f>
        <v>0</v>
      </c>
      <c r="BT65" s="27">
        <f>ClassScore!N65</f>
        <v>0</v>
      </c>
      <c r="BU65" s="27">
        <f>ClassScore!O65</f>
        <v>0</v>
      </c>
      <c r="BV65" s="27">
        <f>ClassScore!P65</f>
        <v>0</v>
      </c>
      <c r="BW65" s="27">
        <f>ClassScore!Q65</f>
        <v>0</v>
      </c>
      <c r="BX65" s="27">
        <f>ClassScore!R65</f>
        <v>0</v>
      </c>
      <c r="BY65" s="27">
        <f>ClassScore!S65</f>
        <v>0</v>
      </c>
      <c r="BZ65" s="27">
        <f>ClassScore!T65</f>
        <v>0</v>
      </c>
      <c r="CA65" s="27">
        <f>ClassScore!U65</f>
        <v>0</v>
      </c>
      <c r="CB65" s="27">
        <f>ClassScore!V65</f>
        <v>0</v>
      </c>
      <c r="CD65" s="27">
        <f>Examscore!M65</f>
        <v>0</v>
      </c>
      <c r="CE65" s="27">
        <f>Examscore!N65</f>
        <v>0</v>
      </c>
      <c r="CF65" s="27">
        <f>Examscore!O65</f>
        <v>0</v>
      </c>
      <c r="CG65" s="27">
        <f>Examscore!P65</f>
        <v>0</v>
      </c>
      <c r="CH65" s="27">
        <f>Examscore!Q65</f>
        <v>0</v>
      </c>
      <c r="CI65" s="27">
        <f>Examscore!R65</f>
        <v>0</v>
      </c>
      <c r="CJ65" s="27">
        <f>Examscore!S65</f>
        <v>0</v>
      </c>
      <c r="CK65" s="27">
        <f>Examscore!T65</f>
        <v>0</v>
      </c>
      <c r="CL65" s="27">
        <f>Examscore!U65</f>
        <v>0</v>
      </c>
      <c r="CM65" s="27">
        <f>Examscore!V65</f>
        <v>0</v>
      </c>
    </row>
    <row r="66" spans="1:91" ht="15.75" x14ac:dyDescent="0.25">
      <c r="A66" s="5">
        <f>Student!A66</f>
        <v>0</v>
      </c>
      <c r="B66" s="21">
        <f>Student!B66</f>
        <v>0</v>
      </c>
      <c r="C66" s="28">
        <f>ClassScore!M66+Examscore!M66</f>
        <v>0</v>
      </c>
      <c r="D66" s="28">
        <f>ClassScore!N66+Examscore!N66</f>
        <v>0</v>
      </c>
      <c r="E66" s="28">
        <f>ClassScore!O66+Examscore!O66</f>
        <v>0</v>
      </c>
      <c r="F66" s="28">
        <f>ClassScore!P66+Examscore!P66</f>
        <v>0</v>
      </c>
      <c r="G66" s="28">
        <f>ClassScore!Q66+Examscore!Q66</f>
        <v>0</v>
      </c>
      <c r="H66" s="28">
        <f>ClassScore!R66+Examscore!R66</f>
        <v>0</v>
      </c>
      <c r="I66" s="28">
        <f>ClassScore!S66+Examscore!S66</f>
        <v>0</v>
      </c>
      <c r="J66" s="28">
        <f>ClassScore!T66+Examscore!T66</f>
        <v>0</v>
      </c>
      <c r="K66" s="28">
        <f>ClassScore!U66+Examscore!U66</f>
        <v>0</v>
      </c>
      <c r="L66" s="28">
        <f>ClassScore!V66+Examscore!V66</f>
        <v>0</v>
      </c>
      <c r="M66" s="5" t="str">
        <f t="shared" ref="M66:M117" si="57">IF(C66=0,"--",IF(C66&gt;=85,"Highest",IF(C66&gt;=80,"Higher",IF(C66&gt;=70,"High",IF(C66&gt;=65,"High Average",IF(C66&gt;=60,"Average",IF(C66&gt;=55,"Low Average",IF(C66&gt;=50,"Low",IF(C66&gt;=40,"Lower","Lowest")))))))))</f>
        <v>--</v>
      </c>
      <c r="N66" s="5" t="str">
        <f t="shared" ref="N66:N117" si="58">IF(D66=0,"--",IF(D66&gt;=85,"Highest",IF(D66&gt;=80,"Higher",IF(D66&gt;=70,"High",IF(D66&gt;=65,"High Average",IF(D66&gt;=60,"Average",IF(D66&gt;=55,"Low Average",IF(D66&gt;=50,"Low",IF(D66&gt;=40,"Lower","Lowest")))))))))</f>
        <v>--</v>
      </c>
      <c r="O66" s="5" t="str">
        <f t="shared" ref="O66:O117" si="59">IF(E66=0,"--",IF(E66&gt;=85,"Highest",IF(E66&gt;=80,"Higher",IF(E66&gt;=70,"High",IF(E66&gt;=65,"High Average",IF(E66&gt;=60,"Average",IF(E66&gt;=55,"Low Average",IF(E66&gt;=50,"Low",IF(E66&gt;=40,"Lower","Lowest")))))))))</f>
        <v>--</v>
      </c>
      <c r="P66" s="5" t="str">
        <f t="shared" ref="P66:P117" si="60">IF(F66=0,"--",IF(F66&gt;=85,"Highest",IF(F66&gt;=80,"Higher",IF(F66&gt;=70,"High",IF(F66&gt;=65,"High Average",IF(F66&gt;=60,"Average",IF(F66&gt;=55,"Low Average",IF(F66&gt;=50,"Low",IF(F66&gt;=40,"Lower","Lowest")))))))))</f>
        <v>--</v>
      </c>
      <c r="Q66" s="5" t="str">
        <f t="shared" ref="Q66:Q117" si="61">IF(G66=0,"--",IF(G66&gt;=85,"Highest",IF(G66&gt;=80,"Higher",IF(G66&gt;=70,"High",IF(G66&gt;=65,"High Average",IF(G66&gt;=60,"Average",IF(G66&gt;=55,"Low Average",IF(G66&gt;=50,"Low",IF(G66&gt;=40,"Lower","Lowest")))))))))</f>
        <v>--</v>
      </c>
      <c r="R66" s="5" t="str">
        <f t="shared" ref="R66:R117" si="62">IF(H66=0,"--",IF(H66&gt;=85,"Highest",IF(H66&gt;=80,"Higher",IF(H66&gt;=70,"High",IF(H66&gt;=65,"High Average",IF(H66&gt;=60,"Average",IF(H66&gt;=55,"Low Average",IF(H66&gt;=50,"Low",IF(H66&gt;=40,"Lower","Lowest")))))))))</f>
        <v>--</v>
      </c>
      <c r="S66" s="5" t="str">
        <f t="shared" ref="S66:S117" si="63">IF(I66=0,"--",IF(I66&gt;=85,"Highest",IF(I66&gt;=80,"Higher",IF(I66&gt;=70,"High",IF(I66&gt;=65,"High Average",IF(I66&gt;=60,"Average",IF(I66&gt;=55,"Low Average",IF(I66&gt;=50,"Low",IF(I66&gt;=40,"Lower","Lowest")))))))))</f>
        <v>--</v>
      </c>
      <c r="T66" s="5" t="str">
        <f t="shared" ref="T66:T117" si="64">IF(J66=0,"--",IF(J66&gt;=85,"Highest",IF(J66&gt;=80,"Higher",IF(J66&gt;=70,"High",IF(J66&gt;=65,"High Average",IF(J66&gt;=60,"Average",IF(J66&gt;=55,"Low Average",IF(J66&gt;=50,"Low",IF(J66&gt;=40,"Lower","Lowest")))))))))</f>
        <v>--</v>
      </c>
      <c r="U66" s="5" t="str">
        <f t="shared" ref="U66:U117" si="65">IF(K66=0,"--",IF(K66&gt;=85,"Highest",IF(K66&gt;=80,"Higher",IF(K66&gt;=70,"High",IF(K66&gt;=65,"High Average",IF(K66&gt;=60,"Average",IF(K66&gt;=55,"Low Average",IF(K66&gt;=50,"Low",IF(K66&gt;=40,"Lower","Lowest")))))))))</f>
        <v>--</v>
      </c>
      <c r="V66" s="5" t="str">
        <f t="shared" ref="V66:V117" si="66">IF(L66=0,"--",IF(L66&gt;=85,"Highest",IF(L66&gt;=80,"Higher",IF(L66&gt;=70,"High",IF(L66&gt;=65,"High Average",IF(L66&gt;=60,"Average",IF(L66&gt;=55,"Low Average",IF(L66&gt;=50,"Low",IF(L66&gt;=40,"Lower","Lowest")))))))))</f>
        <v>--</v>
      </c>
      <c r="W66" s="5" t="str">
        <f t="shared" ref="W66:W117" si="67">VLOOKUP(C66,$AO$1:$AP$18,2)</f>
        <v>--</v>
      </c>
      <c r="X66" s="5" t="str">
        <f t="shared" ref="X66:X117" si="68">VLOOKUP(D66,$AO$1:$AP$18,2)</f>
        <v>--</v>
      </c>
      <c r="Y66" s="5" t="str">
        <f t="shared" ref="Y66:Y117" si="69">VLOOKUP(E66,$AO$1:$AP$18,2)</f>
        <v>--</v>
      </c>
      <c r="Z66" s="5" t="str">
        <f t="shared" ref="Z66:Z117" si="70">VLOOKUP(F66,$AO$1:$AP$18,2)</f>
        <v>--</v>
      </c>
      <c r="AA66" s="5" t="str">
        <f t="shared" ref="AA66:AA117" si="71">VLOOKUP(G66,$AO$1:$AP$18,2)</f>
        <v>--</v>
      </c>
      <c r="AB66" s="5" t="str">
        <f t="shared" ref="AB66:AB117" si="72">VLOOKUP(H66,$AO$1:$AP$18,2)</f>
        <v>--</v>
      </c>
      <c r="AC66" s="5" t="str">
        <f t="shared" ref="AC66:AC117" si="73">VLOOKUP(I66,$AO$1:$AP$18,2)</f>
        <v>--</v>
      </c>
      <c r="AD66" s="5" t="str">
        <f t="shared" ref="AD66:AD117" si="74">VLOOKUP(J66,$AO$1:$AP$18,2)</f>
        <v>--</v>
      </c>
      <c r="AE66" s="5" t="str">
        <f t="shared" ref="AE66:AE117" si="75">VLOOKUP(K66,$AO$1:$AP$18,2)</f>
        <v>--</v>
      </c>
      <c r="AF66" s="5" t="str">
        <f t="shared" ref="AF66:AF117" si="76">VLOOKUP(L66,$AO$1:$AP$18,2)</f>
        <v>--</v>
      </c>
      <c r="AG66" s="34">
        <f>SUM(C66,D66,F66,G66)+LARGE((E66,H66,I66,J66,K66,L66),1)+LARGE((E66,H66,I66,J66,K66,L66),2)</f>
        <v>0</v>
      </c>
      <c r="AH66" s="5" t="e">
        <f>SUM(W66,X66,Z66,AA66)+SMALL((Y66,AB66,AC66,AD66,AE66,AF66),1)+SMALL((Y66,AB66,AC66,AD66,AE66,AF66),2)</f>
        <v>#NUM!</v>
      </c>
      <c r="AI66" s="15">
        <f>'Teacher''s Remarks'!M67</f>
        <v>0</v>
      </c>
      <c r="AJ66" s="15">
        <f>'Teacher''s Remarks'!N67</f>
        <v>0</v>
      </c>
      <c r="AK66" s="15">
        <f>'Teacher''s Remarks'!O67</f>
        <v>0</v>
      </c>
      <c r="AL66" s="15">
        <f>'Teacher''s Remarks'!P67</f>
        <v>0</v>
      </c>
      <c r="AM66" s="13">
        <f t="shared" si="56"/>
        <v>0</v>
      </c>
      <c r="AN66" s="14">
        <f>Attendance!B66</f>
        <v>0</v>
      </c>
      <c r="AO66" s="15"/>
      <c r="AP66" s="15"/>
      <c r="AQ66" s="22">
        <f t="shared" ref="AQ66:AQ117" ca="1" si="77">TODAY()</f>
        <v>45764</v>
      </c>
      <c r="AR66" s="15"/>
      <c r="AT66" s="12">
        <f t="shared" ref="AT66:AT97" si="78">RANK(C66,$C$2:$C$117)</f>
        <v>56</v>
      </c>
      <c r="AU66" t="str">
        <f>IF(OR(VALUE(RIGHT(AT66,5))={11,12,13}),"th",IF(OR(VALUE(RIGHT(AT66))={1,2,3}),CHOOSE(RIGHT(AT66),"st","nd","rd"),"th"))</f>
        <v>th</v>
      </c>
      <c r="AV66">
        <f t="shared" ref="AV66:AV97" si="79">RANK(D66,$D$2:$D$117)</f>
        <v>56</v>
      </c>
      <c r="AW66" t="str">
        <f>IF(OR(VALUE(RIGHT(AV66,5))={11,12,13}),"th",IF(OR(VALUE(RIGHT(AV66))={1,2,3}),CHOOSE(RIGHT(AV66),"st","nd","rd"),"th"))</f>
        <v>th</v>
      </c>
      <c r="AX66">
        <f t="shared" ref="AX66:AX97" si="80">RANK(E66,$E$2:$E$117)</f>
        <v>56</v>
      </c>
      <c r="AY66" t="str">
        <f>IF(OR(VALUE(RIGHT(AX66,5))={11,12,13}),"th",IF(OR(VALUE(RIGHT(AX66))={1,2,3}),CHOOSE(RIGHT(AX66),"st","nd","rd"),"th"))</f>
        <v>th</v>
      </c>
      <c r="AZ66">
        <f t="shared" ref="AZ66:AZ97" si="81">RANK(F66,$F$2:$F$117)</f>
        <v>56</v>
      </c>
      <c r="BA66" t="str">
        <f>IF(OR(VALUE(RIGHT(AZ66,5))={11,12,13}),"th",IF(OR(VALUE(RIGHT(AZ66))={1,2,3}),CHOOSE(RIGHT(AZ66),"st","nd","rd"),"th"))</f>
        <v>th</v>
      </c>
      <c r="BB66">
        <f t="shared" ref="BB66:BB97" si="82">RANK(G66,$G$2:$G$117)</f>
        <v>56</v>
      </c>
      <c r="BC66" t="str">
        <f>IF(OR(VALUE(RIGHT(BB66,5))={11,12,13}),"th",IF(OR(VALUE(RIGHT(BB66))={1,2,3}),CHOOSE(RIGHT(BB66),"st","nd","rd"),"th"))</f>
        <v>th</v>
      </c>
      <c r="BD66">
        <f t="shared" ref="BD66:BD97" si="83">RANK(H66,$H$2:$H$117)</f>
        <v>56</v>
      </c>
      <c r="BE66" t="str">
        <f>IF(OR(VALUE(RIGHT(BD66,5))={11,12,13}),"th",IF(OR(VALUE(RIGHT(BD66))={1,2,3}),CHOOSE(RIGHT(BD66),"st","nd","rd"),"th"))</f>
        <v>th</v>
      </c>
      <c r="BF66">
        <f t="shared" ref="BF66:BF97" si="84">RANK(I66,$I$2:$I$117)</f>
        <v>56</v>
      </c>
      <c r="BG66" t="str">
        <f>IF(OR(VALUE(RIGHT(BF66,5))={11,12,13}),"th",IF(OR(VALUE(RIGHT(BF66))={1,2,3}),CHOOSE(RIGHT(BF66),"st","nd","rd"),"th"))</f>
        <v>th</v>
      </c>
      <c r="BH66">
        <f t="shared" ref="BH66:BH97" si="85">RANK(J66,$J$2:$J$117)</f>
        <v>56</v>
      </c>
      <c r="BI66" t="str">
        <f>IF(OR(VALUE(RIGHT(BH66,5))={11,12,13}),"th",IF(OR(VALUE(RIGHT(BH66))={1,2,3}),CHOOSE(RIGHT(BH66),"st","nd","rd"),"th"))</f>
        <v>th</v>
      </c>
      <c r="BJ66">
        <f t="shared" ref="BJ66:BJ97" si="86">RANK(K66,$K$2:$K$117)</f>
        <v>56</v>
      </c>
      <c r="BK66" t="str" cm="1">
        <f t="array" ref="BK66">IF(OR(VALUE(RIGHT(BJ66,5))={11,12,13}),"th",IF(OR(VALUE(RIGHT(BJ66))={1,2,3}),CHOOSE(RIGHT(BJ66),"st","nd","rd"),"th"))</f>
        <v>th</v>
      </c>
      <c r="BL66">
        <f t="shared" ref="BL66:BL97" si="87">RANK(L66,$L$2:$L$117)</f>
        <v>57</v>
      </c>
      <c r="BM66" t="str">
        <f>IF(OR(VALUE(RIGHT(BL66,5))={11,12,13}),"th",IF(OR(VALUE(RIGHT(BL66))={1,2,3}),CHOOSE(RIGHT(BL66),"st","nd","rd"),"th"))</f>
        <v>th</v>
      </c>
      <c r="BO66" s="30">
        <f t="shared" ref="BO66:BO117" si="88">SUM(C66:L66)</f>
        <v>0</v>
      </c>
      <c r="BP66">
        <f t="shared" ref="BP66:BP97" si="89">RANK(BO66,$BO$2:$BO$117)</f>
        <v>57</v>
      </c>
      <c r="BQ66" t="str">
        <f>IF(OR(VALUE(RIGHT(BP66,5))={11,12,13}),"th",IF(OR(VALUE(RIGHT(BP66))={1,2,3}),CHOOSE(RIGHT(BP66),"st","nd","rd"),"th"))</f>
        <v>th</v>
      </c>
      <c r="BS66" s="27">
        <f>ClassScore!M66</f>
        <v>0</v>
      </c>
      <c r="BT66" s="27">
        <f>ClassScore!N66</f>
        <v>0</v>
      </c>
      <c r="BU66" s="27">
        <f>ClassScore!O66</f>
        <v>0</v>
      </c>
      <c r="BV66" s="27">
        <f>ClassScore!P66</f>
        <v>0</v>
      </c>
      <c r="BW66" s="27">
        <f>ClassScore!Q66</f>
        <v>0</v>
      </c>
      <c r="BX66" s="27">
        <f>ClassScore!R66</f>
        <v>0</v>
      </c>
      <c r="BY66" s="27">
        <f>ClassScore!S66</f>
        <v>0</v>
      </c>
      <c r="BZ66" s="27">
        <f>ClassScore!T66</f>
        <v>0</v>
      </c>
      <c r="CA66" s="27">
        <f>ClassScore!U66</f>
        <v>0</v>
      </c>
      <c r="CB66" s="27">
        <f>ClassScore!V66</f>
        <v>0</v>
      </c>
      <c r="CD66" s="27">
        <f>Examscore!M66</f>
        <v>0</v>
      </c>
      <c r="CE66" s="27">
        <f>Examscore!N66</f>
        <v>0</v>
      </c>
      <c r="CF66" s="27">
        <f>Examscore!O66</f>
        <v>0</v>
      </c>
      <c r="CG66" s="27">
        <f>Examscore!P66</f>
        <v>0</v>
      </c>
      <c r="CH66" s="27">
        <f>Examscore!Q66</f>
        <v>0</v>
      </c>
      <c r="CI66" s="27">
        <f>Examscore!R66</f>
        <v>0</v>
      </c>
      <c r="CJ66" s="27">
        <f>Examscore!S66</f>
        <v>0</v>
      </c>
      <c r="CK66" s="27">
        <f>Examscore!T66</f>
        <v>0</v>
      </c>
      <c r="CL66" s="27">
        <f>Examscore!U66</f>
        <v>0</v>
      </c>
      <c r="CM66" s="27">
        <f>Examscore!V66</f>
        <v>0</v>
      </c>
    </row>
    <row r="67" spans="1:91" ht="15.75" x14ac:dyDescent="0.25">
      <c r="A67" s="5">
        <f>Student!A67</f>
        <v>0</v>
      </c>
      <c r="B67" s="21">
        <f>Student!B67</f>
        <v>0</v>
      </c>
      <c r="C67" s="28">
        <f>ClassScore!M67+Examscore!M67</f>
        <v>0</v>
      </c>
      <c r="D67" s="28">
        <f>ClassScore!N67+Examscore!N67</f>
        <v>0</v>
      </c>
      <c r="E67" s="28">
        <f>ClassScore!O67+Examscore!O67</f>
        <v>0</v>
      </c>
      <c r="F67" s="28">
        <f>ClassScore!P67+Examscore!P67</f>
        <v>0</v>
      </c>
      <c r="G67" s="28">
        <f>ClassScore!Q67+Examscore!Q67</f>
        <v>0</v>
      </c>
      <c r="H67" s="28">
        <f>ClassScore!R67+Examscore!R67</f>
        <v>0</v>
      </c>
      <c r="I67" s="28">
        <f>ClassScore!S67+Examscore!S67</f>
        <v>0</v>
      </c>
      <c r="J67" s="28">
        <f>ClassScore!T67+Examscore!T67</f>
        <v>0</v>
      </c>
      <c r="K67" s="28">
        <f>ClassScore!U67+Examscore!U67</f>
        <v>0</v>
      </c>
      <c r="L67" s="28">
        <f>ClassScore!V67+Examscore!V67</f>
        <v>0</v>
      </c>
      <c r="M67" s="5" t="str">
        <f t="shared" si="57"/>
        <v>--</v>
      </c>
      <c r="N67" s="5" t="str">
        <f t="shared" si="58"/>
        <v>--</v>
      </c>
      <c r="O67" s="5" t="str">
        <f t="shared" si="59"/>
        <v>--</v>
      </c>
      <c r="P67" s="5" t="str">
        <f t="shared" si="60"/>
        <v>--</v>
      </c>
      <c r="Q67" s="5" t="str">
        <f t="shared" si="61"/>
        <v>--</v>
      </c>
      <c r="R67" s="5" t="str">
        <f t="shared" si="62"/>
        <v>--</v>
      </c>
      <c r="S67" s="5" t="str">
        <f t="shared" si="63"/>
        <v>--</v>
      </c>
      <c r="T67" s="5" t="str">
        <f t="shared" si="64"/>
        <v>--</v>
      </c>
      <c r="U67" s="5" t="str">
        <f t="shared" si="65"/>
        <v>--</v>
      </c>
      <c r="V67" s="5" t="str">
        <f t="shared" si="66"/>
        <v>--</v>
      </c>
      <c r="W67" s="5" t="str">
        <f t="shared" si="67"/>
        <v>--</v>
      </c>
      <c r="X67" s="5" t="str">
        <f t="shared" si="68"/>
        <v>--</v>
      </c>
      <c r="Y67" s="5" t="str">
        <f t="shared" si="69"/>
        <v>--</v>
      </c>
      <c r="Z67" s="5" t="str">
        <f t="shared" si="70"/>
        <v>--</v>
      </c>
      <c r="AA67" s="5" t="str">
        <f t="shared" si="71"/>
        <v>--</v>
      </c>
      <c r="AB67" s="5" t="str">
        <f t="shared" si="72"/>
        <v>--</v>
      </c>
      <c r="AC67" s="5" t="str">
        <f t="shared" si="73"/>
        <v>--</v>
      </c>
      <c r="AD67" s="5" t="str">
        <f t="shared" si="74"/>
        <v>--</v>
      </c>
      <c r="AE67" s="5" t="str">
        <f t="shared" si="75"/>
        <v>--</v>
      </c>
      <c r="AF67" s="5" t="str">
        <f t="shared" si="76"/>
        <v>--</v>
      </c>
      <c r="AG67" s="34">
        <f>SUM(C67,D67,F67,G67)+LARGE((E67,H67,I67,J67,K67,L67),1)+LARGE((E67,H67,I67,J67,K67,L67),2)</f>
        <v>0</v>
      </c>
      <c r="AH67" s="5" t="e">
        <f>SUM(W67,X67,Z67,AA67)+SMALL((Y67,AB67,AC67,AD67,AE67,AF67),1)+SMALL((Y67,AB67,AC67,AD67,AE67,AF67),2)</f>
        <v>#NUM!</v>
      </c>
      <c r="AI67" s="15">
        <f>'Teacher''s Remarks'!M68</f>
        <v>0</v>
      </c>
      <c r="AJ67" s="15">
        <f>'Teacher''s Remarks'!N68</f>
        <v>0</v>
      </c>
      <c r="AK67" s="15">
        <f>'Teacher''s Remarks'!O68</f>
        <v>0</v>
      </c>
      <c r="AL67" s="15">
        <f>'Teacher''s Remarks'!P68</f>
        <v>0</v>
      </c>
      <c r="AM67" s="13">
        <f t="shared" si="56"/>
        <v>0</v>
      </c>
      <c r="AN67" s="14">
        <f>Attendance!B67</f>
        <v>0</v>
      </c>
      <c r="AO67" s="15"/>
      <c r="AP67" s="15"/>
      <c r="AQ67" s="22">
        <f t="shared" ca="1" si="77"/>
        <v>45764</v>
      </c>
      <c r="AR67" s="15"/>
      <c r="AT67" s="12">
        <f t="shared" si="78"/>
        <v>56</v>
      </c>
      <c r="AU67" t="str">
        <f>IF(OR(VALUE(RIGHT(AT67,5))={11,12,13}),"th",IF(OR(VALUE(RIGHT(AT67))={1,2,3}),CHOOSE(RIGHT(AT67),"st","nd","rd"),"th"))</f>
        <v>th</v>
      </c>
      <c r="AV67">
        <f t="shared" si="79"/>
        <v>56</v>
      </c>
      <c r="AW67" t="str">
        <f>IF(OR(VALUE(RIGHT(AV67,5))={11,12,13}),"th",IF(OR(VALUE(RIGHT(AV67))={1,2,3}),CHOOSE(RIGHT(AV67),"st","nd","rd"),"th"))</f>
        <v>th</v>
      </c>
      <c r="AX67">
        <f t="shared" si="80"/>
        <v>56</v>
      </c>
      <c r="AY67" t="str">
        <f>IF(OR(VALUE(RIGHT(AX67,5))={11,12,13}),"th",IF(OR(VALUE(RIGHT(AX67))={1,2,3}),CHOOSE(RIGHT(AX67),"st","nd","rd"),"th"))</f>
        <v>th</v>
      </c>
      <c r="AZ67">
        <f t="shared" si="81"/>
        <v>56</v>
      </c>
      <c r="BA67" t="str">
        <f>IF(OR(VALUE(RIGHT(AZ67,5))={11,12,13}),"th",IF(OR(VALUE(RIGHT(AZ67))={1,2,3}),CHOOSE(RIGHT(AZ67),"st","nd","rd"),"th"))</f>
        <v>th</v>
      </c>
      <c r="BB67">
        <f t="shared" si="82"/>
        <v>56</v>
      </c>
      <c r="BC67" t="str">
        <f>IF(OR(VALUE(RIGHT(BB67,5))={11,12,13}),"th",IF(OR(VALUE(RIGHT(BB67))={1,2,3}),CHOOSE(RIGHT(BB67),"st","nd","rd"),"th"))</f>
        <v>th</v>
      </c>
      <c r="BD67">
        <f t="shared" si="83"/>
        <v>56</v>
      </c>
      <c r="BE67" t="str">
        <f>IF(OR(VALUE(RIGHT(BD67,5))={11,12,13}),"th",IF(OR(VALUE(RIGHT(BD67))={1,2,3}),CHOOSE(RIGHT(BD67),"st","nd","rd"),"th"))</f>
        <v>th</v>
      </c>
      <c r="BF67">
        <f t="shared" si="84"/>
        <v>56</v>
      </c>
      <c r="BG67" t="str">
        <f>IF(OR(VALUE(RIGHT(BF67,5))={11,12,13}),"th",IF(OR(VALUE(RIGHT(BF67))={1,2,3}),CHOOSE(RIGHT(BF67),"st","nd","rd"),"th"))</f>
        <v>th</v>
      </c>
      <c r="BH67">
        <f t="shared" si="85"/>
        <v>56</v>
      </c>
      <c r="BI67" t="str">
        <f>IF(OR(VALUE(RIGHT(BH67,5))={11,12,13}),"th",IF(OR(VALUE(RIGHT(BH67))={1,2,3}),CHOOSE(RIGHT(BH67),"st","nd","rd"),"th"))</f>
        <v>th</v>
      </c>
      <c r="BJ67">
        <f t="shared" si="86"/>
        <v>56</v>
      </c>
      <c r="BK67" t="str" cm="1">
        <f t="array" ref="BK67">IF(OR(VALUE(RIGHT(BJ67,5))={11,12,13}),"th",IF(OR(VALUE(RIGHT(BJ67))={1,2,3}),CHOOSE(RIGHT(BJ67),"st","nd","rd"),"th"))</f>
        <v>th</v>
      </c>
      <c r="BL67">
        <f t="shared" si="87"/>
        <v>57</v>
      </c>
      <c r="BM67" t="str">
        <f>IF(OR(VALUE(RIGHT(BL67,5))={11,12,13}),"th",IF(OR(VALUE(RIGHT(BL67))={1,2,3}),CHOOSE(RIGHT(BL67),"st","nd","rd"),"th"))</f>
        <v>th</v>
      </c>
      <c r="BO67" s="30">
        <f t="shared" si="88"/>
        <v>0</v>
      </c>
      <c r="BP67">
        <f t="shared" si="89"/>
        <v>57</v>
      </c>
      <c r="BQ67" t="str">
        <f>IF(OR(VALUE(RIGHT(BP67,5))={11,12,13}),"th",IF(OR(VALUE(RIGHT(BP67))={1,2,3}),CHOOSE(RIGHT(BP67),"st","nd","rd"),"th"))</f>
        <v>th</v>
      </c>
      <c r="BS67" s="27">
        <f>ClassScore!M67</f>
        <v>0</v>
      </c>
      <c r="BT67" s="27">
        <f>ClassScore!N67</f>
        <v>0</v>
      </c>
      <c r="BU67" s="27">
        <f>ClassScore!O67</f>
        <v>0</v>
      </c>
      <c r="BV67" s="27">
        <f>ClassScore!P67</f>
        <v>0</v>
      </c>
      <c r="BW67" s="27">
        <f>ClassScore!Q67</f>
        <v>0</v>
      </c>
      <c r="BX67" s="27">
        <f>ClassScore!R67</f>
        <v>0</v>
      </c>
      <c r="BY67" s="27">
        <f>ClassScore!S67</f>
        <v>0</v>
      </c>
      <c r="BZ67" s="27">
        <f>ClassScore!T67</f>
        <v>0</v>
      </c>
      <c r="CA67" s="27">
        <f>ClassScore!U67</f>
        <v>0</v>
      </c>
      <c r="CB67" s="27">
        <f>ClassScore!V67</f>
        <v>0</v>
      </c>
      <c r="CD67" s="27">
        <f>Examscore!M67</f>
        <v>0</v>
      </c>
      <c r="CE67" s="27">
        <f>Examscore!N67</f>
        <v>0</v>
      </c>
      <c r="CF67" s="27">
        <f>Examscore!O67</f>
        <v>0</v>
      </c>
      <c r="CG67" s="27">
        <f>Examscore!P67</f>
        <v>0</v>
      </c>
      <c r="CH67" s="27">
        <f>Examscore!Q67</f>
        <v>0</v>
      </c>
      <c r="CI67" s="27">
        <f>Examscore!R67</f>
        <v>0</v>
      </c>
      <c r="CJ67" s="27">
        <f>Examscore!S67</f>
        <v>0</v>
      </c>
      <c r="CK67" s="27">
        <f>Examscore!T67</f>
        <v>0</v>
      </c>
      <c r="CL67" s="27">
        <f>Examscore!U67</f>
        <v>0</v>
      </c>
      <c r="CM67" s="27">
        <f>Examscore!V67</f>
        <v>0</v>
      </c>
    </row>
    <row r="68" spans="1:91" ht="15.75" x14ac:dyDescent="0.25">
      <c r="A68" s="5">
        <f>Student!A68</f>
        <v>0</v>
      </c>
      <c r="B68" s="21">
        <f>Student!B68</f>
        <v>0</v>
      </c>
      <c r="C68" s="28">
        <f>ClassScore!M68+Examscore!M68</f>
        <v>0</v>
      </c>
      <c r="D68" s="28">
        <f>ClassScore!N68+Examscore!N68</f>
        <v>0</v>
      </c>
      <c r="E68" s="28">
        <f>ClassScore!O68+Examscore!O68</f>
        <v>0</v>
      </c>
      <c r="F68" s="28">
        <f>ClassScore!P68+Examscore!P68</f>
        <v>0</v>
      </c>
      <c r="G68" s="28">
        <f>ClassScore!Q68+Examscore!Q68</f>
        <v>0</v>
      </c>
      <c r="H68" s="28">
        <f>ClassScore!R68+Examscore!R68</f>
        <v>0</v>
      </c>
      <c r="I68" s="28">
        <f>ClassScore!S68+Examscore!S68</f>
        <v>0</v>
      </c>
      <c r="J68" s="28">
        <f>ClassScore!T68+Examscore!T68</f>
        <v>0</v>
      </c>
      <c r="K68" s="28">
        <f>ClassScore!U68+Examscore!U68</f>
        <v>0</v>
      </c>
      <c r="L68" s="28">
        <f>ClassScore!V68+Examscore!V68</f>
        <v>0</v>
      </c>
      <c r="M68" s="5" t="str">
        <f t="shared" si="57"/>
        <v>--</v>
      </c>
      <c r="N68" s="5" t="str">
        <f t="shared" si="58"/>
        <v>--</v>
      </c>
      <c r="O68" s="5" t="str">
        <f t="shared" si="59"/>
        <v>--</v>
      </c>
      <c r="P68" s="5" t="str">
        <f t="shared" si="60"/>
        <v>--</v>
      </c>
      <c r="Q68" s="5" t="str">
        <f t="shared" si="61"/>
        <v>--</v>
      </c>
      <c r="R68" s="5" t="str">
        <f t="shared" si="62"/>
        <v>--</v>
      </c>
      <c r="S68" s="5" t="str">
        <f t="shared" si="63"/>
        <v>--</v>
      </c>
      <c r="T68" s="5" t="str">
        <f t="shared" si="64"/>
        <v>--</v>
      </c>
      <c r="U68" s="5" t="str">
        <f t="shared" si="65"/>
        <v>--</v>
      </c>
      <c r="V68" s="5" t="str">
        <f t="shared" si="66"/>
        <v>--</v>
      </c>
      <c r="W68" s="5" t="str">
        <f t="shared" si="67"/>
        <v>--</v>
      </c>
      <c r="X68" s="5" t="str">
        <f t="shared" si="68"/>
        <v>--</v>
      </c>
      <c r="Y68" s="5" t="str">
        <f t="shared" si="69"/>
        <v>--</v>
      </c>
      <c r="Z68" s="5" t="str">
        <f t="shared" si="70"/>
        <v>--</v>
      </c>
      <c r="AA68" s="5" t="str">
        <f t="shared" si="71"/>
        <v>--</v>
      </c>
      <c r="AB68" s="5" t="str">
        <f t="shared" si="72"/>
        <v>--</v>
      </c>
      <c r="AC68" s="5" t="str">
        <f t="shared" si="73"/>
        <v>--</v>
      </c>
      <c r="AD68" s="5" t="str">
        <f t="shared" si="74"/>
        <v>--</v>
      </c>
      <c r="AE68" s="5" t="str">
        <f t="shared" si="75"/>
        <v>--</v>
      </c>
      <c r="AF68" s="5" t="str">
        <f t="shared" si="76"/>
        <v>--</v>
      </c>
      <c r="AG68" s="34">
        <f>SUM(C68,D68,F68,G68)+LARGE((E68,H68,I68,J68,K68,L68),1)+LARGE((E68,H68,I68,J68,K68,L68),2)</f>
        <v>0</v>
      </c>
      <c r="AH68" s="5" t="e">
        <f>SUM(W68,X68,Z68,AA68)+SMALL((Y68,AB68,AC68,AD68,AE68,AF68),1)+SMALL((Y68,AB68,AC68,AD68,AE68,AF68),2)</f>
        <v>#NUM!</v>
      </c>
      <c r="AI68" s="15">
        <f>'Teacher''s Remarks'!M69</f>
        <v>0</v>
      </c>
      <c r="AJ68" s="15">
        <f>'Teacher''s Remarks'!N69</f>
        <v>0</v>
      </c>
      <c r="AK68" s="15">
        <f>'Teacher''s Remarks'!O69</f>
        <v>0</v>
      </c>
      <c r="AL68" s="15">
        <f>'Teacher''s Remarks'!P69</f>
        <v>0</v>
      </c>
      <c r="AM68" s="13">
        <f t="shared" si="56"/>
        <v>0</v>
      </c>
      <c r="AN68" s="14">
        <f>Attendance!B68</f>
        <v>0</v>
      </c>
      <c r="AO68" s="15"/>
      <c r="AP68" s="15"/>
      <c r="AQ68" s="22">
        <f t="shared" ca="1" si="77"/>
        <v>45764</v>
      </c>
      <c r="AR68" s="15"/>
      <c r="AT68" s="12">
        <f t="shared" si="78"/>
        <v>56</v>
      </c>
      <c r="AU68" t="str">
        <f>IF(OR(VALUE(RIGHT(AT68,5))={11,12,13}),"th",IF(OR(VALUE(RIGHT(AT68))={1,2,3}),CHOOSE(RIGHT(AT68),"st","nd","rd"),"th"))</f>
        <v>th</v>
      </c>
      <c r="AV68">
        <f t="shared" si="79"/>
        <v>56</v>
      </c>
      <c r="AW68" t="str">
        <f>IF(OR(VALUE(RIGHT(AV68,5))={11,12,13}),"th",IF(OR(VALUE(RIGHT(AV68))={1,2,3}),CHOOSE(RIGHT(AV68),"st","nd","rd"),"th"))</f>
        <v>th</v>
      </c>
      <c r="AX68">
        <f t="shared" si="80"/>
        <v>56</v>
      </c>
      <c r="AY68" t="str">
        <f>IF(OR(VALUE(RIGHT(AX68,5))={11,12,13}),"th",IF(OR(VALUE(RIGHT(AX68))={1,2,3}),CHOOSE(RIGHT(AX68),"st","nd","rd"),"th"))</f>
        <v>th</v>
      </c>
      <c r="AZ68">
        <f t="shared" si="81"/>
        <v>56</v>
      </c>
      <c r="BA68" t="str">
        <f>IF(OR(VALUE(RIGHT(AZ68,5))={11,12,13}),"th",IF(OR(VALUE(RIGHT(AZ68))={1,2,3}),CHOOSE(RIGHT(AZ68),"st","nd","rd"),"th"))</f>
        <v>th</v>
      </c>
      <c r="BB68">
        <f t="shared" si="82"/>
        <v>56</v>
      </c>
      <c r="BC68" t="str">
        <f>IF(OR(VALUE(RIGHT(BB68,5))={11,12,13}),"th",IF(OR(VALUE(RIGHT(BB68))={1,2,3}),CHOOSE(RIGHT(BB68),"st","nd","rd"),"th"))</f>
        <v>th</v>
      </c>
      <c r="BD68">
        <f t="shared" si="83"/>
        <v>56</v>
      </c>
      <c r="BE68" t="str">
        <f>IF(OR(VALUE(RIGHT(BD68,5))={11,12,13}),"th",IF(OR(VALUE(RIGHT(BD68))={1,2,3}),CHOOSE(RIGHT(BD68),"st","nd","rd"),"th"))</f>
        <v>th</v>
      </c>
      <c r="BF68">
        <f t="shared" si="84"/>
        <v>56</v>
      </c>
      <c r="BG68" t="str">
        <f>IF(OR(VALUE(RIGHT(BF68,5))={11,12,13}),"th",IF(OR(VALUE(RIGHT(BF68))={1,2,3}),CHOOSE(RIGHT(BF68),"st","nd","rd"),"th"))</f>
        <v>th</v>
      </c>
      <c r="BH68">
        <f t="shared" si="85"/>
        <v>56</v>
      </c>
      <c r="BI68" t="str">
        <f>IF(OR(VALUE(RIGHT(BH68,5))={11,12,13}),"th",IF(OR(VALUE(RIGHT(BH68))={1,2,3}),CHOOSE(RIGHT(BH68),"st","nd","rd"),"th"))</f>
        <v>th</v>
      </c>
      <c r="BJ68">
        <f t="shared" si="86"/>
        <v>56</v>
      </c>
      <c r="BK68" t="str" cm="1">
        <f t="array" ref="BK68">IF(OR(VALUE(RIGHT(BJ68,5))={11,12,13}),"th",IF(OR(VALUE(RIGHT(BJ68))={1,2,3}),CHOOSE(RIGHT(BJ68),"st","nd","rd"),"th"))</f>
        <v>th</v>
      </c>
      <c r="BL68">
        <f t="shared" si="87"/>
        <v>57</v>
      </c>
      <c r="BM68" t="str">
        <f>IF(OR(VALUE(RIGHT(BL68,5))={11,12,13}),"th",IF(OR(VALUE(RIGHT(BL68))={1,2,3}),CHOOSE(RIGHT(BL68),"st","nd","rd"),"th"))</f>
        <v>th</v>
      </c>
      <c r="BO68" s="30">
        <f t="shared" si="88"/>
        <v>0</v>
      </c>
      <c r="BP68">
        <f t="shared" si="89"/>
        <v>57</v>
      </c>
      <c r="BQ68" t="str">
        <f>IF(OR(VALUE(RIGHT(BP68,5))={11,12,13}),"th",IF(OR(VALUE(RIGHT(BP68))={1,2,3}),CHOOSE(RIGHT(BP68),"st","nd","rd"),"th"))</f>
        <v>th</v>
      </c>
      <c r="BS68" s="27">
        <f>ClassScore!M68</f>
        <v>0</v>
      </c>
      <c r="BT68" s="27">
        <f>ClassScore!N68</f>
        <v>0</v>
      </c>
      <c r="BU68" s="27">
        <f>ClassScore!O68</f>
        <v>0</v>
      </c>
      <c r="BV68" s="27">
        <f>ClassScore!P68</f>
        <v>0</v>
      </c>
      <c r="BW68" s="27">
        <f>ClassScore!Q68</f>
        <v>0</v>
      </c>
      <c r="BX68" s="27">
        <f>ClassScore!R68</f>
        <v>0</v>
      </c>
      <c r="BY68" s="27">
        <f>ClassScore!S68</f>
        <v>0</v>
      </c>
      <c r="BZ68" s="27">
        <f>ClassScore!T68</f>
        <v>0</v>
      </c>
      <c r="CA68" s="27">
        <f>ClassScore!U68</f>
        <v>0</v>
      </c>
      <c r="CB68" s="27">
        <f>ClassScore!V68</f>
        <v>0</v>
      </c>
      <c r="CD68" s="27">
        <f>Examscore!M68</f>
        <v>0</v>
      </c>
      <c r="CE68" s="27">
        <f>Examscore!N68</f>
        <v>0</v>
      </c>
      <c r="CF68" s="27">
        <f>Examscore!O68</f>
        <v>0</v>
      </c>
      <c r="CG68" s="27">
        <f>Examscore!P68</f>
        <v>0</v>
      </c>
      <c r="CH68" s="27">
        <f>Examscore!Q68</f>
        <v>0</v>
      </c>
      <c r="CI68" s="27">
        <f>Examscore!R68</f>
        <v>0</v>
      </c>
      <c r="CJ68" s="27">
        <f>Examscore!S68</f>
        <v>0</v>
      </c>
      <c r="CK68" s="27">
        <f>Examscore!T68</f>
        <v>0</v>
      </c>
      <c r="CL68" s="27">
        <f>Examscore!U68</f>
        <v>0</v>
      </c>
      <c r="CM68" s="27">
        <f>Examscore!V68</f>
        <v>0</v>
      </c>
    </row>
    <row r="69" spans="1:91" ht="15.75" x14ac:dyDescent="0.25">
      <c r="A69" s="5">
        <f>Student!A69</f>
        <v>0</v>
      </c>
      <c r="B69" s="21">
        <f>Student!B69</f>
        <v>0</v>
      </c>
      <c r="C69" s="28">
        <f>ClassScore!M69+Examscore!M69</f>
        <v>0</v>
      </c>
      <c r="D69" s="28">
        <f>ClassScore!N69+Examscore!N69</f>
        <v>0</v>
      </c>
      <c r="E69" s="28">
        <f>ClassScore!O69+Examscore!O69</f>
        <v>0</v>
      </c>
      <c r="F69" s="28">
        <f>ClassScore!P69+Examscore!P69</f>
        <v>0</v>
      </c>
      <c r="G69" s="28">
        <f>ClassScore!Q69+Examscore!Q69</f>
        <v>0</v>
      </c>
      <c r="H69" s="28">
        <f>ClassScore!R69+Examscore!R69</f>
        <v>0</v>
      </c>
      <c r="I69" s="28">
        <f>ClassScore!S69+Examscore!S69</f>
        <v>0</v>
      </c>
      <c r="J69" s="28">
        <f>ClassScore!T69+Examscore!T69</f>
        <v>0</v>
      </c>
      <c r="K69" s="28">
        <f>ClassScore!U69+Examscore!U69</f>
        <v>0</v>
      </c>
      <c r="L69" s="28">
        <f>ClassScore!V69+Examscore!V69</f>
        <v>0</v>
      </c>
      <c r="M69" s="5" t="str">
        <f t="shared" si="57"/>
        <v>--</v>
      </c>
      <c r="N69" s="5" t="str">
        <f t="shared" si="58"/>
        <v>--</v>
      </c>
      <c r="O69" s="5" t="str">
        <f t="shared" si="59"/>
        <v>--</v>
      </c>
      <c r="P69" s="5" t="str">
        <f t="shared" si="60"/>
        <v>--</v>
      </c>
      <c r="Q69" s="5" t="str">
        <f t="shared" si="61"/>
        <v>--</v>
      </c>
      <c r="R69" s="5" t="str">
        <f t="shared" si="62"/>
        <v>--</v>
      </c>
      <c r="S69" s="5" t="str">
        <f t="shared" si="63"/>
        <v>--</v>
      </c>
      <c r="T69" s="5" t="str">
        <f t="shared" si="64"/>
        <v>--</v>
      </c>
      <c r="U69" s="5" t="str">
        <f t="shared" si="65"/>
        <v>--</v>
      </c>
      <c r="V69" s="5" t="str">
        <f t="shared" si="66"/>
        <v>--</v>
      </c>
      <c r="W69" s="5" t="str">
        <f t="shared" si="67"/>
        <v>--</v>
      </c>
      <c r="X69" s="5" t="str">
        <f t="shared" si="68"/>
        <v>--</v>
      </c>
      <c r="Y69" s="5" t="str">
        <f t="shared" si="69"/>
        <v>--</v>
      </c>
      <c r="Z69" s="5" t="str">
        <f t="shared" si="70"/>
        <v>--</v>
      </c>
      <c r="AA69" s="5" t="str">
        <f t="shared" si="71"/>
        <v>--</v>
      </c>
      <c r="AB69" s="5" t="str">
        <f t="shared" si="72"/>
        <v>--</v>
      </c>
      <c r="AC69" s="5" t="str">
        <f t="shared" si="73"/>
        <v>--</v>
      </c>
      <c r="AD69" s="5" t="str">
        <f t="shared" si="74"/>
        <v>--</v>
      </c>
      <c r="AE69" s="5" t="str">
        <f t="shared" si="75"/>
        <v>--</v>
      </c>
      <c r="AF69" s="5" t="str">
        <f t="shared" si="76"/>
        <v>--</v>
      </c>
      <c r="AG69" s="34">
        <f>SUM(C69,D69,F69,G69)+LARGE((E69,H69,I69,J69,K69,L69),1)+LARGE((E69,H69,I69,J69,K69,L69),2)</f>
        <v>0</v>
      </c>
      <c r="AH69" s="5" t="e">
        <f>SUM(W69,X69,Z69,AA69)+SMALL((Y69,AB69,AC69,AD69,AE69,AF69),1)+SMALL((Y69,AB69,AC69,AD69,AE69,AF69),2)</f>
        <v>#NUM!</v>
      </c>
      <c r="AI69" s="15">
        <f>'Teacher''s Remarks'!M70</f>
        <v>0</v>
      </c>
      <c r="AJ69" s="15">
        <f>'Teacher''s Remarks'!N70</f>
        <v>0</v>
      </c>
      <c r="AK69" s="15">
        <f>'Teacher''s Remarks'!O70</f>
        <v>0</v>
      </c>
      <c r="AL69" s="15">
        <f>'Teacher''s Remarks'!P70</f>
        <v>0</v>
      </c>
      <c r="AM69" s="13">
        <f t="shared" si="56"/>
        <v>0</v>
      </c>
      <c r="AN69" s="14">
        <f>Attendance!B69</f>
        <v>0</v>
      </c>
      <c r="AO69" s="15"/>
      <c r="AP69" s="15"/>
      <c r="AQ69" s="22">
        <f t="shared" ca="1" si="77"/>
        <v>45764</v>
      </c>
      <c r="AR69" s="15"/>
      <c r="AT69" s="12">
        <f t="shared" si="78"/>
        <v>56</v>
      </c>
      <c r="AU69" t="str">
        <f>IF(OR(VALUE(RIGHT(AT69,5))={11,12,13}),"th",IF(OR(VALUE(RIGHT(AT69))={1,2,3}),CHOOSE(RIGHT(AT69),"st","nd","rd"),"th"))</f>
        <v>th</v>
      </c>
      <c r="AV69">
        <f t="shared" si="79"/>
        <v>56</v>
      </c>
      <c r="AW69" t="str">
        <f>IF(OR(VALUE(RIGHT(AV69,5))={11,12,13}),"th",IF(OR(VALUE(RIGHT(AV69))={1,2,3}),CHOOSE(RIGHT(AV69),"st","nd","rd"),"th"))</f>
        <v>th</v>
      </c>
      <c r="AX69">
        <f t="shared" si="80"/>
        <v>56</v>
      </c>
      <c r="AY69" t="str">
        <f>IF(OR(VALUE(RIGHT(AX69,5))={11,12,13}),"th",IF(OR(VALUE(RIGHT(AX69))={1,2,3}),CHOOSE(RIGHT(AX69),"st","nd","rd"),"th"))</f>
        <v>th</v>
      </c>
      <c r="AZ69">
        <f t="shared" si="81"/>
        <v>56</v>
      </c>
      <c r="BA69" t="str">
        <f>IF(OR(VALUE(RIGHT(AZ69,5))={11,12,13}),"th",IF(OR(VALUE(RIGHT(AZ69))={1,2,3}),CHOOSE(RIGHT(AZ69),"st","nd","rd"),"th"))</f>
        <v>th</v>
      </c>
      <c r="BB69">
        <f t="shared" si="82"/>
        <v>56</v>
      </c>
      <c r="BC69" t="str">
        <f>IF(OR(VALUE(RIGHT(BB69,5))={11,12,13}),"th",IF(OR(VALUE(RIGHT(BB69))={1,2,3}),CHOOSE(RIGHT(BB69),"st","nd","rd"),"th"))</f>
        <v>th</v>
      </c>
      <c r="BD69">
        <f t="shared" si="83"/>
        <v>56</v>
      </c>
      <c r="BE69" t="str">
        <f>IF(OR(VALUE(RIGHT(BD69,5))={11,12,13}),"th",IF(OR(VALUE(RIGHT(BD69))={1,2,3}),CHOOSE(RIGHT(BD69),"st","nd","rd"),"th"))</f>
        <v>th</v>
      </c>
      <c r="BF69">
        <f t="shared" si="84"/>
        <v>56</v>
      </c>
      <c r="BG69" t="str">
        <f>IF(OR(VALUE(RIGHT(BF69,5))={11,12,13}),"th",IF(OR(VALUE(RIGHT(BF69))={1,2,3}),CHOOSE(RIGHT(BF69),"st","nd","rd"),"th"))</f>
        <v>th</v>
      </c>
      <c r="BH69">
        <f t="shared" si="85"/>
        <v>56</v>
      </c>
      <c r="BI69" t="str">
        <f>IF(OR(VALUE(RIGHT(BH69,5))={11,12,13}),"th",IF(OR(VALUE(RIGHT(BH69))={1,2,3}),CHOOSE(RIGHT(BH69),"st","nd","rd"),"th"))</f>
        <v>th</v>
      </c>
      <c r="BJ69">
        <f t="shared" si="86"/>
        <v>56</v>
      </c>
      <c r="BK69" t="str" cm="1">
        <f t="array" ref="BK69">IF(OR(VALUE(RIGHT(BJ69,5))={11,12,13}),"th",IF(OR(VALUE(RIGHT(BJ69))={1,2,3}),CHOOSE(RIGHT(BJ69),"st","nd","rd"),"th"))</f>
        <v>th</v>
      </c>
      <c r="BL69">
        <f t="shared" si="87"/>
        <v>57</v>
      </c>
      <c r="BM69" t="str">
        <f>IF(OR(VALUE(RIGHT(BL69,5))={11,12,13}),"th",IF(OR(VALUE(RIGHT(BL69))={1,2,3}),CHOOSE(RIGHT(BL69),"st","nd","rd"),"th"))</f>
        <v>th</v>
      </c>
      <c r="BO69" s="30">
        <f t="shared" si="88"/>
        <v>0</v>
      </c>
      <c r="BP69">
        <f t="shared" si="89"/>
        <v>57</v>
      </c>
      <c r="BQ69" t="str">
        <f>IF(OR(VALUE(RIGHT(BP69,5))={11,12,13}),"th",IF(OR(VALUE(RIGHT(BP69))={1,2,3}),CHOOSE(RIGHT(BP69),"st","nd","rd"),"th"))</f>
        <v>th</v>
      </c>
      <c r="BS69" s="27">
        <f>ClassScore!M69</f>
        <v>0</v>
      </c>
      <c r="BT69" s="27">
        <f>ClassScore!N69</f>
        <v>0</v>
      </c>
      <c r="BU69" s="27">
        <f>ClassScore!O69</f>
        <v>0</v>
      </c>
      <c r="BV69" s="27">
        <f>ClassScore!P69</f>
        <v>0</v>
      </c>
      <c r="BW69" s="27">
        <f>ClassScore!Q69</f>
        <v>0</v>
      </c>
      <c r="BX69" s="27">
        <f>ClassScore!R69</f>
        <v>0</v>
      </c>
      <c r="BY69" s="27">
        <f>ClassScore!S69</f>
        <v>0</v>
      </c>
      <c r="BZ69" s="27">
        <f>ClassScore!T69</f>
        <v>0</v>
      </c>
      <c r="CA69" s="27">
        <f>ClassScore!U69</f>
        <v>0</v>
      </c>
      <c r="CB69" s="27">
        <f>ClassScore!V69</f>
        <v>0</v>
      </c>
      <c r="CD69" s="27">
        <f>Examscore!M69</f>
        <v>0</v>
      </c>
      <c r="CE69" s="27">
        <f>Examscore!N69</f>
        <v>0</v>
      </c>
      <c r="CF69" s="27">
        <f>Examscore!O69</f>
        <v>0</v>
      </c>
      <c r="CG69" s="27">
        <f>Examscore!P69</f>
        <v>0</v>
      </c>
      <c r="CH69" s="27">
        <f>Examscore!Q69</f>
        <v>0</v>
      </c>
      <c r="CI69" s="27">
        <f>Examscore!R69</f>
        <v>0</v>
      </c>
      <c r="CJ69" s="27">
        <f>Examscore!S69</f>
        <v>0</v>
      </c>
      <c r="CK69" s="27">
        <f>Examscore!T69</f>
        <v>0</v>
      </c>
      <c r="CL69" s="27">
        <f>Examscore!U69</f>
        <v>0</v>
      </c>
      <c r="CM69" s="27">
        <f>Examscore!V69</f>
        <v>0</v>
      </c>
    </row>
    <row r="70" spans="1:91" ht="15.75" x14ac:dyDescent="0.25">
      <c r="A70" s="5">
        <f>Student!A70</f>
        <v>0</v>
      </c>
      <c r="B70" s="21">
        <f>Student!B70</f>
        <v>0</v>
      </c>
      <c r="C70" s="28">
        <f>ClassScore!M70+Examscore!M70</f>
        <v>0</v>
      </c>
      <c r="D70" s="28">
        <f>ClassScore!N70+Examscore!N70</f>
        <v>0</v>
      </c>
      <c r="E70" s="28">
        <f>ClassScore!O70+Examscore!O70</f>
        <v>0</v>
      </c>
      <c r="F70" s="28">
        <f>ClassScore!P70+Examscore!P70</f>
        <v>0</v>
      </c>
      <c r="G70" s="28">
        <f>ClassScore!Q70+Examscore!Q70</f>
        <v>0</v>
      </c>
      <c r="H70" s="28">
        <f>ClassScore!R70+Examscore!R70</f>
        <v>0</v>
      </c>
      <c r="I70" s="28">
        <f>ClassScore!S70+Examscore!S70</f>
        <v>0</v>
      </c>
      <c r="J70" s="28">
        <f>ClassScore!T70+Examscore!T70</f>
        <v>0</v>
      </c>
      <c r="K70" s="28">
        <f>ClassScore!U70+Examscore!U70</f>
        <v>0</v>
      </c>
      <c r="L70" s="28">
        <f>ClassScore!V70+Examscore!V70</f>
        <v>0</v>
      </c>
      <c r="M70" s="5" t="str">
        <f t="shared" si="57"/>
        <v>--</v>
      </c>
      <c r="N70" s="5" t="str">
        <f t="shared" si="58"/>
        <v>--</v>
      </c>
      <c r="O70" s="5" t="str">
        <f t="shared" si="59"/>
        <v>--</v>
      </c>
      <c r="P70" s="5" t="str">
        <f t="shared" si="60"/>
        <v>--</v>
      </c>
      <c r="Q70" s="5" t="str">
        <f t="shared" si="61"/>
        <v>--</v>
      </c>
      <c r="R70" s="5" t="str">
        <f t="shared" si="62"/>
        <v>--</v>
      </c>
      <c r="S70" s="5" t="str">
        <f t="shared" si="63"/>
        <v>--</v>
      </c>
      <c r="T70" s="5" t="str">
        <f t="shared" si="64"/>
        <v>--</v>
      </c>
      <c r="U70" s="5" t="str">
        <f t="shared" si="65"/>
        <v>--</v>
      </c>
      <c r="V70" s="5" t="str">
        <f t="shared" si="66"/>
        <v>--</v>
      </c>
      <c r="W70" s="5" t="str">
        <f t="shared" si="67"/>
        <v>--</v>
      </c>
      <c r="X70" s="5" t="str">
        <f t="shared" si="68"/>
        <v>--</v>
      </c>
      <c r="Y70" s="5" t="str">
        <f t="shared" si="69"/>
        <v>--</v>
      </c>
      <c r="Z70" s="5" t="str">
        <f t="shared" si="70"/>
        <v>--</v>
      </c>
      <c r="AA70" s="5" t="str">
        <f t="shared" si="71"/>
        <v>--</v>
      </c>
      <c r="AB70" s="5" t="str">
        <f t="shared" si="72"/>
        <v>--</v>
      </c>
      <c r="AC70" s="5" t="str">
        <f t="shared" si="73"/>
        <v>--</v>
      </c>
      <c r="AD70" s="5" t="str">
        <f t="shared" si="74"/>
        <v>--</v>
      </c>
      <c r="AE70" s="5" t="str">
        <f t="shared" si="75"/>
        <v>--</v>
      </c>
      <c r="AF70" s="5" t="str">
        <f t="shared" si="76"/>
        <v>--</v>
      </c>
      <c r="AG70" s="34">
        <f>SUM(C70,D70,F70,G70)+LARGE((E70,H70,I70,J70,K70,L70),1)+LARGE((E70,H70,I70,J70,K70,L70),2)</f>
        <v>0</v>
      </c>
      <c r="AH70" s="5" t="e">
        <f>SUM(W70,X70,Z70,AA70)+SMALL((Y70,AB70,AC70,AD70,AE70,AF70),1)+SMALL((Y70,AB70,AC70,AD70,AE70,AF70),2)</f>
        <v>#NUM!</v>
      </c>
      <c r="AI70" s="15">
        <f>'Teacher''s Remarks'!M71</f>
        <v>0</v>
      </c>
      <c r="AJ70" s="15">
        <f>'Teacher''s Remarks'!N71</f>
        <v>0</v>
      </c>
      <c r="AK70" s="15">
        <f>'Teacher''s Remarks'!O71</f>
        <v>0</v>
      </c>
      <c r="AL70" s="15">
        <f>'Teacher''s Remarks'!P71</f>
        <v>0</v>
      </c>
      <c r="AM70" s="13">
        <f t="shared" si="56"/>
        <v>0</v>
      </c>
      <c r="AN70" s="14">
        <f>Attendance!B70</f>
        <v>0</v>
      </c>
      <c r="AO70" s="15"/>
      <c r="AP70" s="15"/>
      <c r="AQ70" s="22">
        <f t="shared" ca="1" si="77"/>
        <v>45764</v>
      </c>
      <c r="AR70" s="15"/>
      <c r="AT70" s="12">
        <f t="shared" si="78"/>
        <v>56</v>
      </c>
      <c r="AU70" t="str">
        <f>IF(OR(VALUE(RIGHT(AT70,5))={11,12,13}),"th",IF(OR(VALUE(RIGHT(AT70))={1,2,3}),CHOOSE(RIGHT(AT70),"st","nd","rd"),"th"))</f>
        <v>th</v>
      </c>
      <c r="AV70">
        <f t="shared" si="79"/>
        <v>56</v>
      </c>
      <c r="AW70" t="str">
        <f>IF(OR(VALUE(RIGHT(AV70,5))={11,12,13}),"th",IF(OR(VALUE(RIGHT(AV70))={1,2,3}),CHOOSE(RIGHT(AV70),"st","nd","rd"),"th"))</f>
        <v>th</v>
      </c>
      <c r="AX70">
        <f t="shared" si="80"/>
        <v>56</v>
      </c>
      <c r="AY70" t="str">
        <f>IF(OR(VALUE(RIGHT(AX70,5))={11,12,13}),"th",IF(OR(VALUE(RIGHT(AX70))={1,2,3}),CHOOSE(RIGHT(AX70),"st","nd","rd"),"th"))</f>
        <v>th</v>
      </c>
      <c r="AZ70">
        <f t="shared" si="81"/>
        <v>56</v>
      </c>
      <c r="BA70" t="str">
        <f>IF(OR(VALUE(RIGHT(AZ70,5))={11,12,13}),"th",IF(OR(VALUE(RIGHT(AZ70))={1,2,3}),CHOOSE(RIGHT(AZ70),"st","nd","rd"),"th"))</f>
        <v>th</v>
      </c>
      <c r="BB70">
        <f t="shared" si="82"/>
        <v>56</v>
      </c>
      <c r="BC70" t="str">
        <f>IF(OR(VALUE(RIGHT(BB70,5))={11,12,13}),"th",IF(OR(VALUE(RIGHT(BB70))={1,2,3}),CHOOSE(RIGHT(BB70),"st","nd","rd"),"th"))</f>
        <v>th</v>
      </c>
      <c r="BD70">
        <f t="shared" si="83"/>
        <v>56</v>
      </c>
      <c r="BE70" t="str">
        <f>IF(OR(VALUE(RIGHT(BD70,5))={11,12,13}),"th",IF(OR(VALUE(RIGHT(BD70))={1,2,3}),CHOOSE(RIGHT(BD70),"st","nd","rd"),"th"))</f>
        <v>th</v>
      </c>
      <c r="BF70">
        <f t="shared" si="84"/>
        <v>56</v>
      </c>
      <c r="BG70" t="str">
        <f>IF(OR(VALUE(RIGHT(BF70,5))={11,12,13}),"th",IF(OR(VALUE(RIGHT(BF70))={1,2,3}),CHOOSE(RIGHT(BF70),"st","nd","rd"),"th"))</f>
        <v>th</v>
      </c>
      <c r="BH70">
        <f t="shared" si="85"/>
        <v>56</v>
      </c>
      <c r="BI70" t="str">
        <f>IF(OR(VALUE(RIGHT(BH70,5))={11,12,13}),"th",IF(OR(VALUE(RIGHT(BH70))={1,2,3}),CHOOSE(RIGHT(BH70),"st","nd","rd"),"th"))</f>
        <v>th</v>
      </c>
      <c r="BJ70">
        <f t="shared" si="86"/>
        <v>56</v>
      </c>
      <c r="BK70" t="str" cm="1">
        <f t="array" ref="BK70">IF(OR(VALUE(RIGHT(BJ70,5))={11,12,13}),"th",IF(OR(VALUE(RIGHT(BJ70))={1,2,3}),CHOOSE(RIGHT(BJ70),"st","nd","rd"),"th"))</f>
        <v>th</v>
      </c>
      <c r="BL70">
        <f t="shared" si="87"/>
        <v>57</v>
      </c>
      <c r="BM70" t="str">
        <f>IF(OR(VALUE(RIGHT(BL70,5))={11,12,13}),"th",IF(OR(VALUE(RIGHT(BL70))={1,2,3}),CHOOSE(RIGHT(BL70),"st","nd","rd"),"th"))</f>
        <v>th</v>
      </c>
      <c r="BO70" s="30">
        <f t="shared" si="88"/>
        <v>0</v>
      </c>
      <c r="BP70">
        <f t="shared" si="89"/>
        <v>57</v>
      </c>
      <c r="BQ70" t="str">
        <f>IF(OR(VALUE(RIGHT(BP70,5))={11,12,13}),"th",IF(OR(VALUE(RIGHT(BP70))={1,2,3}),CHOOSE(RIGHT(BP70),"st","nd","rd"),"th"))</f>
        <v>th</v>
      </c>
      <c r="BS70" s="27">
        <f>ClassScore!M70</f>
        <v>0</v>
      </c>
      <c r="BT70" s="27">
        <f>ClassScore!N70</f>
        <v>0</v>
      </c>
      <c r="BU70" s="27">
        <f>ClassScore!O70</f>
        <v>0</v>
      </c>
      <c r="BV70" s="27">
        <f>ClassScore!P70</f>
        <v>0</v>
      </c>
      <c r="BW70" s="27">
        <f>ClassScore!Q70</f>
        <v>0</v>
      </c>
      <c r="BX70" s="27">
        <f>ClassScore!R70</f>
        <v>0</v>
      </c>
      <c r="BY70" s="27">
        <f>ClassScore!S70</f>
        <v>0</v>
      </c>
      <c r="BZ70" s="27">
        <f>ClassScore!T70</f>
        <v>0</v>
      </c>
      <c r="CA70" s="27">
        <f>ClassScore!U70</f>
        <v>0</v>
      </c>
      <c r="CB70" s="27">
        <f>ClassScore!V70</f>
        <v>0</v>
      </c>
      <c r="CD70" s="27">
        <f>Examscore!M70</f>
        <v>0</v>
      </c>
      <c r="CE70" s="27">
        <f>Examscore!N70</f>
        <v>0</v>
      </c>
      <c r="CF70" s="27">
        <f>Examscore!O70</f>
        <v>0</v>
      </c>
      <c r="CG70" s="27">
        <f>Examscore!P70</f>
        <v>0</v>
      </c>
      <c r="CH70" s="27">
        <f>Examscore!Q70</f>
        <v>0</v>
      </c>
      <c r="CI70" s="27">
        <f>Examscore!R70</f>
        <v>0</v>
      </c>
      <c r="CJ70" s="27">
        <f>Examscore!S70</f>
        <v>0</v>
      </c>
      <c r="CK70" s="27">
        <f>Examscore!T70</f>
        <v>0</v>
      </c>
      <c r="CL70" s="27">
        <f>Examscore!U70</f>
        <v>0</v>
      </c>
      <c r="CM70" s="27">
        <f>Examscore!V70</f>
        <v>0</v>
      </c>
    </row>
    <row r="71" spans="1:91" ht="15.75" x14ac:dyDescent="0.25">
      <c r="A71" s="5">
        <f>Student!A71</f>
        <v>0</v>
      </c>
      <c r="B71" s="21">
        <f>Student!B71</f>
        <v>0</v>
      </c>
      <c r="C71" s="28">
        <f>ClassScore!M71+Examscore!M71</f>
        <v>0</v>
      </c>
      <c r="D71" s="28">
        <f>ClassScore!N71+Examscore!N71</f>
        <v>0</v>
      </c>
      <c r="E71" s="28">
        <f>ClassScore!O71+Examscore!O71</f>
        <v>0</v>
      </c>
      <c r="F71" s="28">
        <f>ClassScore!P71+Examscore!P71</f>
        <v>0</v>
      </c>
      <c r="G71" s="28">
        <f>ClassScore!Q71+Examscore!Q71</f>
        <v>0</v>
      </c>
      <c r="H71" s="28">
        <f>ClassScore!R71+Examscore!R71</f>
        <v>0</v>
      </c>
      <c r="I71" s="28">
        <f>ClassScore!S71+Examscore!S71</f>
        <v>0</v>
      </c>
      <c r="J71" s="28">
        <f>ClassScore!T71+Examscore!T71</f>
        <v>0</v>
      </c>
      <c r="K71" s="28">
        <f>ClassScore!U71+Examscore!U71</f>
        <v>0</v>
      </c>
      <c r="L71" s="28">
        <f>ClassScore!V71+Examscore!V71</f>
        <v>0</v>
      </c>
      <c r="M71" s="5" t="str">
        <f t="shared" si="57"/>
        <v>--</v>
      </c>
      <c r="N71" s="5" t="str">
        <f t="shared" si="58"/>
        <v>--</v>
      </c>
      <c r="O71" s="5" t="str">
        <f t="shared" si="59"/>
        <v>--</v>
      </c>
      <c r="P71" s="5" t="str">
        <f t="shared" si="60"/>
        <v>--</v>
      </c>
      <c r="Q71" s="5" t="str">
        <f t="shared" si="61"/>
        <v>--</v>
      </c>
      <c r="R71" s="5" t="str">
        <f t="shared" si="62"/>
        <v>--</v>
      </c>
      <c r="S71" s="5" t="str">
        <f t="shared" si="63"/>
        <v>--</v>
      </c>
      <c r="T71" s="5" t="str">
        <f t="shared" si="64"/>
        <v>--</v>
      </c>
      <c r="U71" s="5" t="str">
        <f t="shared" si="65"/>
        <v>--</v>
      </c>
      <c r="V71" s="5" t="str">
        <f t="shared" si="66"/>
        <v>--</v>
      </c>
      <c r="W71" s="5" t="str">
        <f t="shared" si="67"/>
        <v>--</v>
      </c>
      <c r="X71" s="5" t="str">
        <f t="shared" si="68"/>
        <v>--</v>
      </c>
      <c r="Y71" s="5" t="str">
        <f t="shared" si="69"/>
        <v>--</v>
      </c>
      <c r="Z71" s="5" t="str">
        <f t="shared" si="70"/>
        <v>--</v>
      </c>
      <c r="AA71" s="5" t="str">
        <f t="shared" si="71"/>
        <v>--</v>
      </c>
      <c r="AB71" s="5" t="str">
        <f t="shared" si="72"/>
        <v>--</v>
      </c>
      <c r="AC71" s="5" t="str">
        <f t="shared" si="73"/>
        <v>--</v>
      </c>
      <c r="AD71" s="5" t="str">
        <f t="shared" si="74"/>
        <v>--</v>
      </c>
      <c r="AE71" s="5" t="str">
        <f t="shared" si="75"/>
        <v>--</v>
      </c>
      <c r="AF71" s="5" t="str">
        <f t="shared" si="76"/>
        <v>--</v>
      </c>
      <c r="AG71" s="34">
        <f>SUM(C71,D71,F71,G71)+LARGE((E71,H71,I71,J71,K71,L71),1)+LARGE((E71,H71,I71,J71,K71,L71),2)</f>
        <v>0</v>
      </c>
      <c r="AH71" s="5" t="e">
        <f>SUM(W71,X71,Z71,AA71)+SMALL((Y71,AB71,AC71,AD71,AE71,AF71),1)+SMALL((Y71,AB71,AC71,AD71,AE71,AF71),2)</f>
        <v>#NUM!</v>
      </c>
      <c r="AI71" s="15">
        <f>'Teacher''s Remarks'!M72</f>
        <v>0</v>
      </c>
      <c r="AJ71" s="15">
        <f>'Teacher''s Remarks'!N72</f>
        <v>0</v>
      </c>
      <c r="AK71" s="15">
        <f>'Teacher''s Remarks'!O72</f>
        <v>0</v>
      </c>
      <c r="AL71" s="15">
        <f>'Teacher''s Remarks'!P72</f>
        <v>0</v>
      </c>
      <c r="AM71" s="13">
        <f t="shared" si="56"/>
        <v>0</v>
      </c>
      <c r="AN71" s="14">
        <f>Attendance!B71</f>
        <v>0</v>
      </c>
      <c r="AO71" s="15"/>
      <c r="AP71" s="15"/>
      <c r="AQ71" s="22">
        <f t="shared" ca="1" si="77"/>
        <v>45764</v>
      </c>
      <c r="AR71" s="15"/>
      <c r="AT71" s="12">
        <f t="shared" si="78"/>
        <v>56</v>
      </c>
      <c r="AU71" t="str">
        <f>IF(OR(VALUE(RIGHT(AT71,5))={11,12,13}),"th",IF(OR(VALUE(RIGHT(AT71))={1,2,3}),CHOOSE(RIGHT(AT71),"st","nd","rd"),"th"))</f>
        <v>th</v>
      </c>
      <c r="AV71">
        <f t="shared" si="79"/>
        <v>56</v>
      </c>
      <c r="AW71" t="str">
        <f>IF(OR(VALUE(RIGHT(AV71,5))={11,12,13}),"th",IF(OR(VALUE(RIGHT(AV71))={1,2,3}),CHOOSE(RIGHT(AV71),"st","nd","rd"),"th"))</f>
        <v>th</v>
      </c>
      <c r="AX71">
        <f t="shared" si="80"/>
        <v>56</v>
      </c>
      <c r="AY71" t="str">
        <f>IF(OR(VALUE(RIGHT(AX71,5))={11,12,13}),"th",IF(OR(VALUE(RIGHT(AX71))={1,2,3}),CHOOSE(RIGHT(AX71),"st","nd","rd"),"th"))</f>
        <v>th</v>
      </c>
      <c r="AZ71">
        <f t="shared" si="81"/>
        <v>56</v>
      </c>
      <c r="BA71" t="str">
        <f>IF(OR(VALUE(RIGHT(AZ71,5))={11,12,13}),"th",IF(OR(VALUE(RIGHT(AZ71))={1,2,3}),CHOOSE(RIGHT(AZ71),"st","nd","rd"),"th"))</f>
        <v>th</v>
      </c>
      <c r="BB71">
        <f t="shared" si="82"/>
        <v>56</v>
      </c>
      <c r="BC71" t="str">
        <f>IF(OR(VALUE(RIGHT(BB71,5))={11,12,13}),"th",IF(OR(VALUE(RIGHT(BB71))={1,2,3}),CHOOSE(RIGHT(BB71),"st","nd","rd"),"th"))</f>
        <v>th</v>
      </c>
      <c r="BD71">
        <f t="shared" si="83"/>
        <v>56</v>
      </c>
      <c r="BE71" t="str">
        <f>IF(OR(VALUE(RIGHT(BD71,5))={11,12,13}),"th",IF(OR(VALUE(RIGHT(BD71))={1,2,3}),CHOOSE(RIGHT(BD71),"st","nd","rd"),"th"))</f>
        <v>th</v>
      </c>
      <c r="BF71">
        <f t="shared" si="84"/>
        <v>56</v>
      </c>
      <c r="BG71" t="str">
        <f>IF(OR(VALUE(RIGHT(BF71,5))={11,12,13}),"th",IF(OR(VALUE(RIGHT(BF71))={1,2,3}),CHOOSE(RIGHT(BF71),"st","nd","rd"),"th"))</f>
        <v>th</v>
      </c>
      <c r="BH71">
        <f t="shared" si="85"/>
        <v>56</v>
      </c>
      <c r="BI71" t="str">
        <f>IF(OR(VALUE(RIGHT(BH71,5))={11,12,13}),"th",IF(OR(VALUE(RIGHT(BH71))={1,2,3}),CHOOSE(RIGHT(BH71),"st","nd","rd"),"th"))</f>
        <v>th</v>
      </c>
      <c r="BJ71">
        <f t="shared" si="86"/>
        <v>56</v>
      </c>
      <c r="BK71" t="str" cm="1">
        <f t="array" ref="BK71">IF(OR(VALUE(RIGHT(BJ71,5))={11,12,13}),"th",IF(OR(VALUE(RIGHT(BJ71))={1,2,3}),CHOOSE(RIGHT(BJ71),"st","nd","rd"),"th"))</f>
        <v>th</v>
      </c>
      <c r="BL71">
        <f t="shared" si="87"/>
        <v>57</v>
      </c>
      <c r="BM71" t="str">
        <f>IF(OR(VALUE(RIGHT(BL71,5))={11,12,13}),"th",IF(OR(VALUE(RIGHT(BL71))={1,2,3}),CHOOSE(RIGHT(BL71),"st","nd","rd"),"th"))</f>
        <v>th</v>
      </c>
      <c r="BO71" s="30">
        <f t="shared" si="88"/>
        <v>0</v>
      </c>
      <c r="BP71">
        <f t="shared" si="89"/>
        <v>57</v>
      </c>
      <c r="BQ71" t="str">
        <f>IF(OR(VALUE(RIGHT(BP71,5))={11,12,13}),"th",IF(OR(VALUE(RIGHT(BP71))={1,2,3}),CHOOSE(RIGHT(BP71),"st","nd","rd"),"th"))</f>
        <v>th</v>
      </c>
      <c r="BS71" s="27">
        <f>ClassScore!M71</f>
        <v>0</v>
      </c>
      <c r="BT71" s="27">
        <f>ClassScore!N71</f>
        <v>0</v>
      </c>
      <c r="BU71" s="27">
        <f>ClassScore!O71</f>
        <v>0</v>
      </c>
      <c r="BV71" s="27">
        <f>ClassScore!P71</f>
        <v>0</v>
      </c>
      <c r="BW71" s="27">
        <f>ClassScore!Q71</f>
        <v>0</v>
      </c>
      <c r="BX71" s="27">
        <f>ClassScore!R71</f>
        <v>0</v>
      </c>
      <c r="BY71" s="27">
        <f>ClassScore!S71</f>
        <v>0</v>
      </c>
      <c r="BZ71" s="27">
        <f>ClassScore!T71</f>
        <v>0</v>
      </c>
      <c r="CA71" s="27">
        <f>ClassScore!U71</f>
        <v>0</v>
      </c>
      <c r="CB71" s="27">
        <f>ClassScore!V71</f>
        <v>0</v>
      </c>
      <c r="CD71" s="27">
        <f>Examscore!M71</f>
        <v>0</v>
      </c>
      <c r="CE71" s="27">
        <f>Examscore!N71</f>
        <v>0</v>
      </c>
      <c r="CF71" s="27">
        <f>Examscore!O71</f>
        <v>0</v>
      </c>
      <c r="CG71" s="27">
        <f>Examscore!P71</f>
        <v>0</v>
      </c>
      <c r="CH71" s="27">
        <f>Examscore!Q71</f>
        <v>0</v>
      </c>
      <c r="CI71" s="27">
        <f>Examscore!R71</f>
        <v>0</v>
      </c>
      <c r="CJ71" s="27">
        <f>Examscore!S71</f>
        <v>0</v>
      </c>
      <c r="CK71" s="27">
        <f>Examscore!T71</f>
        <v>0</v>
      </c>
      <c r="CL71" s="27">
        <f>Examscore!U71</f>
        <v>0</v>
      </c>
      <c r="CM71" s="27">
        <f>Examscore!V71</f>
        <v>0</v>
      </c>
    </row>
    <row r="72" spans="1:91" ht="15.75" x14ac:dyDescent="0.25">
      <c r="A72" s="5">
        <f>Student!A72</f>
        <v>0</v>
      </c>
      <c r="B72" s="21">
        <f>Student!B72</f>
        <v>0</v>
      </c>
      <c r="C72" s="28">
        <f>ClassScore!M72+Examscore!M72</f>
        <v>0</v>
      </c>
      <c r="D72" s="28">
        <f>ClassScore!N72+Examscore!N72</f>
        <v>0</v>
      </c>
      <c r="E72" s="28">
        <f>ClassScore!O72+Examscore!O72</f>
        <v>0</v>
      </c>
      <c r="F72" s="28">
        <f>ClassScore!P72+Examscore!P72</f>
        <v>0</v>
      </c>
      <c r="G72" s="28">
        <f>ClassScore!Q72+Examscore!Q72</f>
        <v>0</v>
      </c>
      <c r="H72" s="28">
        <f>ClassScore!R72+Examscore!R72</f>
        <v>0</v>
      </c>
      <c r="I72" s="28">
        <f>ClassScore!S72+Examscore!S72</f>
        <v>0</v>
      </c>
      <c r="J72" s="28">
        <f>ClassScore!T72+Examscore!T72</f>
        <v>0</v>
      </c>
      <c r="K72" s="28">
        <f>ClassScore!U72+Examscore!U72</f>
        <v>0</v>
      </c>
      <c r="L72" s="28">
        <f>ClassScore!V72+Examscore!V72</f>
        <v>0</v>
      </c>
      <c r="M72" s="5" t="str">
        <f t="shared" si="57"/>
        <v>--</v>
      </c>
      <c r="N72" s="5" t="str">
        <f t="shared" si="58"/>
        <v>--</v>
      </c>
      <c r="O72" s="5" t="str">
        <f t="shared" si="59"/>
        <v>--</v>
      </c>
      <c r="P72" s="5" t="str">
        <f t="shared" si="60"/>
        <v>--</v>
      </c>
      <c r="Q72" s="5" t="str">
        <f t="shared" si="61"/>
        <v>--</v>
      </c>
      <c r="R72" s="5" t="str">
        <f t="shared" si="62"/>
        <v>--</v>
      </c>
      <c r="S72" s="5" t="str">
        <f t="shared" si="63"/>
        <v>--</v>
      </c>
      <c r="T72" s="5" t="str">
        <f t="shared" si="64"/>
        <v>--</v>
      </c>
      <c r="U72" s="5" t="str">
        <f t="shared" si="65"/>
        <v>--</v>
      </c>
      <c r="V72" s="5" t="str">
        <f t="shared" si="66"/>
        <v>--</v>
      </c>
      <c r="W72" s="5" t="str">
        <f t="shared" si="67"/>
        <v>--</v>
      </c>
      <c r="X72" s="5" t="str">
        <f t="shared" si="68"/>
        <v>--</v>
      </c>
      <c r="Y72" s="5" t="str">
        <f t="shared" si="69"/>
        <v>--</v>
      </c>
      <c r="Z72" s="5" t="str">
        <f t="shared" si="70"/>
        <v>--</v>
      </c>
      <c r="AA72" s="5" t="str">
        <f t="shared" si="71"/>
        <v>--</v>
      </c>
      <c r="AB72" s="5" t="str">
        <f t="shared" si="72"/>
        <v>--</v>
      </c>
      <c r="AC72" s="5" t="str">
        <f t="shared" si="73"/>
        <v>--</v>
      </c>
      <c r="AD72" s="5" t="str">
        <f t="shared" si="74"/>
        <v>--</v>
      </c>
      <c r="AE72" s="5" t="str">
        <f t="shared" si="75"/>
        <v>--</v>
      </c>
      <c r="AF72" s="5" t="str">
        <f t="shared" si="76"/>
        <v>--</v>
      </c>
      <c r="AG72" s="34">
        <f>SUM(C72,D72,F72,G72)+LARGE((E72,H72,I72,J72,K72,L72),1)+LARGE((E72,H72,I72,J72,K72,L72),2)</f>
        <v>0</v>
      </c>
      <c r="AH72" s="5" t="e">
        <f>SUM(W72,X72,Z72,AA72)+SMALL((Y72,AB72,AC72,AD72,AE72,AF72),1)+SMALL((Y72,AB72,AC72,AD72,AE72,AF72),2)</f>
        <v>#NUM!</v>
      </c>
      <c r="AI72" s="15">
        <f>'Teacher''s Remarks'!M73</f>
        <v>0</v>
      </c>
      <c r="AJ72" s="15">
        <f>'Teacher''s Remarks'!N73</f>
        <v>0</v>
      </c>
      <c r="AK72" s="15">
        <f>'Teacher''s Remarks'!O73</f>
        <v>0</v>
      </c>
      <c r="AL72" s="15">
        <f>'Teacher''s Remarks'!P73</f>
        <v>0</v>
      </c>
      <c r="AM72" s="13">
        <f t="shared" si="56"/>
        <v>0</v>
      </c>
      <c r="AN72" s="14">
        <f>Attendance!B72</f>
        <v>0</v>
      </c>
      <c r="AO72" s="15"/>
      <c r="AP72" s="15"/>
      <c r="AQ72" s="22">
        <f t="shared" ca="1" si="77"/>
        <v>45764</v>
      </c>
      <c r="AR72" s="15"/>
      <c r="AT72" s="12">
        <f t="shared" si="78"/>
        <v>56</v>
      </c>
      <c r="AU72" t="str">
        <f>IF(OR(VALUE(RIGHT(AT72,5))={11,12,13}),"th",IF(OR(VALUE(RIGHT(AT72))={1,2,3}),CHOOSE(RIGHT(AT72),"st","nd","rd"),"th"))</f>
        <v>th</v>
      </c>
      <c r="AV72">
        <f t="shared" si="79"/>
        <v>56</v>
      </c>
      <c r="AW72" t="str">
        <f>IF(OR(VALUE(RIGHT(AV72,5))={11,12,13}),"th",IF(OR(VALUE(RIGHT(AV72))={1,2,3}),CHOOSE(RIGHT(AV72),"st","nd","rd"),"th"))</f>
        <v>th</v>
      </c>
      <c r="AX72">
        <f t="shared" si="80"/>
        <v>56</v>
      </c>
      <c r="AY72" t="str">
        <f>IF(OR(VALUE(RIGHT(AX72,5))={11,12,13}),"th",IF(OR(VALUE(RIGHT(AX72))={1,2,3}),CHOOSE(RIGHT(AX72),"st","nd","rd"),"th"))</f>
        <v>th</v>
      </c>
      <c r="AZ72">
        <f t="shared" si="81"/>
        <v>56</v>
      </c>
      <c r="BA72" t="str">
        <f>IF(OR(VALUE(RIGHT(AZ72,5))={11,12,13}),"th",IF(OR(VALUE(RIGHT(AZ72))={1,2,3}),CHOOSE(RIGHT(AZ72),"st","nd","rd"),"th"))</f>
        <v>th</v>
      </c>
      <c r="BB72">
        <f t="shared" si="82"/>
        <v>56</v>
      </c>
      <c r="BC72" t="str">
        <f>IF(OR(VALUE(RIGHT(BB72,5))={11,12,13}),"th",IF(OR(VALUE(RIGHT(BB72))={1,2,3}),CHOOSE(RIGHT(BB72),"st","nd","rd"),"th"))</f>
        <v>th</v>
      </c>
      <c r="BD72">
        <f t="shared" si="83"/>
        <v>56</v>
      </c>
      <c r="BE72" t="str">
        <f>IF(OR(VALUE(RIGHT(BD72,5))={11,12,13}),"th",IF(OR(VALUE(RIGHT(BD72))={1,2,3}),CHOOSE(RIGHT(BD72),"st","nd","rd"),"th"))</f>
        <v>th</v>
      </c>
      <c r="BF72">
        <f t="shared" si="84"/>
        <v>56</v>
      </c>
      <c r="BG72" t="str">
        <f>IF(OR(VALUE(RIGHT(BF72,5))={11,12,13}),"th",IF(OR(VALUE(RIGHT(BF72))={1,2,3}),CHOOSE(RIGHT(BF72),"st","nd","rd"),"th"))</f>
        <v>th</v>
      </c>
      <c r="BH72">
        <f t="shared" si="85"/>
        <v>56</v>
      </c>
      <c r="BI72" t="str">
        <f>IF(OR(VALUE(RIGHT(BH72,5))={11,12,13}),"th",IF(OR(VALUE(RIGHT(BH72))={1,2,3}),CHOOSE(RIGHT(BH72),"st","nd","rd"),"th"))</f>
        <v>th</v>
      </c>
      <c r="BJ72">
        <f t="shared" si="86"/>
        <v>56</v>
      </c>
      <c r="BK72" t="str" cm="1">
        <f t="array" ref="BK72">IF(OR(VALUE(RIGHT(BJ72,5))={11,12,13}),"th",IF(OR(VALUE(RIGHT(BJ72))={1,2,3}),CHOOSE(RIGHT(BJ72),"st","nd","rd"),"th"))</f>
        <v>th</v>
      </c>
      <c r="BL72">
        <f t="shared" si="87"/>
        <v>57</v>
      </c>
      <c r="BM72" t="str">
        <f>IF(OR(VALUE(RIGHT(BL72,5))={11,12,13}),"th",IF(OR(VALUE(RIGHT(BL72))={1,2,3}),CHOOSE(RIGHT(BL72),"st","nd","rd"),"th"))</f>
        <v>th</v>
      </c>
      <c r="BO72" s="30">
        <f t="shared" si="88"/>
        <v>0</v>
      </c>
      <c r="BP72">
        <f t="shared" si="89"/>
        <v>57</v>
      </c>
      <c r="BQ72" t="str">
        <f>IF(OR(VALUE(RIGHT(BP72,5))={11,12,13}),"th",IF(OR(VALUE(RIGHT(BP72))={1,2,3}),CHOOSE(RIGHT(BP72),"st","nd","rd"),"th"))</f>
        <v>th</v>
      </c>
      <c r="BS72" s="27">
        <f>ClassScore!M72</f>
        <v>0</v>
      </c>
      <c r="BT72" s="27">
        <f>ClassScore!N72</f>
        <v>0</v>
      </c>
      <c r="BU72" s="27">
        <f>ClassScore!O72</f>
        <v>0</v>
      </c>
      <c r="BV72" s="27">
        <f>ClassScore!P72</f>
        <v>0</v>
      </c>
      <c r="BW72" s="27">
        <f>ClassScore!Q72</f>
        <v>0</v>
      </c>
      <c r="BX72" s="27">
        <f>ClassScore!R72</f>
        <v>0</v>
      </c>
      <c r="BY72" s="27">
        <f>ClassScore!S72</f>
        <v>0</v>
      </c>
      <c r="BZ72" s="27">
        <f>ClassScore!T72</f>
        <v>0</v>
      </c>
      <c r="CA72" s="27">
        <f>ClassScore!U72</f>
        <v>0</v>
      </c>
      <c r="CB72" s="27">
        <f>ClassScore!V72</f>
        <v>0</v>
      </c>
      <c r="CD72" s="27">
        <f>Examscore!M72</f>
        <v>0</v>
      </c>
      <c r="CE72" s="27">
        <f>Examscore!N72</f>
        <v>0</v>
      </c>
      <c r="CF72" s="27">
        <f>Examscore!O72</f>
        <v>0</v>
      </c>
      <c r="CG72" s="27">
        <f>Examscore!P72</f>
        <v>0</v>
      </c>
      <c r="CH72" s="27">
        <f>Examscore!Q72</f>
        <v>0</v>
      </c>
      <c r="CI72" s="27">
        <f>Examscore!R72</f>
        <v>0</v>
      </c>
      <c r="CJ72" s="27">
        <f>Examscore!S72</f>
        <v>0</v>
      </c>
      <c r="CK72" s="27">
        <f>Examscore!T72</f>
        <v>0</v>
      </c>
      <c r="CL72" s="27">
        <f>Examscore!U72</f>
        <v>0</v>
      </c>
      <c r="CM72" s="27">
        <f>Examscore!V72</f>
        <v>0</v>
      </c>
    </row>
    <row r="73" spans="1:91" ht="15.75" x14ac:dyDescent="0.25">
      <c r="A73" s="5">
        <f>Student!A73</f>
        <v>0</v>
      </c>
      <c r="B73" s="21">
        <f>Student!B73</f>
        <v>0</v>
      </c>
      <c r="C73" s="28">
        <f>ClassScore!M73+Examscore!M73</f>
        <v>0</v>
      </c>
      <c r="D73" s="28">
        <f>ClassScore!N73+Examscore!N73</f>
        <v>0</v>
      </c>
      <c r="E73" s="28">
        <f>ClassScore!O73+Examscore!O73</f>
        <v>0</v>
      </c>
      <c r="F73" s="28">
        <f>ClassScore!P73+Examscore!P73</f>
        <v>0</v>
      </c>
      <c r="G73" s="28">
        <f>ClassScore!Q73+Examscore!Q73</f>
        <v>0</v>
      </c>
      <c r="H73" s="28">
        <f>ClassScore!R73+Examscore!R73</f>
        <v>0</v>
      </c>
      <c r="I73" s="28">
        <f>ClassScore!S73+Examscore!S73</f>
        <v>0</v>
      </c>
      <c r="J73" s="28">
        <f>ClassScore!T73+Examscore!T73</f>
        <v>0</v>
      </c>
      <c r="K73" s="28">
        <f>ClassScore!U73+Examscore!U73</f>
        <v>0</v>
      </c>
      <c r="L73" s="28">
        <f>ClassScore!V73+Examscore!V73</f>
        <v>0</v>
      </c>
      <c r="M73" s="5" t="str">
        <f t="shared" si="57"/>
        <v>--</v>
      </c>
      <c r="N73" s="5" t="str">
        <f t="shared" si="58"/>
        <v>--</v>
      </c>
      <c r="O73" s="5" t="str">
        <f t="shared" si="59"/>
        <v>--</v>
      </c>
      <c r="P73" s="5" t="str">
        <f t="shared" si="60"/>
        <v>--</v>
      </c>
      <c r="Q73" s="5" t="str">
        <f t="shared" si="61"/>
        <v>--</v>
      </c>
      <c r="R73" s="5" t="str">
        <f t="shared" si="62"/>
        <v>--</v>
      </c>
      <c r="S73" s="5" t="str">
        <f t="shared" si="63"/>
        <v>--</v>
      </c>
      <c r="T73" s="5" t="str">
        <f t="shared" si="64"/>
        <v>--</v>
      </c>
      <c r="U73" s="5" t="str">
        <f t="shared" si="65"/>
        <v>--</v>
      </c>
      <c r="V73" s="5" t="str">
        <f t="shared" si="66"/>
        <v>--</v>
      </c>
      <c r="W73" s="5" t="str">
        <f t="shared" si="67"/>
        <v>--</v>
      </c>
      <c r="X73" s="5" t="str">
        <f t="shared" si="68"/>
        <v>--</v>
      </c>
      <c r="Y73" s="5" t="str">
        <f t="shared" si="69"/>
        <v>--</v>
      </c>
      <c r="Z73" s="5" t="str">
        <f t="shared" si="70"/>
        <v>--</v>
      </c>
      <c r="AA73" s="5" t="str">
        <f t="shared" si="71"/>
        <v>--</v>
      </c>
      <c r="AB73" s="5" t="str">
        <f t="shared" si="72"/>
        <v>--</v>
      </c>
      <c r="AC73" s="5" t="str">
        <f t="shared" si="73"/>
        <v>--</v>
      </c>
      <c r="AD73" s="5" t="str">
        <f t="shared" si="74"/>
        <v>--</v>
      </c>
      <c r="AE73" s="5" t="str">
        <f t="shared" si="75"/>
        <v>--</v>
      </c>
      <c r="AF73" s="5" t="str">
        <f t="shared" si="76"/>
        <v>--</v>
      </c>
      <c r="AG73" s="34">
        <f>SUM(C73,D73,F73,G73)+LARGE((E73,H73,I73,J73,K73,L73),1)+LARGE((E73,H73,I73,J73,K73,L73),2)</f>
        <v>0</v>
      </c>
      <c r="AH73" s="5" t="e">
        <f>SUM(W73,X73,Z73,AA73)+SMALL((Y73,AB73,AC73,AD73,AE73,AF73),1)+SMALL((Y73,AB73,AC73,AD73,AE73,AF73),2)</f>
        <v>#NUM!</v>
      </c>
      <c r="AI73" s="15">
        <f>'Teacher''s Remarks'!M74</f>
        <v>0</v>
      </c>
      <c r="AJ73" s="15">
        <f>'Teacher''s Remarks'!N74</f>
        <v>0</v>
      </c>
      <c r="AK73" s="15">
        <f>'Teacher''s Remarks'!O74</f>
        <v>0</v>
      </c>
      <c r="AL73" s="15">
        <f>'Teacher''s Remarks'!P74</f>
        <v>0</v>
      </c>
      <c r="AM73" s="13">
        <f t="shared" si="56"/>
        <v>0</v>
      </c>
      <c r="AN73" s="14">
        <f>Attendance!B73</f>
        <v>0</v>
      </c>
      <c r="AO73" s="15"/>
      <c r="AP73" s="15"/>
      <c r="AQ73" s="22">
        <f t="shared" ca="1" si="77"/>
        <v>45764</v>
      </c>
      <c r="AR73" s="15"/>
      <c r="AT73" s="12">
        <f t="shared" si="78"/>
        <v>56</v>
      </c>
      <c r="AU73" t="str">
        <f>IF(OR(VALUE(RIGHT(AT73,5))={11,12,13}),"th",IF(OR(VALUE(RIGHT(AT73))={1,2,3}),CHOOSE(RIGHT(AT73),"st","nd","rd"),"th"))</f>
        <v>th</v>
      </c>
      <c r="AV73">
        <f t="shared" si="79"/>
        <v>56</v>
      </c>
      <c r="AW73" t="str">
        <f>IF(OR(VALUE(RIGHT(AV73,5))={11,12,13}),"th",IF(OR(VALUE(RIGHT(AV73))={1,2,3}),CHOOSE(RIGHT(AV73),"st","nd","rd"),"th"))</f>
        <v>th</v>
      </c>
      <c r="AX73">
        <f t="shared" si="80"/>
        <v>56</v>
      </c>
      <c r="AY73" t="str">
        <f>IF(OR(VALUE(RIGHT(AX73,5))={11,12,13}),"th",IF(OR(VALUE(RIGHT(AX73))={1,2,3}),CHOOSE(RIGHT(AX73),"st","nd","rd"),"th"))</f>
        <v>th</v>
      </c>
      <c r="AZ73">
        <f t="shared" si="81"/>
        <v>56</v>
      </c>
      <c r="BA73" t="str">
        <f>IF(OR(VALUE(RIGHT(AZ73,5))={11,12,13}),"th",IF(OR(VALUE(RIGHT(AZ73))={1,2,3}),CHOOSE(RIGHT(AZ73),"st","nd","rd"),"th"))</f>
        <v>th</v>
      </c>
      <c r="BB73">
        <f t="shared" si="82"/>
        <v>56</v>
      </c>
      <c r="BC73" t="str">
        <f>IF(OR(VALUE(RIGHT(BB73,5))={11,12,13}),"th",IF(OR(VALUE(RIGHT(BB73))={1,2,3}),CHOOSE(RIGHT(BB73),"st","nd","rd"),"th"))</f>
        <v>th</v>
      </c>
      <c r="BD73">
        <f t="shared" si="83"/>
        <v>56</v>
      </c>
      <c r="BE73" t="str">
        <f>IF(OR(VALUE(RIGHT(BD73,5))={11,12,13}),"th",IF(OR(VALUE(RIGHT(BD73))={1,2,3}),CHOOSE(RIGHT(BD73),"st","nd","rd"),"th"))</f>
        <v>th</v>
      </c>
      <c r="BF73">
        <f t="shared" si="84"/>
        <v>56</v>
      </c>
      <c r="BG73" t="str">
        <f>IF(OR(VALUE(RIGHT(BF73,5))={11,12,13}),"th",IF(OR(VALUE(RIGHT(BF73))={1,2,3}),CHOOSE(RIGHT(BF73),"st","nd","rd"),"th"))</f>
        <v>th</v>
      </c>
      <c r="BH73">
        <f t="shared" si="85"/>
        <v>56</v>
      </c>
      <c r="BI73" t="str">
        <f>IF(OR(VALUE(RIGHT(BH73,5))={11,12,13}),"th",IF(OR(VALUE(RIGHT(BH73))={1,2,3}),CHOOSE(RIGHT(BH73),"st","nd","rd"),"th"))</f>
        <v>th</v>
      </c>
      <c r="BJ73">
        <f t="shared" si="86"/>
        <v>56</v>
      </c>
      <c r="BK73" t="str" cm="1">
        <f t="array" ref="BK73">IF(OR(VALUE(RIGHT(BJ73,5))={11,12,13}),"th",IF(OR(VALUE(RIGHT(BJ73))={1,2,3}),CHOOSE(RIGHT(BJ73),"st","nd","rd"),"th"))</f>
        <v>th</v>
      </c>
      <c r="BL73">
        <f t="shared" si="87"/>
        <v>57</v>
      </c>
      <c r="BM73" t="str">
        <f>IF(OR(VALUE(RIGHT(BL73,5))={11,12,13}),"th",IF(OR(VALUE(RIGHT(BL73))={1,2,3}),CHOOSE(RIGHT(BL73),"st","nd","rd"),"th"))</f>
        <v>th</v>
      </c>
      <c r="BO73" s="30">
        <f t="shared" si="88"/>
        <v>0</v>
      </c>
      <c r="BP73">
        <f t="shared" si="89"/>
        <v>57</v>
      </c>
      <c r="BQ73" t="str">
        <f>IF(OR(VALUE(RIGHT(BP73,5))={11,12,13}),"th",IF(OR(VALUE(RIGHT(BP73))={1,2,3}),CHOOSE(RIGHT(BP73),"st","nd","rd"),"th"))</f>
        <v>th</v>
      </c>
      <c r="BS73" s="27">
        <f>ClassScore!M73</f>
        <v>0</v>
      </c>
      <c r="BT73" s="27">
        <f>ClassScore!N73</f>
        <v>0</v>
      </c>
      <c r="BU73" s="27">
        <f>ClassScore!O73</f>
        <v>0</v>
      </c>
      <c r="BV73" s="27">
        <f>ClassScore!P73</f>
        <v>0</v>
      </c>
      <c r="BW73" s="27">
        <f>ClassScore!Q73</f>
        <v>0</v>
      </c>
      <c r="BX73" s="27">
        <f>ClassScore!R73</f>
        <v>0</v>
      </c>
      <c r="BY73" s="27">
        <f>ClassScore!S73</f>
        <v>0</v>
      </c>
      <c r="BZ73" s="27">
        <f>ClassScore!T73</f>
        <v>0</v>
      </c>
      <c r="CA73" s="27">
        <f>ClassScore!U73</f>
        <v>0</v>
      </c>
      <c r="CB73" s="27">
        <f>ClassScore!V73</f>
        <v>0</v>
      </c>
      <c r="CD73" s="27">
        <f>Examscore!M73</f>
        <v>0</v>
      </c>
      <c r="CE73" s="27">
        <f>Examscore!N73</f>
        <v>0</v>
      </c>
      <c r="CF73" s="27">
        <f>Examscore!O73</f>
        <v>0</v>
      </c>
      <c r="CG73" s="27">
        <f>Examscore!P73</f>
        <v>0</v>
      </c>
      <c r="CH73" s="27">
        <f>Examscore!Q73</f>
        <v>0</v>
      </c>
      <c r="CI73" s="27">
        <f>Examscore!R73</f>
        <v>0</v>
      </c>
      <c r="CJ73" s="27">
        <f>Examscore!S73</f>
        <v>0</v>
      </c>
      <c r="CK73" s="27">
        <f>Examscore!T73</f>
        <v>0</v>
      </c>
      <c r="CL73" s="27">
        <f>Examscore!U73</f>
        <v>0</v>
      </c>
      <c r="CM73" s="27">
        <f>Examscore!V73</f>
        <v>0</v>
      </c>
    </row>
    <row r="74" spans="1:91" ht="15.75" x14ac:dyDescent="0.25">
      <c r="A74" s="5">
        <f>Student!A74</f>
        <v>0</v>
      </c>
      <c r="B74" s="21">
        <f>Student!B74</f>
        <v>0</v>
      </c>
      <c r="C74" s="28">
        <f>ClassScore!M74+Examscore!M74</f>
        <v>0</v>
      </c>
      <c r="D74" s="28">
        <f>ClassScore!N74+Examscore!N74</f>
        <v>0</v>
      </c>
      <c r="E74" s="28">
        <f>ClassScore!O74+Examscore!O74</f>
        <v>0</v>
      </c>
      <c r="F74" s="28">
        <f>ClassScore!P74+Examscore!P74</f>
        <v>0</v>
      </c>
      <c r="G74" s="28">
        <f>ClassScore!Q74+Examscore!Q74</f>
        <v>0</v>
      </c>
      <c r="H74" s="28">
        <f>ClassScore!R74+Examscore!R74</f>
        <v>0</v>
      </c>
      <c r="I74" s="28">
        <f>ClassScore!S74+Examscore!S74</f>
        <v>0</v>
      </c>
      <c r="J74" s="28">
        <f>ClassScore!T74+Examscore!T74</f>
        <v>0</v>
      </c>
      <c r="K74" s="28">
        <f>ClassScore!U74+Examscore!U74</f>
        <v>0</v>
      </c>
      <c r="L74" s="28">
        <f>ClassScore!V74+Examscore!V74</f>
        <v>0</v>
      </c>
      <c r="M74" s="5" t="str">
        <f t="shared" si="57"/>
        <v>--</v>
      </c>
      <c r="N74" s="5" t="str">
        <f t="shared" si="58"/>
        <v>--</v>
      </c>
      <c r="O74" s="5" t="str">
        <f t="shared" si="59"/>
        <v>--</v>
      </c>
      <c r="P74" s="5" t="str">
        <f t="shared" si="60"/>
        <v>--</v>
      </c>
      <c r="Q74" s="5" t="str">
        <f t="shared" si="61"/>
        <v>--</v>
      </c>
      <c r="R74" s="5" t="str">
        <f t="shared" si="62"/>
        <v>--</v>
      </c>
      <c r="S74" s="5" t="str">
        <f t="shared" si="63"/>
        <v>--</v>
      </c>
      <c r="T74" s="5" t="str">
        <f t="shared" si="64"/>
        <v>--</v>
      </c>
      <c r="U74" s="5" t="str">
        <f t="shared" si="65"/>
        <v>--</v>
      </c>
      <c r="V74" s="5" t="str">
        <f t="shared" si="66"/>
        <v>--</v>
      </c>
      <c r="W74" s="5" t="str">
        <f t="shared" si="67"/>
        <v>--</v>
      </c>
      <c r="X74" s="5" t="str">
        <f t="shared" si="68"/>
        <v>--</v>
      </c>
      <c r="Y74" s="5" t="str">
        <f t="shared" si="69"/>
        <v>--</v>
      </c>
      <c r="Z74" s="5" t="str">
        <f t="shared" si="70"/>
        <v>--</v>
      </c>
      <c r="AA74" s="5" t="str">
        <f t="shared" si="71"/>
        <v>--</v>
      </c>
      <c r="AB74" s="5" t="str">
        <f t="shared" si="72"/>
        <v>--</v>
      </c>
      <c r="AC74" s="5" t="str">
        <f t="shared" si="73"/>
        <v>--</v>
      </c>
      <c r="AD74" s="5" t="str">
        <f t="shared" si="74"/>
        <v>--</v>
      </c>
      <c r="AE74" s="5" t="str">
        <f t="shared" si="75"/>
        <v>--</v>
      </c>
      <c r="AF74" s="5" t="str">
        <f t="shared" si="76"/>
        <v>--</v>
      </c>
      <c r="AG74" s="34">
        <f>SUM(C74,D74,F74,G74)+LARGE((E74,H74,I74,J74,K74,L74),1)+LARGE((E74,H74,I74,J74,K74,L74),2)</f>
        <v>0</v>
      </c>
      <c r="AH74" s="5" t="e">
        <f>SUM(W74,X74,Z74,AA74)+SMALL((Y74,AB74,AC74,AD74,AE74,AF74),1)+SMALL((Y74,AB74,AC74,AD74,AE74,AF74),2)</f>
        <v>#NUM!</v>
      </c>
      <c r="AI74" s="15">
        <f>'Teacher''s Remarks'!M75</f>
        <v>0</v>
      </c>
      <c r="AJ74" s="15">
        <f>'Teacher''s Remarks'!N75</f>
        <v>0</v>
      </c>
      <c r="AK74" s="15">
        <f>'Teacher''s Remarks'!O75</f>
        <v>0</v>
      </c>
      <c r="AL74" s="15">
        <f>'Teacher''s Remarks'!P75</f>
        <v>0</v>
      </c>
      <c r="AM74" s="13">
        <f t="shared" si="56"/>
        <v>0</v>
      </c>
      <c r="AN74" s="14">
        <f>Attendance!B74</f>
        <v>0</v>
      </c>
      <c r="AO74" s="15"/>
      <c r="AP74" s="15"/>
      <c r="AQ74" s="22">
        <f t="shared" ca="1" si="77"/>
        <v>45764</v>
      </c>
      <c r="AR74" s="15"/>
      <c r="AT74" s="12">
        <f t="shared" si="78"/>
        <v>56</v>
      </c>
      <c r="AU74" t="str">
        <f>IF(OR(VALUE(RIGHT(AT74,5))={11,12,13}),"th",IF(OR(VALUE(RIGHT(AT74))={1,2,3}),CHOOSE(RIGHT(AT74),"st","nd","rd"),"th"))</f>
        <v>th</v>
      </c>
      <c r="AV74">
        <f t="shared" si="79"/>
        <v>56</v>
      </c>
      <c r="AW74" t="str">
        <f>IF(OR(VALUE(RIGHT(AV74,5))={11,12,13}),"th",IF(OR(VALUE(RIGHT(AV74))={1,2,3}),CHOOSE(RIGHT(AV74),"st","nd","rd"),"th"))</f>
        <v>th</v>
      </c>
      <c r="AX74">
        <f t="shared" si="80"/>
        <v>56</v>
      </c>
      <c r="AY74" t="str">
        <f>IF(OR(VALUE(RIGHT(AX74,5))={11,12,13}),"th",IF(OR(VALUE(RIGHT(AX74))={1,2,3}),CHOOSE(RIGHT(AX74),"st","nd","rd"),"th"))</f>
        <v>th</v>
      </c>
      <c r="AZ74">
        <f t="shared" si="81"/>
        <v>56</v>
      </c>
      <c r="BA74" t="str">
        <f>IF(OR(VALUE(RIGHT(AZ74,5))={11,12,13}),"th",IF(OR(VALUE(RIGHT(AZ74))={1,2,3}),CHOOSE(RIGHT(AZ74),"st","nd","rd"),"th"))</f>
        <v>th</v>
      </c>
      <c r="BB74">
        <f t="shared" si="82"/>
        <v>56</v>
      </c>
      <c r="BC74" t="str">
        <f>IF(OR(VALUE(RIGHT(BB74,5))={11,12,13}),"th",IF(OR(VALUE(RIGHT(BB74))={1,2,3}),CHOOSE(RIGHT(BB74),"st","nd","rd"),"th"))</f>
        <v>th</v>
      </c>
      <c r="BD74">
        <f t="shared" si="83"/>
        <v>56</v>
      </c>
      <c r="BE74" t="str">
        <f>IF(OR(VALUE(RIGHT(BD74,5))={11,12,13}),"th",IF(OR(VALUE(RIGHT(BD74))={1,2,3}),CHOOSE(RIGHT(BD74),"st","nd","rd"),"th"))</f>
        <v>th</v>
      </c>
      <c r="BF74">
        <f t="shared" si="84"/>
        <v>56</v>
      </c>
      <c r="BG74" t="str">
        <f>IF(OR(VALUE(RIGHT(BF74,5))={11,12,13}),"th",IF(OR(VALUE(RIGHT(BF74))={1,2,3}),CHOOSE(RIGHT(BF74),"st","nd","rd"),"th"))</f>
        <v>th</v>
      </c>
      <c r="BH74">
        <f t="shared" si="85"/>
        <v>56</v>
      </c>
      <c r="BI74" t="str">
        <f>IF(OR(VALUE(RIGHT(BH74,5))={11,12,13}),"th",IF(OR(VALUE(RIGHT(BH74))={1,2,3}),CHOOSE(RIGHT(BH74),"st","nd","rd"),"th"))</f>
        <v>th</v>
      </c>
      <c r="BJ74">
        <f t="shared" si="86"/>
        <v>56</v>
      </c>
      <c r="BK74" t="str" cm="1">
        <f t="array" ref="BK74">IF(OR(VALUE(RIGHT(BJ74,5))={11,12,13}),"th",IF(OR(VALUE(RIGHT(BJ74))={1,2,3}),CHOOSE(RIGHT(BJ74),"st","nd","rd"),"th"))</f>
        <v>th</v>
      </c>
      <c r="BL74">
        <f t="shared" si="87"/>
        <v>57</v>
      </c>
      <c r="BM74" t="str">
        <f>IF(OR(VALUE(RIGHT(BL74,5))={11,12,13}),"th",IF(OR(VALUE(RIGHT(BL74))={1,2,3}),CHOOSE(RIGHT(BL74),"st","nd","rd"),"th"))</f>
        <v>th</v>
      </c>
      <c r="BO74" s="30">
        <f t="shared" si="88"/>
        <v>0</v>
      </c>
      <c r="BP74">
        <f t="shared" si="89"/>
        <v>57</v>
      </c>
      <c r="BQ74" t="str">
        <f>IF(OR(VALUE(RIGHT(BP74,5))={11,12,13}),"th",IF(OR(VALUE(RIGHT(BP74))={1,2,3}),CHOOSE(RIGHT(BP74),"st","nd","rd"),"th"))</f>
        <v>th</v>
      </c>
      <c r="BS74" s="27">
        <f>ClassScore!M74</f>
        <v>0</v>
      </c>
      <c r="BT74" s="27">
        <f>ClassScore!N74</f>
        <v>0</v>
      </c>
      <c r="BU74" s="27">
        <f>ClassScore!O74</f>
        <v>0</v>
      </c>
      <c r="BV74" s="27">
        <f>ClassScore!P74</f>
        <v>0</v>
      </c>
      <c r="BW74" s="27">
        <f>ClassScore!Q74</f>
        <v>0</v>
      </c>
      <c r="BX74" s="27">
        <f>ClassScore!R74</f>
        <v>0</v>
      </c>
      <c r="BY74" s="27">
        <f>ClassScore!S74</f>
        <v>0</v>
      </c>
      <c r="BZ74" s="27">
        <f>ClassScore!T74</f>
        <v>0</v>
      </c>
      <c r="CA74" s="27">
        <f>ClassScore!U74</f>
        <v>0</v>
      </c>
      <c r="CB74" s="27">
        <f>ClassScore!V74</f>
        <v>0</v>
      </c>
      <c r="CD74" s="27">
        <f>Examscore!M74</f>
        <v>0</v>
      </c>
      <c r="CE74" s="27">
        <f>Examscore!N74</f>
        <v>0</v>
      </c>
      <c r="CF74" s="27">
        <f>Examscore!O74</f>
        <v>0</v>
      </c>
      <c r="CG74" s="27">
        <f>Examscore!P74</f>
        <v>0</v>
      </c>
      <c r="CH74" s="27">
        <f>Examscore!Q74</f>
        <v>0</v>
      </c>
      <c r="CI74" s="27">
        <f>Examscore!R74</f>
        <v>0</v>
      </c>
      <c r="CJ74" s="27">
        <f>Examscore!S74</f>
        <v>0</v>
      </c>
      <c r="CK74" s="27">
        <f>Examscore!T74</f>
        <v>0</v>
      </c>
      <c r="CL74" s="27">
        <f>Examscore!U74</f>
        <v>0</v>
      </c>
      <c r="CM74" s="27">
        <f>Examscore!V74</f>
        <v>0</v>
      </c>
    </row>
    <row r="75" spans="1:91" ht="15.75" x14ac:dyDescent="0.25">
      <c r="A75" s="5">
        <f>Student!A75</f>
        <v>0</v>
      </c>
      <c r="B75" s="21">
        <f>Student!B75</f>
        <v>0</v>
      </c>
      <c r="C75" s="28">
        <f>ClassScore!M75+Examscore!M75</f>
        <v>0</v>
      </c>
      <c r="D75" s="28">
        <f>ClassScore!N75+Examscore!N75</f>
        <v>0</v>
      </c>
      <c r="E75" s="28">
        <f>ClassScore!O75+Examscore!O75</f>
        <v>0</v>
      </c>
      <c r="F75" s="28">
        <f>ClassScore!P75+Examscore!P75</f>
        <v>0</v>
      </c>
      <c r="G75" s="28">
        <f>ClassScore!Q75+Examscore!Q75</f>
        <v>0</v>
      </c>
      <c r="H75" s="28">
        <f>ClassScore!R75+Examscore!R75</f>
        <v>0</v>
      </c>
      <c r="I75" s="28">
        <f>ClassScore!S75+Examscore!S75</f>
        <v>0</v>
      </c>
      <c r="J75" s="28">
        <f>ClassScore!T75+Examscore!T75</f>
        <v>0</v>
      </c>
      <c r="K75" s="28">
        <f>ClassScore!U75+Examscore!U75</f>
        <v>0</v>
      </c>
      <c r="L75" s="28">
        <f>ClassScore!V75+Examscore!V75</f>
        <v>0</v>
      </c>
      <c r="M75" s="5" t="str">
        <f t="shared" si="57"/>
        <v>--</v>
      </c>
      <c r="N75" s="5" t="str">
        <f t="shared" si="58"/>
        <v>--</v>
      </c>
      <c r="O75" s="5" t="str">
        <f t="shared" si="59"/>
        <v>--</v>
      </c>
      <c r="P75" s="5" t="str">
        <f t="shared" si="60"/>
        <v>--</v>
      </c>
      <c r="Q75" s="5" t="str">
        <f t="shared" si="61"/>
        <v>--</v>
      </c>
      <c r="R75" s="5" t="str">
        <f t="shared" si="62"/>
        <v>--</v>
      </c>
      <c r="S75" s="5" t="str">
        <f t="shared" si="63"/>
        <v>--</v>
      </c>
      <c r="T75" s="5" t="str">
        <f t="shared" si="64"/>
        <v>--</v>
      </c>
      <c r="U75" s="5" t="str">
        <f t="shared" si="65"/>
        <v>--</v>
      </c>
      <c r="V75" s="5" t="str">
        <f t="shared" si="66"/>
        <v>--</v>
      </c>
      <c r="W75" s="5" t="str">
        <f t="shared" si="67"/>
        <v>--</v>
      </c>
      <c r="X75" s="5" t="str">
        <f t="shared" si="68"/>
        <v>--</v>
      </c>
      <c r="Y75" s="5" t="str">
        <f t="shared" si="69"/>
        <v>--</v>
      </c>
      <c r="Z75" s="5" t="str">
        <f t="shared" si="70"/>
        <v>--</v>
      </c>
      <c r="AA75" s="5" t="str">
        <f t="shared" si="71"/>
        <v>--</v>
      </c>
      <c r="AB75" s="5" t="str">
        <f t="shared" si="72"/>
        <v>--</v>
      </c>
      <c r="AC75" s="5" t="str">
        <f t="shared" si="73"/>
        <v>--</v>
      </c>
      <c r="AD75" s="5" t="str">
        <f t="shared" si="74"/>
        <v>--</v>
      </c>
      <c r="AE75" s="5" t="str">
        <f t="shared" si="75"/>
        <v>--</v>
      </c>
      <c r="AF75" s="5" t="str">
        <f t="shared" si="76"/>
        <v>--</v>
      </c>
      <c r="AG75" s="34">
        <f>SUM(C75,D75,F75,G75)+LARGE((E75,H75,I75,J75,K75,L75),1)+LARGE((E75,H75,I75,J75,K75,L75),2)</f>
        <v>0</v>
      </c>
      <c r="AH75" s="5" t="e">
        <f>SUM(W75,X75,Z75,AA75)+SMALL((Y75,AB75,AC75,AD75,AE75,AF75),1)+SMALL((Y75,AB75,AC75,AD75,AE75,AF75),2)</f>
        <v>#NUM!</v>
      </c>
      <c r="AI75" s="15">
        <f>'Teacher''s Remarks'!M76</f>
        <v>0</v>
      </c>
      <c r="AJ75" s="15">
        <f>'Teacher''s Remarks'!N76</f>
        <v>0</v>
      </c>
      <c r="AK75" s="15">
        <f>'Teacher''s Remarks'!O76</f>
        <v>0</v>
      </c>
      <c r="AL75" s="15">
        <f>'Teacher''s Remarks'!P76</f>
        <v>0</v>
      </c>
      <c r="AM75" s="13">
        <f t="shared" si="56"/>
        <v>0</v>
      </c>
      <c r="AN75" s="14">
        <f>Attendance!B75</f>
        <v>0</v>
      </c>
      <c r="AO75" s="15"/>
      <c r="AP75" s="15"/>
      <c r="AQ75" s="22">
        <f t="shared" ca="1" si="77"/>
        <v>45764</v>
      </c>
      <c r="AR75" s="15"/>
      <c r="AT75" s="12">
        <f t="shared" si="78"/>
        <v>56</v>
      </c>
      <c r="AU75" t="str">
        <f>IF(OR(VALUE(RIGHT(AT75,5))={11,12,13}),"th",IF(OR(VALUE(RIGHT(AT75))={1,2,3}),CHOOSE(RIGHT(AT75),"st","nd","rd"),"th"))</f>
        <v>th</v>
      </c>
      <c r="AV75">
        <f t="shared" si="79"/>
        <v>56</v>
      </c>
      <c r="AW75" t="str">
        <f>IF(OR(VALUE(RIGHT(AV75,5))={11,12,13}),"th",IF(OR(VALUE(RIGHT(AV75))={1,2,3}),CHOOSE(RIGHT(AV75),"st","nd","rd"),"th"))</f>
        <v>th</v>
      </c>
      <c r="AX75">
        <f t="shared" si="80"/>
        <v>56</v>
      </c>
      <c r="AY75" t="str">
        <f>IF(OR(VALUE(RIGHT(AX75,5))={11,12,13}),"th",IF(OR(VALUE(RIGHT(AX75))={1,2,3}),CHOOSE(RIGHT(AX75),"st","nd","rd"),"th"))</f>
        <v>th</v>
      </c>
      <c r="AZ75">
        <f t="shared" si="81"/>
        <v>56</v>
      </c>
      <c r="BA75" t="str">
        <f>IF(OR(VALUE(RIGHT(AZ75,5))={11,12,13}),"th",IF(OR(VALUE(RIGHT(AZ75))={1,2,3}),CHOOSE(RIGHT(AZ75),"st","nd","rd"),"th"))</f>
        <v>th</v>
      </c>
      <c r="BB75">
        <f t="shared" si="82"/>
        <v>56</v>
      </c>
      <c r="BC75" t="str">
        <f>IF(OR(VALUE(RIGHT(BB75,5))={11,12,13}),"th",IF(OR(VALUE(RIGHT(BB75))={1,2,3}),CHOOSE(RIGHT(BB75),"st","nd","rd"),"th"))</f>
        <v>th</v>
      </c>
      <c r="BD75">
        <f t="shared" si="83"/>
        <v>56</v>
      </c>
      <c r="BE75" t="str">
        <f>IF(OR(VALUE(RIGHT(BD75,5))={11,12,13}),"th",IF(OR(VALUE(RIGHT(BD75))={1,2,3}),CHOOSE(RIGHT(BD75),"st","nd","rd"),"th"))</f>
        <v>th</v>
      </c>
      <c r="BF75">
        <f t="shared" si="84"/>
        <v>56</v>
      </c>
      <c r="BG75" t="str">
        <f>IF(OR(VALUE(RIGHT(BF75,5))={11,12,13}),"th",IF(OR(VALUE(RIGHT(BF75))={1,2,3}),CHOOSE(RIGHT(BF75),"st","nd","rd"),"th"))</f>
        <v>th</v>
      </c>
      <c r="BH75">
        <f t="shared" si="85"/>
        <v>56</v>
      </c>
      <c r="BI75" t="str">
        <f>IF(OR(VALUE(RIGHT(BH75,5))={11,12,13}),"th",IF(OR(VALUE(RIGHT(BH75))={1,2,3}),CHOOSE(RIGHT(BH75),"st","nd","rd"),"th"))</f>
        <v>th</v>
      </c>
      <c r="BJ75">
        <f t="shared" si="86"/>
        <v>56</v>
      </c>
      <c r="BK75" t="str" cm="1">
        <f t="array" ref="BK75">IF(OR(VALUE(RIGHT(BJ75,5))={11,12,13}),"th",IF(OR(VALUE(RIGHT(BJ75))={1,2,3}),CHOOSE(RIGHT(BJ75),"st","nd","rd"),"th"))</f>
        <v>th</v>
      </c>
      <c r="BL75">
        <f t="shared" si="87"/>
        <v>57</v>
      </c>
      <c r="BM75" t="str">
        <f>IF(OR(VALUE(RIGHT(BL75,5))={11,12,13}),"th",IF(OR(VALUE(RIGHT(BL75))={1,2,3}),CHOOSE(RIGHT(BL75),"st","nd","rd"),"th"))</f>
        <v>th</v>
      </c>
      <c r="BO75" s="30">
        <f t="shared" si="88"/>
        <v>0</v>
      </c>
      <c r="BP75">
        <f t="shared" si="89"/>
        <v>57</v>
      </c>
      <c r="BQ75" t="str">
        <f>IF(OR(VALUE(RIGHT(BP75,5))={11,12,13}),"th",IF(OR(VALUE(RIGHT(BP75))={1,2,3}),CHOOSE(RIGHT(BP75),"st","nd","rd"),"th"))</f>
        <v>th</v>
      </c>
      <c r="BS75" s="27">
        <f>ClassScore!M75</f>
        <v>0</v>
      </c>
      <c r="BT75" s="27">
        <f>ClassScore!N75</f>
        <v>0</v>
      </c>
      <c r="BU75" s="27">
        <f>ClassScore!O75</f>
        <v>0</v>
      </c>
      <c r="BV75" s="27">
        <f>ClassScore!P75</f>
        <v>0</v>
      </c>
      <c r="BW75" s="27">
        <f>ClassScore!Q75</f>
        <v>0</v>
      </c>
      <c r="BX75" s="27">
        <f>ClassScore!R75</f>
        <v>0</v>
      </c>
      <c r="BY75" s="27">
        <f>ClassScore!S75</f>
        <v>0</v>
      </c>
      <c r="BZ75" s="27">
        <f>ClassScore!T75</f>
        <v>0</v>
      </c>
      <c r="CA75" s="27">
        <f>ClassScore!U75</f>
        <v>0</v>
      </c>
      <c r="CB75" s="27">
        <f>ClassScore!V75</f>
        <v>0</v>
      </c>
      <c r="CD75" s="27">
        <f>Examscore!M75</f>
        <v>0</v>
      </c>
      <c r="CE75" s="27">
        <f>Examscore!N75</f>
        <v>0</v>
      </c>
      <c r="CF75" s="27">
        <f>Examscore!O75</f>
        <v>0</v>
      </c>
      <c r="CG75" s="27">
        <f>Examscore!P75</f>
        <v>0</v>
      </c>
      <c r="CH75" s="27">
        <f>Examscore!Q75</f>
        <v>0</v>
      </c>
      <c r="CI75" s="27">
        <f>Examscore!R75</f>
        <v>0</v>
      </c>
      <c r="CJ75" s="27">
        <f>Examscore!S75</f>
        <v>0</v>
      </c>
      <c r="CK75" s="27">
        <f>Examscore!T75</f>
        <v>0</v>
      </c>
      <c r="CL75" s="27">
        <f>Examscore!U75</f>
        <v>0</v>
      </c>
      <c r="CM75" s="27">
        <f>Examscore!V75</f>
        <v>0</v>
      </c>
    </row>
    <row r="76" spans="1:91" ht="15.75" x14ac:dyDescent="0.25">
      <c r="A76" s="5">
        <f>Student!A76</f>
        <v>0</v>
      </c>
      <c r="B76" s="21">
        <f>Student!B76</f>
        <v>0</v>
      </c>
      <c r="C76" s="28">
        <f>ClassScore!M76+Examscore!M76</f>
        <v>0</v>
      </c>
      <c r="D76" s="28">
        <f>ClassScore!N76+Examscore!N76</f>
        <v>0</v>
      </c>
      <c r="E76" s="28">
        <f>ClassScore!O76+Examscore!O76</f>
        <v>0</v>
      </c>
      <c r="F76" s="28">
        <f>ClassScore!P76+Examscore!P76</f>
        <v>0</v>
      </c>
      <c r="G76" s="28">
        <f>ClassScore!Q76+Examscore!Q76</f>
        <v>0</v>
      </c>
      <c r="H76" s="28">
        <f>ClassScore!R76+Examscore!R76</f>
        <v>0</v>
      </c>
      <c r="I76" s="28">
        <f>ClassScore!S76+Examscore!S76</f>
        <v>0</v>
      </c>
      <c r="J76" s="28">
        <f>ClassScore!T76+Examscore!T76</f>
        <v>0</v>
      </c>
      <c r="K76" s="28">
        <f>ClassScore!U76+Examscore!U76</f>
        <v>0</v>
      </c>
      <c r="L76" s="28">
        <f>ClassScore!V76+Examscore!V76</f>
        <v>0</v>
      </c>
      <c r="M76" s="5" t="str">
        <f t="shared" si="57"/>
        <v>--</v>
      </c>
      <c r="N76" s="5" t="str">
        <f t="shared" si="58"/>
        <v>--</v>
      </c>
      <c r="O76" s="5" t="str">
        <f t="shared" si="59"/>
        <v>--</v>
      </c>
      <c r="P76" s="5" t="str">
        <f t="shared" si="60"/>
        <v>--</v>
      </c>
      <c r="Q76" s="5" t="str">
        <f t="shared" si="61"/>
        <v>--</v>
      </c>
      <c r="R76" s="5" t="str">
        <f t="shared" si="62"/>
        <v>--</v>
      </c>
      <c r="S76" s="5" t="str">
        <f t="shared" si="63"/>
        <v>--</v>
      </c>
      <c r="T76" s="5" t="str">
        <f t="shared" si="64"/>
        <v>--</v>
      </c>
      <c r="U76" s="5" t="str">
        <f t="shared" si="65"/>
        <v>--</v>
      </c>
      <c r="V76" s="5" t="str">
        <f t="shared" si="66"/>
        <v>--</v>
      </c>
      <c r="W76" s="5" t="str">
        <f t="shared" si="67"/>
        <v>--</v>
      </c>
      <c r="X76" s="5" t="str">
        <f t="shared" si="68"/>
        <v>--</v>
      </c>
      <c r="Y76" s="5" t="str">
        <f t="shared" si="69"/>
        <v>--</v>
      </c>
      <c r="Z76" s="5" t="str">
        <f t="shared" si="70"/>
        <v>--</v>
      </c>
      <c r="AA76" s="5" t="str">
        <f t="shared" si="71"/>
        <v>--</v>
      </c>
      <c r="AB76" s="5" t="str">
        <f t="shared" si="72"/>
        <v>--</v>
      </c>
      <c r="AC76" s="5" t="str">
        <f t="shared" si="73"/>
        <v>--</v>
      </c>
      <c r="AD76" s="5" t="str">
        <f t="shared" si="74"/>
        <v>--</v>
      </c>
      <c r="AE76" s="5" t="str">
        <f t="shared" si="75"/>
        <v>--</v>
      </c>
      <c r="AF76" s="5" t="str">
        <f t="shared" si="76"/>
        <v>--</v>
      </c>
      <c r="AG76" s="34">
        <f>SUM(C76,D76,F76,G76)+LARGE((E76,H76,I76,J76,K76,L76),1)+LARGE((E76,H76,I76,J76,K76,L76),2)</f>
        <v>0</v>
      </c>
      <c r="AH76" s="5" t="e">
        <f>SUM(W76,X76,Z76,AA76)+SMALL((Y76,AB76,AC76,AD76,AE76,AF76),1)+SMALL((Y76,AB76,AC76,AD76,AE76,AF76),2)</f>
        <v>#NUM!</v>
      </c>
      <c r="AI76" s="15">
        <f>'Teacher''s Remarks'!M77</f>
        <v>0</v>
      </c>
      <c r="AJ76" s="15">
        <f>'Teacher''s Remarks'!N77</f>
        <v>0</v>
      </c>
      <c r="AK76" s="15">
        <f>'Teacher''s Remarks'!O77</f>
        <v>0</v>
      </c>
      <c r="AL76" s="15">
        <f>'Teacher''s Remarks'!P77</f>
        <v>0</v>
      </c>
      <c r="AM76" s="13">
        <f t="shared" si="56"/>
        <v>0</v>
      </c>
      <c r="AN76" s="14">
        <f>Attendance!B76</f>
        <v>0</v>
      </c>
      <c r="AO76" s="15"/>
      <c r="AP76" s="15"/>
      <c r="AQ76" s="22">
        <f t="shared" ca="1" si="77"/>
        <v>45764</v>
      </c>
      <c r="AR76" s="15"/>
      <c r="AT76" s="12">
        <f t="shared" si="78"/>
        <v>56</v>
      </c>
      <c r="AU76" t="str">
        <f>IF(OR(VALUE(RIGHT(AT76,5))={11,12,13}),"th",IF(OR(VALUE(RIGHT(AT76))={1,2,3}),CHOOSE(RIGHT(AT76),"st","nd","rd"),"th"))</f>
        <v>th</v>
      </c>
      <c r="AV76">
        <f t="shared" si="79"/>
        <v>56</v>
      </c>
      <c r="AW76" t="str">
        <f>IF(OR(VALUE(RIGHT(AV76,5))={11,12,13}),"th",IF(OR(VALUE(RIGHT(AV76))={1,2,3}),CHOOSE(RIGHT(AV76),"st","nd","rd"),"th"))</f>
        <v>th</v>
      </c>
      <c r="AX76">
        <f t="shared" si="80"/>
        <v>56</v>
      </c>
      <c r="AY76" t="str">
        <f>IF(OR(VALUE(RIGHT(AX76,5))={11,12,13}),"th",IF(OR(VALUE(RIGHT(AX76))={1,2,3}),CHOOSE(RIGHT(AX76),"st","nd","rd"),"th"))</f>
        <v>th</v>
      </c>
      <c r="AZ76">
        <f t="shared" si="81"/>
        <v>56</v>
      </c>
      <c r="BA76" t="str">
        <f>IF(OR(VALUE(RIGHT(AZ76,5))={11,12,13}),"th",IF(OR(VALUE(RIGHT(AZ76))={1,2,3}),CHOOSE(RIGHT(AZ76),"st","nd","rd"),"th"))</f>
        <v>th</v>
      </c>
      <c r="BB76">
        <f t="shared" si="82"/>
        <v>56</v>
      </c>
      <c r="BC76" t="str">
        <f>IF(OR(VALUE(RIGHT(BB76,5))={11,12,13}),"th",IF(OR(VALUE(RIGHT(BB76))={1,2,3}),CHOOSE(RIGHT(BB76),"st","nd","rd"),"th"))</f>
        <v>th</v>
      </c>
      <c r="BD76">
        <f t="shared" si="83"/>
        <v>56</v>
      </c>
      <c r="BE76" t="str">
        <f>IF(OR(VALUE(RIGHT(BD76,5))={11,12,13}),"th",IF(OR(VALUE(RIGHT(BD76))={1,2,3}),CHOOSE(RIGHT(BD76),"st","nd","rd"),"th"))</f>
        <v>th</v>
      </c>
      <c r="BF76">
        <f t="shared" si="84"/>
        <v>56</v>
      </c>
      <c r="BG76" t="str">
        <f>IF(OR(VALUE(RIGHT(BF76,5))={11,12,13}),"th",IF(OR(VALUE(RIGHT(BF76))={1,2,3}),CHOOSE(RIGHT(BF76),"st","nd","rd"),"th"))</f>
        <v>th</v>
      </c>
      <c r="BH76">
        <f t="shared" si="85"/>
        <v>56</v>
      </c>
      <c r="BI76" t="str">
        <f>IF(OR(VALUE(RIGHT(BH76,5))={11,12,13}),"th",IF(OR(VALUE(RIGHT(BH76))={1,2,3}),CHOOSE(RIGHT(BH76),"st","nd","rd"),"th"))</f>
        <v>th</v>
      </c>
      <c r="BJ76">
        <f t="shared" si="86"/>
        <v>56</v>
      </c>
      <c r="BK76" t="str" cm="1">
        <f t="array" ref="BK76">IF(OR(VALUE(RIGHT(BJ76,5))={11,12,13}),"th",IF(OR(VALUE(RIGHT(BJ76))={1,2,3}),CHOOSE(RIGHT(BJ76),"st","nd","rd"),"th"))</f>
        <v>th</v>
      </c>
      <c r="BL76">
        <f t="shared" si="87"/>
        <v>57</v>
      </c>
      <c r="BM76" t="str">
        <f>IF(OR(VALUE(RIGHT(BL76,5))={11,12,13}),"th",IF(OR(VALUE(RIGHT(BL76))={1,2,3}),CHOOSE(RIGHT(BL76),"st","nd","rd"),"th"))</f>
        <v>th</v>
      </c>
      <c r="BO76" s="30">
        <f t="shared" si="88"/>
        <v>0</v>
      </c>
      <c r="BP76">
        <f t="shared" si="89"/>
        <v>57</v>
      </c>
      <c r="BQ76" t="str">
        <f>IF(OR(VALUE(RIGHT(BP76,5))={11,12,13}),"th",IF(OR(VALUE(RIGHT(BP76))={1,2,3}),CHOOSE(RIGHT(BP76),"st","nd","rd"),"th"))</f>
        <v>th</v>
      </c>
      <c r="BS76" s="27">
        <f>ClassScore!M76</f>
        <v>0</v>
      </c>
      <c r="BT76" s="27">
        <f>ClassScore!N76</f>
        <v>0</v>
      </c>
      <c r="BU76" s="27">
        <f>ClassScore!O76</f>
        <v>0</v>
      </c>
      <c r="BV76" s="27">
        <f>ClassScore!P76</f>
        <v>0</v>
      </c>
      <c r="BW76" s="27">
        <f>ClassScore!Q76</f>
        <v>0</v>
      </c>
      <c r="BX76" s="27">
        <f>ClassScore!R76</f>
        <v>0</v>
      </c>
      <c r="BY76" s="27">
        <f>ClassScore!S76</f>
        <v>0</v>
      </c>
      <c r="BZ76" s="27">
        <f>ClassScore!T76</f>
        <v>0</v>
      </c>
      <c r="CA76" s="27">
        <f>ClassScore!U76</f>
        <v>0</v>
      </c>
      <c r="CB76" s="27">
        <f>ClassScore!V76</f>
        <v>0</v>
      </c>
      <c r="CD76" s="27">
        <f>Examscore!M76</f>
        <v>0</v>
      </c>
      <c r="CE76" s="27">
        <f>Examscore!N76</f>
        <v>0</v>
      </c>
      <c r="CF76" s="27">
        <f>Examscore!O76</f>
        <v>0</v>
      </c>
      <c r="CG76" s="27">
        <f>Examscore!P76</f>
        <v>0</v>
      </c>
      <c r="CH76" s="27">
        <f>Examscore!Q76</f>
        <v>0</v>
      </c>
      <c r="CI76" s="27">
        <f>Examscore!R76</f>
        <v>0</v>
      </c>
      <c r="CJ76" s="27">
        <f>Examscore!S76</f>
        <v>0</v>
      </c>
      <c r="CK76" s="27">
        <f>Examscore!T76</f>
        <v>0</v>
      </c>
      <c r="CL76" s="27">
        <f>Examscore!U76</f>
        <v>0</v>
      </c>
      <c r="CM76" s="27">
        <f>Examscore!V76</f>
        <v>0</v>
      </c>
    </row>
    <row r="77" spans="1:91" ht="15.75" x14ac:dyDescent="0.25">
      <c r="A77" s="5">
        <f>Student!A77</f>
        <v>0</v>
      </c>
      <c r="B77" s="21">
        <f>Student!B77</f>
        <v>0</v>
      </c>
      <c r="C77" s="28">
        <f>ClassScore!M77+Examscore!M77</f>
        <v>0</v>
      </c>
      <c r="D77" s="28">
        <f>ClassScore!N77+Examscore!N77</f>
        <v>0</v>
      </c>
      <c r="E77" s="28">
        <f>ClassScore!O77+Examscore!O77</f>
        <v>0</v>
      </c>
      <c r="F77" s="28">
        <f>ClassScore!P77+Examscore!P77</f>
        <v>0</v>
      </c>
      <c r="G77" s="28">
        <f>ClassScore!Q77+Examscore!Q77</f>
        <v>0</v>
      </c>
      <c r="H77" s="28">
        <f>ClassScore!R77+Examscore!R77</f>
        <v>0</v>
      </c>
      <c r="I77" s="28">
        <f>ClassScore!S77+Examscore!S77</f>
        <v>0</v>
      </c>
      <c r="J77" s="28">
        <f>ClassScore!T77+Examscore!T77</f>
        <v>0</v>
      </c>
      <c r="K77" s="28">
        <f>ClassScore!U77+Examscore!U77</f>
        <v>0</v>
      </c>
      <c r="L77" s="28">
        <f>ClassScore!V77+Examscore!V77</f>
        <v>0</v>
      </c>
      <c r="M77" s="5" t="str">
        <f t="shared" si="57"/>
        <v>--</v>
      </c>
      <c r="N77" s="5" t="str">
        <f t="shared" si="58"/>
        <v>--</v>
      </c>
      <c r="O77" s="5" t="str">
        <f t="shared" si="59"/>
        <v>--</v>
      </c>
      <c r="P77" s="5" t="str">
        <f t="shared" si="60"/>
        <v>--</v>
      </c>
      <c r="Q77" s="5" t="str">
        <f t="shared" si="61"/>
        <v>--</v>
      </c>
      <c r="R77" s="5" t="str">
        <f t="shared" si="62"/>
        <v>--</v>
      </c>
      <c r="S77" s="5" t="str">
        <f t="shared" si="63"/>
        <v>--</v>
      </c>
      <c r="T77" s="5" t="str">
        <f t="shared" si="64"/>
        <v>--</v>
      </c>
      <c r="U77" s="5" t="str">
        <f t="shared" si="65"/>
        <v>--</v>
      </c>
      <c r="V77" s="5" t="str">
        <f t="shared" si="66"/>
        <v>--</v>
      </c>
      <c r="W77" s="5" t="str">
        <f t="shared" si="67"/>
        <v>--</v>
      </c>
      <c r="X77" s="5" t="str">
        <f t="shared" si="68"/>
        <v>--</v>
      </c>
      <c r="Y77" s="5" t="str">
        <f t="shared" si="69"/>
        <v>--</v>
      </c>
      <c r="Z77" s="5" t="str">
        <f t="shared" si="70"/>
        <v>--</v>
      </c>
      <c r="AA77" s="5" t="str">
        <f t="shared" si="71"/>
        <v>--</v>
      </c>
      <c r="AB77" s="5" t="str">
        <f t="shared" si="72"/>
        <v>--</v>
      </c>
      <c r="AC77" s="5" t="str">
        <f t="shared" si="73"/>
        <v>--</v>
      </c>
      <c r="AD77" s="5" t="str">
        <f t="shared" si="74"/>
        <v>--</v>
      </c>
      <c r="AE77" s="5" t="str">
        <f t="shared" si="75"/>
        <v>--</v>
      </c>
      <c r="AF77" s="5" t="str">
        <f t="shared" si="76"/>
        <v>--</v>
      </c>
      <c r="AG77" s="34">
        <f>SUM(C77,D77,F77,G77)+LARGE((E77,H77,I77,J77,K77,L77),1)+LARGE((E77,H77,I77,J77,K77,L77),2)</f>
        <v>0</v>
      </c>
      <c r="AH77" s="5" t="e">
        <f>SUM(W77,X77,Z77,AA77)+SMALL((Y77,AB77,AC77,AD77,AE77,AF77),1)+SMALL((Y77,AB77,AC77,AD77,AE77,AF77),2)</f>
        <v>#NUM!</v>
      </c>
      <c r="AI77" s="15">
        <f>'Teacher''s Remarks'!M78</f>
        <v>0</v>
      </c>
      <c r="AJ77" s="15">
        <f>'Teacher''s Remarks'!N78</f>
        <v>0</v>
      </c>
      <c r="AK77" s="15">
        <f>'Teacher''s Remarks'!O78</f>
        <v>0</v>
      </c>
      <c r="AL77" s="15">
        <f>'Teacher''s Remarks'!P78</f>
        <v>0</v>
      </c>
      <c r="AM77" s="13">
        <f t="shared" si="56"/>
        <v>0</v>
      </c>
      <c r="AN77" s="14">
        <f>Attendance!B77</f>
        <v>0</v>
      </c>
      <c r="AO77" s="15"/>
      <c r="AP77" s="15"/>
      <c r="AQ77" s="22">
        <f t="shared" ca="1" si="77"/>
        <v>45764</v>
      </c>
      <c r="AR77" s="15"/>
      <c r="AT77" s="12">
        <f t="shared" si="78"/>
        <v>56</v>
      </c>
      <c r="AU77" t="str">
        <f>IF(OR(VALUE(RIGHT(AT77,5))={11,12,13}),"th",IF(OR(VALUE(RIGHT(AT77))={1,2,3}),CHOOSE(RIGHT(AT77),"st","nd","rd"),"th"))</f>
        <v>th</v>
      </c>
      <c r="AV77">
        <f t="shared" si="79"/>
        <v>56</v>
      </c>
      <c r="AW77" t="str">
        <f>IF(OR(VALUE(RIGHT(AV77,5))={11,12,13}),"th",IF(OR(VALUE(RIGHT(AV77))={1,2,3}),CHOOSE(RIGHT(AV77),"st","nd","rd"),"th"))</f>
        <v>th</v>
      </c>
      <c r="AX77">
        <f t="shared" si="80"/>
        <v>56</v>
      </c>
      <c r="AY77" t="str">
        <f>IF(OR(VALUE(RIGHT(AX77,5))={11,12,13}),"th",IF(OR(VALUE(RIGHT(AX77))={1,2,3}),CHOOSE(RIGHT(AX77),"st","nd","rd"),"th"))</f>
        <v>th</v>
      </c>
      <c r="AZ77">
        <f t="shared" si="81"/>
        <v>56</v>
      </c>
      <c r="BA77" t="str">
        <f>IF(OR(VALUE(RIGHT(AZ77,5))={11,12,13}),"th",IF(OR(VALUE(RIGHT(AZ77))={1,2,3}),CHOOSE(RIGHT(AZ77),"st","nd","rd"),"th"))</f>
        <v>th</v>
      </c>
      <c r="BB77">
        <f t="shared" si="82"/>
        <v>56</v>
      </c>
      <c r="BC77" t="str">
        <f>IF(OR(VALUE(RIGHT(BB77,5))={11,12,13}),"th",IF(OR(VALUE(RIGHT(BB77))={1,2,3}),CHOOSE(RIGHT(BB77),"st","nd","rd"),"th"))</f>
        <v>th</v>
      </c>
      <c r="BD77">
        <f t="shared" si="83"/>
        <v>56</v>
      </c>
      <c r="BE77" t="str">
        <f>IF(OR(VALUE(RIGHT(BD77,5))={11,12,13}),"th",IF(OR(VALUE(RIGHT(BD77))={1,2,3}),CHOOSE(RIGHT(BD77),"st","nd","rd"),"th"))</f>
        <v>th</v>
      </c>
      <c r="BF77">
        <f t="shared" si="84"/>
        <v>56</v>
      </c>
      <c r="BG77" t="str">
        <f>IF(OR(VALUE(RIGHT(BF77,5))={11,12,13}),"th",IF(OR(VALUE(RIGHT(BF77))={1,2,3}),CHOOSE(RIGHT(BF77),"st","nd","rd"),"th"))</f>
        <v>th</v>
      </c>
      <c r="BH77">
        <f t="shared" si="85"/>
        <v>56</v>
      </c>
      <c r="BI77" t="str">
        <f>IF(OR(VALUE(RIGHT(BH77,5))={11,12,13}),"th",IF(OR(VALUE(RIGHT(BH77))={1,2,3}),CHOOSE(RIGHT(BH77),"st","nd","rd"),"th"))</f>
        <v>th</v>
      </c>
      <c r="BJ77">
        <f t="shared" si="86"/>
        <v>56</v>
      </c>
      <c r="BK77" t="str" cm="1">
        <f t="array" ref="BK77">IF(OR(VALUE(RIGHT(BJ77,5))={11,12,13}),"th",IF(OR(VALUE(RIGHT(BJ77))={1,2,3}),CHOOSE(RIGHT(BJ77),"st","nd","rd"),"th"))</f>
        <v>th</v>
      </c>
      <c r="BL77">
        <f t="shared" si="87"/>
        <v>57</v>
      </c>
      <c r="BM77" t="str">
        <f>IF(OR(VALUE(RIGHT(BL77,5))={11,12,13}),"th",IF(OR(VALUE(RIGHT(BL77))={1,2,3}),CHOOSE(RIGHT(BL77),"st","nd","rd"),"th"))</f>
        <v>th</v>
      </c>
      <c r="BO77" s="30">
        <f t="shared" si="88"/>
        <v>0</v>
      </c>
      <c r="BP77">
        <f t="shared" si="89"/>
        <v>57</v>
      </c>
      <c r="BQ77" t="str">
        <f>IF(OR(VALUE(RIGHT(BP77,5))={11,12,13}),"th",IF(OR(VALUE(RIGHT(BP77))={1,2,3}),CHOOSE(RIGHT(BP77),"st","nd","rd"),"th"))</f>
        <v>th</v>
      </c>
      <c r="BS77" s="27">
        <f>ClassScore!M77</f>
        <v>0</v>
      </c>
      <c r="BT77" s="27">
        <f>ClassScore!N77</f>
        <v>0</v>
      </c>
      <c r="BU77" s="27">
        <f>ClassScore!O77</f>
        <v>0</v>
      </c>
      <c r="BV77" s="27">
        <f>ClassScore!P77</f>
        <v>0</v>
      </c>
      <c r="BW77" s="27">
        <f>ClassScore!Q77</f>
        <v>0</v>
      </c>
      <c r="BX77" s="27">
        <f>ClassScore!R77</f>
        <v>0</v>
      </c>
      <c r="BY77" s="27">
        <f>ClassScore!S77</f>
        <v>0</v>
      </c>
      <c r="BZ77" s="27">
        <f>ClassScore!T77</f>
        <v>0</v>
      </c>
      <c r="CA77" s="27">
        <f>ClassScore!U77</f>
        <v>0</v>
      </c>
      <c r="CB77" s="27">
        <f>ClassScore!V77</f>
        <v>0</v>
      </c>
      <c r="CD77" s="27">
        <f>Examscore!M77</f>
        <v>0</v>
      </c>
      <c r="CE77" s="27">
        <f>Examscore!N77</f>
        <v>0</v>
      </c>
      <c r="CF77" s="27">
        <f>Examscore!O77</f>
        <v>0</v>
      </c>
      <c r="CG77" s="27">
        <f>Examscore!P77</f>
        <v>0</v>
      </c>
      <c r="CH77" s="27">
        <f>Examscore!Q77</f>
        <v>0</v>
      </c>
      <c r="CI77" s="27">
        <f>Examscore!R77</f>
        <v>0</v>
      </c>
      <c r="CJ77" s="27">
        <f>Examscore!S77</f>
        <v>0</v>
      </c>
      <c r="CK77" s="27">
        <f>Examscore!T77</f>
        <v>0</v>
      </c>
      <c r="CL77" s="27">
        <f>Examscore!U77</f>
        <v>0</v>
      </c>
      <c r="CM77" s="27">
        <f>Examscore!V77</f>
        <v>0</v>
      </c>
    </row>
    <row r="78" spans="1:91" ht="15.75" x14ac:dyDescent="0.25">
      <c r="A78" s="5">
        <f>Student!A78</f>
        <v>0</v>
      </c>
      <c r="B78" s="21">
        <f>Student!B78</f>
        <v>0</v>
      </c>
      <c r="C78" s="28">
        <f>ClassScore!M78+Examscore!M78</f>
        <v>0</v>
      </c>
      <c r="D78" s="28">
        <f>ClassScore!N78+Examscore!N78</f>
        <v>0</v>
      </c>
      <c r="E78" s="28">
        <f>ClassScore!O78+Examscore!O78</f>
        <v>0</v>
      </c>
      <c r="F78" s="28">
        <f>ClassScore!P78+Examscore!P78</f>
        <v>0</v>
      </c>
      <c r="G78" s="28">
        <f>ClassScore!Q78+Examscore!Q78</f>
        <v>0</v>
      </c>
      <c r="H78" s="28">
        <f>ClassScore!R78+Examscore!R78</f>
        <v>0</v>
      </c>
      <c r="I78" s="28">
        <f>ClassScore!S78+Examscore!S78</f>
        <v>0</v>
      </c>
      <c r="J78" s="28">
        <f>ClassScore!T78+Examscore!T78</f>
        <v>0</v>
      </c>
      <c r="K78" s="28">
        <f>ClassScore!U78+Examscore!U78</f>
        <v>0</v>
      </c>
      <c r="L78" s="28">
        <f>ClassScore!V78+Examscore!V78</f>
        <v>0</v>
      </c>
      <c r="M78" s="5" t="str">
        <f t="shared" si="57"/>
        <v>--</v>
      </c>
      <c r="N78" s="5" t="str">
        <f t="shared" si="58"/>
        <v>--</v>
      </c>
      <c r="O78" s="5" t="str">
        <f t="shared" si="59"/>
        <v>--</v>
      </c>
      <c r="P78" s="5" t="str">
        <f t="shared" si="60"/>
        <v>--</v>
      </c>
      <c r="Q78" s="5" t="str">
        <f t="shared" si="61"/>
        <v>--</v>
      </c>
      <c r="R78" s="5" t="str">
        <f t="shared" si="62"/>
        <v>--</v>
      </c>
      <c r="S78" s="5" t="str">
        <f t="shared" si="63"/>
        <v>--</v>
      </c>
      <c r="T78" s="5" t="str">
        <f t="shared" si="64"/>
        <v>--</v>
      </c>
      <c r="U78" s="5" t="str">
        <f t="shared" si="65"/>
        <v>--</v>
      </c>
      <c r="V78" s="5" t="str">
        <f t="shared" si="66"/>
        <v>--</v>
      </c>
      <c r="W78" s="5" t="str">
        <f t="shared" si="67"/>
        <v>--</v>
      </c>
      <c r="X78" s="5" t="str">
        <f t="shared" si="68"/>
        <v>--</v>
      </c>
      <c r="Y78" s="5" t="str">
        <f t="shared" si="69"/>
        <v>--</v>
      </c>
      <c r="Z78" s="5" t="str">
        <f t="shared" si="70"/>
        <v>--</v>
      </c>
      <c r="AA78" s="5" t="str">
        <f t="shared" si="71"/>
        <v>--</v>
      </c>
      <c r="AB78" s="5" t="str">
        <f t="shared" si="72"/>
        <v>--</v>
      </c>
      <c r="AC78" s="5" t="str">
        <f t="shared" si="73"/>
        <v>--</v>
      </c>
      <c r="AD78" s="5" t="str">
        <f t="shared" si="74"/>
        <v>--</v>
      </c>
      <c r="AE78" s="5" t="str">
        <f t="shared" si="75"/>
        <v>--</v>
      </c>
      <c r="AF78" s="5" t="str">
        <f t="shared" si="76"/>
        <v>--</v>
      </c>
      <c r="AG78" s="34">
        <f>SUM(C78,D78,F78,G78)+LARGE((E78,H78,I78,J78,K78,L78),1)+LARGE((E78,H78,I78,J78,K78,L78),2)</f>
        <v>0</v>
      </c>
      <c r="AH78" s="5" t="e">
        <f>SUM(W78,X78,Z78,AA78)+SMALL((Y78,AB78,AC78,AD78,AE78,AF78),1)+SMALL((Y78,AB78,AC78,AD78,AE78,AF78),2)</f>
        <v>#NUM!</v>
      </c>
      <c r="AI78" s="15">
        <f>'Teacher''s Remarks'!M79</f>
        <v>0</v>
      </c>
      <c r="AJ78" s="15">
        <f>'Teacher''s Remarks'!N79</f>
        <v>0</v>
      </c>
      <c r="AK78" s="15">
        <f>'Teacher''s Remarks'!O79</f>
        <v>0</v>
      </c>
      <c r="AL78" s="15">
        <f>'Teacher''s Remarks'!P79</f>
        <v>0</v>
      </c>
      <c r="AM78" s="13">
        <f t="shared" si="56"/>
        <v>0</v>
      </c>
      <c r="AN78" s="14">
        <f>Attendance!B78</f>
        <v>0</v>
      </c>
      <c r="AO78" s="15"/>
      <c r="AP78" s="15"/>
      <c r="AQ78" s="22">
        <f t="shared" ca="1" si="77"/>
        <v>45764</v>
      </c>
      <c r="AR78" s="15"/>
      <c r="AT78" s="12">
        <f t="shared" si="78"/>
        <v>56</v>
      </c>
      <c r="AU78" t="str">
        <f>IF(OR(VALUE(RIGHT(AT78,5))={11,12,13}),"th",IF(OR(VALUE(RIGHT(AT78))={1,2,3}),CHOOSE(RIGHT(AT78),"st","nd","rd"),"th"))</f>
        <v>th</v>
      </c>
      <c r="AV78">
        <f t="shared" si="79"/>
        <v>56</v>
      </c>
      <c r="AW78" t="str">
        <f>IF(OR(VALUE(RIGHT(AV78,5))={11,12,13}),"th",IF(OR(VALUE(RIGHT(AV78))={1,2,3}),CHOOSE(RIGHT(AV78),"st","nd","rd"),"th"))</f>
        <v>th</v>
      </c>
      <c r="AX78">
        <f t="shared" si="80"/>
        <v>56</v>
      </c>
      <c r="AY78" t="str">
        <f>IF(OR(VALUE(RIGHT(AX78,5))={11,12,13}),"th",IF(OR(VALUE(RIGHT(AX78))={1,2,3}),CHOOSE(RIGHT(AX78),"st","nd","rd"),"th"))</f>
        <v>th</v>
      </c>
      <c r="AZ78">
        <f t="shared" si="81"/>
        <v>56</v>
      </c>
      <c r="BA78" t="str">
        <f>IF(OR(VALUE(RIGHT(AZ78,5))={11,12,13}),"th",IF(OR(VALUE(RIGHT(AZ78))={1,2,3}),CHOOSE(RIGHT(AZ78),"st","nd","rd"),"th"))</f>
        <v>th</v>
      </c>
      <c r="BB78">
        <f t="shared" si="82"/>
        <v>56</v>
      </c>
      <c r="BC78" t="str">
        <f>IF(OR(VALUE(RIGHT(BB78,5))={11,12,13}),"th",IF(OR(VALUE(RIGHT(BB78))={1,2,3}),CHOOSE(RIGHT(BB78),"st","nd","rd"),"th"))</f>
        <v>th</v>
      </c>
      <c r="BD78">
        <f t="shared" si="83"/>
        <v>56</v>
      </c>
      <c r="BE78" t="str">
        <f>IF(OR(VALUE(RIGHT(BD78,5))={11,12,13}),"th",IF(OR(VALUE(RIGHT(BD78))={1,2,3}),CHOOSE(RIGHT(BD78),"st","nd","rd"),"th"))</f>
        <v>th</v>
      </c>
      <c r="BF78">
        <f t="shared" si="84"/>
        <v>56</v>
      </c>
      <c r="BG78" t="str">
        <f>IF(OR(VALUE(RIGHT(BF78,5))={11,12,13}),"th",IF(OR(VALUE(RIGHT(BF78))={1,2,3}),CHOOSE(RIGHT(BF78),"st","nd","rd"),"th"))</f>
        <v>th</v>
      </c>
      <c r="BH78">
        <f t="shared" si="85"/>
        <v>56</v>
      </c>
      <c r="BI78" t="str">
        <f>IF(OR(VALUE(RIGHT(BH78,5))={11,12,13}),"th",IF(OR(VALUE(RIGHT(BH78))={1,2,3}),CHOOSE(RIGHT(BH78),"st","nd","rd"),"th"))</f>
        <v>th</v>
      </c>
      <c r="BJ78">
        <f t="shared" si="86"/>
        <v>56</v>
      </c>
      <c r="BK78" t="str" cm="1">
        <f t="array" ref="BK78">IF(OR(VALUE(RIGHT(BJ78,5))={11,12,13}),"th",IF(OR(VALUE(RIGHT(BJ78))={1,2,3}),CHOOSE(RIGHT(BJ78),"st","nd","rd"),"th"))</f>
        <v>th</v>
      </c>
      <c r="BL78">
        <f t="shared" si="87"/>
        <v>57</v>
      </c>
      <c r="BM78" t="str">
        <f>IF(OR(VALUE(RIGHT(BL78,5))={11,12,13}),"th",IF(OR(VALUE(RIGHT(BL78))={1,2,3}),CHOOSE(RIGHT(BL78),"st","nd","rd"),"th"))</f>
        <v>th</v>
      </c>
      <c r="BO78" s="30">
        <f t="shared" si="88"/>
        <v>0</v>
      </c>
      <c r="BP78">
        <f t="shared" si="89"/>
        <v>57</v>
      </c>
      <c r="BQ78" t="str">
        <f>IF(OR(VALUE(RIGHT(BP78,5))={11,12,13}),"th",IF(OR(VALUE(RIGHT(BP78))={1,2,3}),CHOOSE(RIGHT(BP78),"st","nd","rd"),"th"))</f>
        <v>th</v>
      </c>
      <c r="BS78" s="27">
        <f>ClassScore!M78</f>
        <v>0</v>
      </c>
      <c r="BT78" s="27">
        <f>ClassScore!N78</f>
        <v>0</v>
      </c>
      <c r="BU78" s="27">
        <f>ClassScore!O78</f>
        <v>0</v>
      </c>
      <c r="BV78" s="27">
        <f>ClassScore!P78</f>
        <v>0</v>
      </c>
      <c r="BW78" s="27">
        <f>ClassScore!Q78</f>
        <v>0</v>
      </c>
      <c r="BX78" s="27">
        <f>ClassScore!R78</f>
        <v>0</v>
      </c>
      <c r="BY78" s="27">
        <f>ClassScore!S78</f>
        <v>0</v>
      </c>
      <c r="BZ78" s="27">
        <f>ClassScore!T78</f>
        <v>0</v>
      </c>
      <c r="CA78" s="27">
        <f>ClassScore!U78</f>
        <v>0</v>
      </c>
      <c r="CB78" s="27">
        <f>ClassScore!V78</f>
        <v>0</v>
      </c>
      <c r="CD78" s="27">
        <f>Examscore!M78</f>
        <v>0</v>
      </c>
      <c r="CE78" s="27">
        <f>Examscore!N78</f>
        <v>0</v>
      </c>
      <c r="CF78" s="27">
        <f>Examscore!O78</f>
        <v>0</v>
      </c>
      <c r="CG78" s="27">
        <f>Examscore!P78</f>
        <v>0</v>
      </c>
      <c r="CH78" s="27">
        <f>Examscore!Q78</f>
        <v>0</v>
      </c>
      <c r="CI78" s="27">
        <f>Examscore!R78</f>
        <v>0</v>
      </c>
      <c r="CJ78" s="27">
        <f>Examscore!S78</f>
        <v>0</v>
      </c>
      <c r="CK78" s="27">
        <f>Examscore!T78</f>
        <v>0</v>
      </c>
      <c r="CL78" s="27">
        <f>Examscore!U78</f>
        <v>0</v>
      </c>
      <c r="CM78" s="27">
        <f>Examscore!V78</f>
        <v>0</v>
      </c>
    </row>
    <row r="79" spans="1:91" ht="15.75" x14ac:dyDescent="0.25">
      <c r="A79" s="5">
        <f>Student!A79</f>
        <v>0</v>
      </c>
      <c r="B79" s="21">
        <f>Student!B79</f>
        <v>0</v>
      </c>
      <c r="C79" s="28">
        <f>ClassScore!M79+Examscore!M79</f>
        <v>0</v>
      </c>
      <c r="D79" s="28">
        <f>ClassScore!N79+Examscore!N79</f>
        <v>0</v>
      </c>
      <c r="E79" s="28">
        <f>ClassScore!O79+Examscore!O79</f>
        <v>0</v>
      </c>
      <c r="F79" s="28">
        <f>ClassScore!P79+Examscore!P79</f>
        <v>0</v>
      </c>
      <c r="G79" s="28">
        <f>ClassScore!Q79+Examscore!Q79</f>
        <v>0</v>
      </c>
      <c r="H79" s="28">
        <f>ClassScore!R79+Examscore!R79</f>
        <v>0</v>
      </c>
      <c r="I79" s="28">
        <f>ClassScore!S79+Examscore!S79</f>
        <v>0</v>
      </c>
      <c r="J79" s="28">
        <f>ClassScore!T79+Examscore!T79</f>
        <v>0</v>
      </c>
      <c r="K79" s="28">
        <f>ClassScore!U79+Examscore!U79</f>
        <v>0</v>
      </c>
      <c r="L79" s="28">
        <f>ClassScore!V79+Examscore!V79</f>
        <v>0</v>
      </c>
      <c r="M79" s="5" t="str">
        <f t="shared" si="57"/>
        <v>--</v>
      </c>
      <c r="N79" s="5" t="str">
        <f t="shared" si="58"/>
        <v>--</v>
      </c>
      <c r="O79" s="5" t="str">
        <f t="shared" si="59"/>
        <v>--</v>
      </c>
      <c r="P79" s="5" t="str">
        <f t="shared" si="60"/>
        <v>--</v>
      </c>
      <c r="Q79" s="5" t="str">
        <f t="shared" si="61"/>
        <v>--</v>
      </c>
      <c r="R79" s="5" t="str">
        <f t="shared" si="62"/>
        <v>--</v>
      </c>
      <c r="S79" s="5" t="str">
        <f t="shared" si="63"/>
        <v>--</v>
      </c>
      <c r="T79" s="5" t="str">
        <f t="shared" si="64"/>
        <v>--</v>
      </c>
      <c r="U79" s="5" t="str">
        <f t="shared" si="65"/>
        <v>--</v>
      </c>
      <c r="V79" s="5" t="str">
        <f t="shared" si="66"/>
        <v>--</v>
      </c>
      <c r="W79" s="5" t="str">
        <f t="shared" si="67"/>
        <v>--</v>
      </c>
      <c r="X79" s="5" t="str">
        <f t="shared" si="68"/>
        <v>--</v>
      </c>
      <c r="Y79" s="5" t="str">
        <f t="shared" si="69"/>
        <v>--</v>
      </c>
      <c r="Z79" s="5" t="str">
        <f t="shared" si="70"/>
        <v>--</v>
      </c>
      <c r="AA79" s="5" t="str">
        <f t="shared" si="71"/>
        <v>--</v>
      </c>
      <c r="AB79" s="5" t="str">
        <f t="shared" si="72"/>
        <v>--</v>
      </c>
      <c r="AC79" s="5" t="str">
        <f t="shared" si="73"/>
        <v>--</v>
      </c>
      <c r="AD79" s="5" t="str">
        <f t="shared" si="74"/>
        <v>--</v>
      </c>
      <c r="AE79" s="5" t="str">
        <f t="shared" si="75"/>
        <v>--</v>
      </c>
      <c r="AF79" s="5" t="str">
        <f t="shared" si="76"/>
        <v>--</v>
      </c>
      <c r="AG79" s="34">
        <f>SUM(C79,D79,F79,G79)+LARGE((E79,H79,I79,J79,K79,L79),1)+LARGE((E79,H79,I79,J79,K79,L79),2)</f>
        <v>0</v>
      </c>
      <c r="AH79" s="5" t="e">
        <f>SUM(W79,X79,Z79,AA79)+SMALL((Y79,AB79,AC79,AD79,AE79,AF79),1)+SMALL((Y79,AB79,AC79,AD79,AE79,AF79),2)</f>
        <v>#NUM!</v>
      </c>
      <c r="AI79" s="15">
        <f>'Teacher''s Remarks'!M80</f>
        <v>0</v>
      </c>
      <c r="AJ79" s="15">
        <f>'Teacher''s Remarks'!N80</f>
        <v>0</v>
      </c>
      <c r="AK79" s="15">
        <f>'Teacher''s Remarks'!O80</f>
        <v>0</v>
      </c>
      <c r="AL79" s="15">
        <f>'Teacher''s Remarks'!P80</f>
        <v>0</v>
      </c>
      <c r="AM79" s="13">
        <f t="shared" si="56"/>
        <v>0</v>
      </c>
      <c r="AN79" s="14">
        <f>Attendance!B79</f>
        <v>0</v>
      </c>
      <c r="AO79" s="15"/>
      <c r="AP79" s="15"/>
      <c r="AQ79" s="22">
        <f t="shared" ca="1" si="77"/>
        <v>45764</v>
      </c>
      <c r="AR79" s="15"/>
      <c r="AT79" s="12">
        <f t="shared" si="78"/>
        <v>56</v>
      </c>
      <c r="AU79" t="str">
        <f>IF(OR(VALUE(RIGHT(AT79,5))={11,12,13}),"th",IF(OR(VALUE(RIGHT(AT79))={1,2,3}),CHOOSE(RIGHT(AT79),"st","nd","rd"),"th"))</f>
        <v>th</v>
      </c>
      <c r="AV79">
        <f t="shared" si="79"/>
        <v>56</v>
      </c>
      <c r="AW79" t="str">
        <f>IF(OR(VALUE(RIGHT(AV79,5))={11,12,13}),"th",IF(OR(VALUE(RIGHT(AV79))={1,2,3}),CHOOSE(RIGHT(AV79),"st","nd","rd"),"th"))</f>
        <v>th</v>
      </c>
      <c r="AX79">
        <f t="shared" si="80"/>
        <v>56</v>
      </c>
      <c r="AY79" t="str">
        <f>IF(OR(VALUE(RIGHT(AX79,5))={11,12,13}),"th",IF(OR(VALUE(RIGHT(AX79))={1,2,3}),CHOOSE(RIGHT(AX79),"st","nd","rd"),"th"))</f>
        <v>th</v>
      </c>
      <c r="AZ79">
        <f t="shared" si="81"/>
        <v>56</v>
      </c>
      <c r="BA79" t="str">
        <f>IF(OR(VALUE(RIGHT(AZ79,5))={11,12,13}),"th",IF(OR(VALUE(RIGHT(AZ79))={1,2,3}),CHOOSE(RIGHT(AZ79),"st","nd","rd"),"th"))</f>
        <v>th</v>
      </c>
      <c r="BB79">
        <f t="shared" si="82"/>
        <v>56</v>
      </c>
      <c r="BC79" t="str">
        <f>IF(OR(VALUE(RIGHT(BB79,5))={11,12,13}),"th",IF(OR(VALUE(RIGHT(BB79))={1,2,3}),CHOOSE(RIGHT(BB79),"st","nd","rd"),"th"))</f>
        <v>th</v>
      </c>
      <c r="BD79">
        <f t="shared" si="83"/>
        <v>56</v>
      </c>
      <c r="BE79" t="str">
        <f>IF(OR(VALUE(RIGHT(BD79,5))={11,12,13}),"th",IF(OR(VALUE(RIGHT(BD79))={1,2,3}),CHOOSE(RIGHT(BD79),"st","nd","rd"),"th"))</f>
        <v>th</v>
      </c>
      <c r="BF79">
        <f t="shared" si="84"/>
        <v>56</v>
      </c>
      <c r="BG79" t="str">
        <f>IF(OR(VALUE(RIGHT(BF79,5))={11,12,13}),"th",IF(OR(VALUE(RIGHT(BF79))={1,2,3}),CHOOSE(RIGHT(BF79),"st","nd","rd"),"th"))</f>
        <v>th</v>
      </c>
      <c r="BH79">
        <f t="shared" si="85"/>
        <v>56</v>
      </c>
      <c r="BI79" t="str">
        <f>IF(OR(VALUE(RIGHT(BH79,5))={11,12,13}),"th",IF(OR(VALUE(RIGHT(BH79))={1,2,3}),CHOOSE(RIGHT(BH79),"st","nd","rd"),"th"))</f>
        <v>th</v>
      </c>
      <c r="BJ79">
        <f t="shared" si="86"/>
        <v>56</v>
      </c>
      <c r="BK79" t="str" cm="1">
        <f t="array" ref="BK79">IF(OR(VALUE(RIGHT(BJ79,5))={11,12,13}),"th",IF(OR(VALUE(RIGHT(BJ79))={1,2,3}),CHOOSE(RIGHT(BJ79),"st","nd","rd"),"th"))</f>
        <v>th</v>
      </c>
      <c r="BL79">
        <f t="shared" si="87"/>
        <v>57</v>
      </c>
      <c r="BM79" t="str">
        <f>IF(OR(VALUE(RIGHT(BL79,5))={11,12,13}),"th",IF(OR(VALUE(RIGHT(BL79))={1,2,3}),CHOOSE(RIGHT(BL79),"st","nd","rd"),"th"))</f>
        <v>th</v>
      </c>
      <c r="BO79" s="30">
        <f t="shared" si="88"/>
        <v>0</v>
      </c>
      <c r="BP79">
        <f t="shared" si="89"/>
        <v>57</v>
      </c>
      <c r="BQ79" t="str">
        <f>IF(OR(VALUE(RIGHT(BP79,5))={11,12,13}),"th",IF(OR(VALUE(RIGHT(BP79))={1,2,3}),CHOOSE(RIGHT(BP79),"st","nd","rd"),"th"))</f>
        <v>th</v>
      </c>
      <c r="BS79" s="27">
        <f>ClassScore!M79</f>
        <v>0</v>
      </c>
      <c r="BT79" s="27">
        <f>ClassScore!N79</f>
        <v>0</v>
      </c>
      <c r="BU79" s="27">
        <f>ClassScore!O79</f>
        <v>0</v>
      </c>
      <c r="BV79" s="27">
        <f>ClassScore!P79</f>
        <v>0</v>
      </c>
      <c r="BW79" s="27">
        <f>ClassScore!Q79</f>
        <v>0</v>
      </c>
      <c r="BX79" s="27">
        <f>ClassScore!R79</f>
        <v>0</v>
      </c>
      <c r="BY79" s="27">
        <f>ClassScore!S79</f>
        <v>0</v>
      </c>
      <c r="BZ79" s="27">
        <f>ClassScore!T79</f>
        <v>0</v>
      </c>
      <c r="CA79" s="27">
        <f>ClassScore!U79</f>
        <v>0</v>
      </c>
      <c r="CB79" s="27">
        <f>ClassScore!V79</f>
        <v>0</v>
      </c>
      <c r="CD79" s="27">
        <f>Examscore!M79</f>
        <v>0</v>
      </c>
      <c r="CE79" s="27">
        <f>Examscore!N79</f>
        <v>0</v>
      </c>
      <c r="CF79" s="27">
        <f>Examscore!O79</f>
        <v>0</v>
      </c>
      <c r="CG79" s="27">
        <f>Examscore!P79</f>
        <v>0</v>
      </c>
      <c r="CH79" s="27">
        <f>Examscore!Q79</f>
        <v>0</v>
      </c>
      <c r="CI79" s="27">
        <f>Examscore!R79</f>
        <v>0</v>
      </c>
      <c r="CJ79" s="27">
        <f>Examscore!S79</f>
        <v>0</v>
      </c>
      <c r="CK79" s="27">
        <f>Examscore!T79</f>
        <v>0</v>
      </c>
      <c r="CL79" s="27">
        <f>Examscore!U79</f>
        <v>0</v>
      </c>
      <c r="CM79" s="27">
        <f>Examscore!V79</f>
        <v>0</v>
      </c>
    </row>
    <row r="80" spans="1:91" ht="15.75" x14ac:dyDescent="0.25">
      <c r="A80" s="5">
        <f>Student!A80</f>
        <v>0</v>
      </c>
      <c r="B80" s="21">
        <f>Student!B80</f>
        <v>0</v>
      </c>
      <c r="C80" s="28">
        <f>ClassScore!M80+Examscore!M80</f>
        <v>0</v>
      </c>
      <c r="D80" s="28">
        <f>ClassScore!N80+Examscore!N80</f>
        <v>0</v>
      </c>
      <c r="E80" s="28">
        <f>ClassScore!O80+Examscore!O80</f>
        <v>0</v>
      </c>
      <c r="F80" s="28">
        <f>ClassScore!P80+Examscore!P80</f>
        <v>0</v>
      </c>
      <c r="G80" s="28">
        <f>ClassScore!Q80+Examscore!Q80</f>
        <v>0</v>
      </c>
      <c r="H80" s="28">
        <f>ClassScore!R80+Examscore!R80</f>
        <v>0</v>
      </c>
      <c r="I80" s="28">
        <f>ClassScore!S80+Examscore!S80</f>
        <v>0</v>
      </c>
      <c r="J80" s="28">
        <f>ClassScore!T80+Examscore!T80</f>
        <v>0</v>
      </c>
      <c r="K80" s="28">
        <f>ClassScore!U80+Examscore!U80</f>
        <v>0</v>
      </c>
      <c r="L80" s="28">
        <f>ClassScore!V80+Examscore!V80</f>
        <v>0</v>
      </c>
      <c r="M80" s="5" t="str">
        <f t="shared" si="57"/>
        <v>--</v>
      </c>
      <c r="N80" s="5" t="str">
        <f t="shared" si="58"/>
        <v>--</v>
      </c>
      <c r="O80" s="5" t="str">
        <f t="shared" si="59"/>
        <v>--</v>
      </c>
      <c r="P80" s="5" t="str">
        <f t="shared" si="60"/>
        <v>--</v>
      </c>
      <c r="Q80" s="5" t="str">
        <f t="shared" si="61"/>
        <v>--</v>
      </c>
      <c r="R80" s="5" t="str">
        <f t="shared" si="62"/>
        <v>--</v>
      </c>
      <c r="S80" s="5" t="str">
        <f t="shared" si="63"/>
        <v>--</v>
      </c>
      <c r="T80" s="5" t="str">
        <f t="shared" si="64"/>
        <v>--</v>
      </c>
      <c r="U80" s="5" t="str">
        <f t="shared" si="65"/>
        <v>--</v>
      </c>
      <c r="V80" s="5" t="str">
        <f t="shared" si="66"/>
        <v>--</v>
      </c>
      <c r="W80" s="5" t="str">
        <f t="shared" si="67"/>
        <v>--</v>
      </c>
      <c r="X80" s="5" t="str">
        <f t="shared" si="68"/>
        <v>--</v>
      </c>
      <c r="Y80" s="5" t="str">
        <f t="shared" si="69"/>
        <v>--</v>
      </c>
      <c r="Z80" s="5" t="str">
        <f t="shared" si="70"/>
        <v>--</v>
      </c>
      <c r="AA80" s="5" t="str">
        <f t="shared" si="71"/>
        <v>--</v>
      </c>
      <c r="AB80" s="5" t="str">
        <f t="shared" si="72"/>
        <v>--</v>
      </c>
      <c r="AC80" s="5" t="str">
        <f t="shared" si="73"/>
        <v>--</v>
      </c>
      <c r="AD80" s="5" t="str">
        <f t="shared" si="74"/>
        <v>--</v>
      </c>
      <c r="AE80" s="5" t="str">
        <f t="shared" si="75"/>
        <v>--</v>
      </c>
      <c r="AF80" s="5" t="str">
        <f t="shared" si="76"/>
        <v>--</v>
      </c>
      <c r="AG80" s="34">
        <f>SUM(C80,D80,F80,G80)+LARGE((E80,H80,I80,J80,K80,L80),1)+LARGE((E80,H80,I80,J80,K80,L80),2)</f>
        <v>0</v>
      </c>
      <c r="AH80" s="5" t="e">
        <f>SUM(W80,X80,Z80,AA80)+SMALL((Y80,AB80,AC80,AD80,AE80,AF80),1)+SMALL((Y80,AB80,AC80,AD80,AE80,AF80),2)</f>
        <v>#NUM!</v>
      </c>
      <c r="AI80" s="15">
        <f>'Teacher''s Remarks'!M81</f>
        <v>0</v>
      </c>
      <c r="AJ80" s="15">
        <f>'Teacher''s Remarks'!N81</f>
        <v>0</v>
      </c>
      <c r="AK80" s="15">
        <f>'Teacher''s Remarks'!O81</f>
        <v>0</v>
      </c>
      <c r="AL80" s="15">
        <f>'Teacher''s Remarks'!P81</f>
        <v>0</v>
      </c>
      <c r="AM80" s="13">
        <f t="shared" si="56"/>
        <v>0</v>
      </c>
      <c r="AN80" s="14">
        <f>Attendance!B80</f>
        <v>0</v>
      </c>
      <c r="AO80" s="15"/>
      <c r="AP80" s="15"/>
      <c r="AQ80" s="22">
        <f t="shared" ca="1" si="77"/>
        <v>45764</v>
      </c>
      <c r="AR80" s="15"/>
      <c r="AT80" s="12">
        <f t="shared" si="78"/>
        <v>56</v>
      </c>
      <c r="AU80" t="str">
        <f>IF(OR(VALUE(RIGHT(AT80,5))={11,12,13}),"th",IF(OR(VALUE(RIGHT(AT80))={1,2,3}),CHOOSE(RIGHT(AT80),"st","nd","rd"),"th"))</f>
        <v>th</v>
      </c>
      <c r="AV80">
        <f t="shared" si="79"/>
        <v>56</v>
      </c>
      <c r="AW80" t="str">
        <f>IF(OR(VALUE(RIGHT(AV80,5))={11,12,13}),"th",IF(OR(VALUE(RIGHT(AV80))={1,2,3}),CHOOSE(RIGHT(AV80),"st","nd","rd"),"th"))</f>
        <v>th</v>
      </c>
      <c r="AX80">
        <f t="shared" si="80"/>
        <v>56</v>
      </c>
      <c r="AY80" t="str">
        <f>IF(OR(VALUE(RIGHT(AX80,5))={11,12,13}),"th",IF(OR(VALUE(RIGHT(AX80))={1,2,3}),CHOOSE(RIGHT(AX80),"st","nd","rd"),"th"))</f>
        <v>th</v>
      </c>
      <c r="AZ80">
        <f t="shared" si="81"/>
        <v>56</v>
      </c>
      <c r="BA80" t="str">
        <f>IF(OR(VALUE(RIGHT(AZ80,5))={11,12,13}),"th",IF(OR(VALUE(RIGHT(AZ80))={1,2,3}),CHOOSE(RIGHT(AZ80),"st","nd","rd"),"th"))</f>
        <v>th</v>
      </c>
      <c r="BB80">
        <f t="shared" si="82"/>
        <v>56</v>
      </c>
      <c r="BC80" t="str">
        <f>IF(OR(VALUE(RIGHT(BB80,5))={11,12,13}),"th",IF(OR(VALUE(RIGHT(BB80))={1,2,3}),CHOOSE(RIGHT(BB80),"st","nd","rd"),"th"))</f>
        <v>th</v>
      </c>
      <c r="BD80">
        <f t="shared" si="83"/>
        <v>56</v>
      </c>
      <c r="BE80" t="str">
        <f>IF(OR(VALUE(RIGHT(BD80,5))={11,12,13}),"th",IF(OR(VALUE(RIGHT(BD80))={1,2,3}),CHOOSE(RIGHT(BD80),"st","nd","rd"),"th"))</f>
        <v>th</v>
      </c>
      <c r="BF80">
        <f t="shared" si="84"/>
        <v>56</v>
      </c>
      <c r="BG80" t="str">
        <f>IF(OR(VALUE(RIGHT(BF80,5))={11,12,13}),"th",IF(OR(VALUE(RIGHT(BF80))={1,2,3}),CHOOSE(RIGHT(BF80),"st","nd","rd"),"th"))</f>
        <v>th</v>
      </c>
      <c r="BH80">
        <f t="shared" si="85"/>
        <v>56</v>
      </c>
      <c r="BI80" t="str">
        <f>IF(OR(VALUE(RIGHT(BH80,5))={11,12,13}),"th",IF(OR(VALUE(RIGHT(BH80))={1,2,3}),CHOOSE(RIGHT(BH80),"st","nd","rd"),"th"))</f>
        <v>th</v>
      </c>
      <c r="BJ80">
        <f t="shared" si="86"/>
        <v>56</v>
      </c>
      <c r="BK80" t="str" cm="1">
        <f t="array" ref="BK80">IF(OR(VALUE(RIGHT(BJ80,5))={11,12,13}),"th",IF(OR(VALUE(RIGHT(BJ80))={1,2,3}),CHOOSE(RIGHT(BJ80),"st","nd","rd"),"th"))</f>
        <v>th</v>
      </c>
      <c r="BL80">
        <f t="shared" si="87"/>
        <v>57</v>
      </c>
      <c r="BM80" t="str">
        <f>IF(OR(VALUE(RIGHT(BL80,5))={11,12,13}),"th",IF(OR(VALUE(RIGHT(BL80))={1,2,3}),CHOOSE(RIGHT(BL80),"st","nd","rd"),"th"))</f>
        <v>th</v>
      </c>
      <c r="BO80" s="30">
        <f t="shared" si="88"/>
        <v>0</v>
      </c>
      <c r="BP80">
        <f t="shared" si="89"/>
        <v>57</v>
      </c>
      <c r="BQ80" t="str">
        <f>IF(OR(VALUE(RIGHT(BP80,5))={11,12,13}),"th",IF(OR(VALUE(RIGHT(BP80))={1,2,3}),CHOOSE(RIGHT(BP80),"st","nd","rd"),"th"))</f>
        <v>th</v>
      </c>
      <c r="BS80" s="27">
        <f>ClassScore!M80</f>
        <v>0</v>
      </c>
      <c r="BT80" s="27">
        <f>ClassScore!N80</f>
        <v>0</v>
      </c>
      <c r="BU80" s="27">
        <f>ClassScore!O80</f>
        <v>0</v>
      </c>
      <c r="BV80" s="27">
        <f>ClassScore!P80</f>
        <v>0</v>
      </c>
      <c r="BW80" s="27">
        <f>ClassScore!Q80</f>
        <v>0</v>
      </c>
      <c r="BX80" s="27">
        <f>ClassScore!R80</f>
        <v>0</v>
      </c>
      <c r="BY80" s="27">
        <f>ClassScore!S80</f>
        <v>0</v>
      </c>
      <c r="BZ80" s="27">
        <f>ClassScore!T80</f>
        <v>0</v>
      </c>
      <c r="CA80" s="27">
        <f>ClassScore!U80</f>
        <v>0</v>
      </c>
      <c r="CB80" s="27">
        <f>ClassScore!V80</f>
        <v>0</v>
      </c>
      <c r="CD80" s="27">
        <f>Examscore!M80</f>
        <v>0</v>
      </c>
      <c r="CE80" s="27">
        <f>Examscore!N80</f>
        <v>0</v>
      </c>
      <c r="CF80" s="27">
        <f>Examscore!O80</f>
        <v>0</v>
      </c>
      <c r="CG80" s="27">
        <f>Examscore!P80</f>
        <v>0</v>
      </c>
      <c r="CH80" s="27">
        <f>Examscore!Q80</f>
        <v>0</v>
      </c>
      <c r="CI80" s="27">
        <f>Examscore!R80</f>
        <v>0</v>
      </c>
      <c r="CJ80" s="27">
        <f>Examscore!S80</f>
        <v>0</v>
      </c>
      <c r="CK80" s="27">
        <f>Examscore!T80</f>
        <v>0</v>
      </c>
      <c r="CL80" s="27">
        <f>Examscore!U80</f>
        <v>0</v>
      </c>
      <c r="CM80" s="27">
        <f>Examscore!V80</f>
        <v>0</v>
      </c>
    </row>
    <row r="81" spans="1:91" ht="15.75" x14ac:dyDescent="0.25">
      <c r="A81" s="5">
        <f>Student!A81</f>
        <v>0</v>
      </c>
      <c r="B81" s="21">
        <f>Student!B81</f>
        <v>0</v>
      </c>
      <c r="C81" s="28">
        <f>ClassScore!M81+Examscore!M81</f>
        <v>0</v>
      </c>
      <c r="D81" s="28">
        <f>ClassScore!N81+Examscore!N81</f>
        <v>0</v>
      </c>
      <c r="E81" s="28">
        <f>ClassScore!O81+Examscore!O81</f>
        <v>0</v>
      </c>
      <c r="F81" s="28">
        <f>ClassScore!P81+Examscore!P81</f>
        <v>0</v>
      </c>
      <c r="G81" s="28">
        <f>ClassScore!Q81+Examscore!Q81</f>
        <v>0</v>
      </c>
      <c r="H81" s="28">
        <f>ClassScore!R81+Examscore!R81</f>
        <v>0</v>
      </c>
      <c r="I81" s="28">
        <f>ClassScore!S81+Examscore!S81</f>
        <v>0</v>
      </c>
      <c r="J81" s="28">
        <f>ClassScore!T81+Examscore!T81</f>
        <v>0</v>
      </c>
      <c r="K81" s="28">
        <f>ClassScore!U81+Examscore!U81</f>
        <v>0</v>
      </c>
      <c r="L81" s="28">
        <f>ClassScore!V81+Examscore!V81</f>
        <v>0</v>
      </c>
      <c r="M81" s="5" t="str">
        <f t="shared" si="57"/>
        <v>--</v>
      </c>
      <c r="N81" s="5" t="str">
        <f t="shared" si="58"/>
        <v>--</v>
      </c>
      <c r="O81" s="5" t="str">
        <f t="shared" si="59"/>
        <v>--</v>
      </c>
      <c r="P81" s="5" t="str">
        <f t="shared" si="60"/>
        <v>--</v>
      </c>
      <c r="Q81" s="5" t="str">
        <f t="shared" si="61"/>
        <v>--</v>
      </c>
      <c r="R81" s="5" t="str">
        <f t="shared" si="62"/>
        <v>--</v>
      </c>
      <c r="S81" s="5" t="str">
        <f t="shared" si="63"/>
        <v>--</v>
      </c>
      <c r="T81" s="5" t="str">
        <f t="shared" si="64"/>
        <v>--</v>
      </c>
      <c r="U81" s="5" t="str">
        <f t="shared" si="65"/>
        <v>--</v>
      </c>
      <c r="V81" s="5" t="str">
        <f t="shared" si="66"/>
        <v>--</v>
      </c>
      <c r="W81" s="5" t="str">
        <f t="shared" si="67"/>
        <v>--</v>
      </c>
      <c r="X81" s="5" t="str">
        <f t="shared" si="68"/>
        <v>--</v>
      </c>
      <c r="Y81" s="5" t="str">
        <f t="shared" si="69"/>
        <v>--</v>
      </c>
      <c r="Z81" s="5" t="str">
        <f t="shared" si="70"/>
        <v>--</v>
      </c>
      <c r="AA81" s="5" t="str">
        <f t="shared" si="71"/>
        <v>--</v>
      </c>
      <c r="AB81" s="5" t="str">
        <f t="shared" si="72"/>
        <v>--</v>
      </c>
      <c r="AC81" s="5" t="str">
        <f t="shared" si="73"/>
        <v>--</v>
      </c>
      <c r="AD81" s="5" t="str">
        <f t="shared" si="74"/>
        <v>--</v>
      </c>
      <c r="AE81" s="5" t="str">
        <f t="shared" si="75"/>
        <v>--</v>
      </c>
      <c r="AF81" s="5" t="str">
        <f t="shared" si="76"/>
        <v>--</v>
      </c>
      <c r="AG81" s="34">
        <f>SUM(C81,D81,F81,G81)+LARGE((E81,H81,I81,J81,K81,L81),1)+LARGE((E81,H81,I81,J81,K81,L81),2)</f>
        <v>0</v>
      </c>
      <c r="AH81" s="5" t="e">
        <f>SUM(W81,X81,Z81,AA81)+SMALL((Y81,AB81,AC81,AD81,AE81,AF81),1)+SMALL((Y81,AB81,AC81,AD81,AE81,AF81),2)</f>
        <v>#NUM!</v>
      </c>
      <c r="AI81" s="15">
        <f>'Teacher''s Remarks'!M82</f>
        <v>0</v>
      </c>
      <c r="AJ81" s="15">
        <f>'Teacher''s Remarks'!N82</f>
        <v>0</v>
      </c>
      <c r="AK81" s="15">
        <f>'Teacher''s Remarks'!O82</f>
        <v>0</v>
      </c>
      <c r="AL81" s="15">
        <f>'Teacher''s Remarks'!P82</f>
        <v>0</v>
      </c>
      <c r="AM81" s="13">
        <f t="shared" si="56"/>
        <v>0</v>
      </c>
      <c r="AN81" s="14">
        <f>Attendance!B81</f>
        <v>0</v>
      </c>
      <c r="AO81" s="15"/>
      <c r="AP81" s="15"/>
      <c r="AQ81" s="22">
        <f t="shared" ca="1" si="77"/>
        <v>45764</v>
      </c>
      <c r="AR81" s="15"/>
      <c r="AT81" s="12">
        <f t="shared" si="78"/>
        <v>56</v>
      </c>
      <c r="AU81" t="str">
        <f>IF(OR(VALUE(RIGHT(AT81,5))={11,12,13}),"th",IF(OR(VALUE(RIGHT(AT81))={1,2,3}),CHOOSE(RIGHT(AT81),"st","nd","rd"),"th"))</f>
        <v>th</v>
      </c>
      <c r="AV81">
        <f t="shared" si="79"/>
        <v>56</v>
      </c>
      <c r="AW81" t="str">
        <f>IF(OR(VALUE(RIGHT(AV81,5))={11,12,13}),"th",IF(OR(VALUE(RIGHT(AV81))={1,2,3}),CHOOSE(RIGHT(AV81),"st","nd","rd"),"th"))</f>
        <v>th</v>
      </c>
      <c r="AX81">
        <f t="shared" si="80"/>
        <v>56</v>
      </c>
      <c r="AY81" t="str">
        <f>IF(OR(VALUE(RIGHT(AX81,5))={11,12,13}),"th",IF(OR(VALUE(RIGHT(AX81))={1,2,3}),CHOOSE(RIGHT(AX81),"st","nd","rd"),"th"))</f>
        <v>th</v>
      </c>
      <c r="AZ81">
        <f t="shared" si="81"/>
        <v>56</v>
      </c>
      <c r="BA81" t="str">
        <f>IF(OR(VALUE(RIGHT(AZ81,5))={11,12,13}),"th",IF(OR(VALUE(RIGHT(AZ81))={1,2,3}),CHOOSE(RIGHT(AZ81),"st","nd","rd"),"th"))</f>
        <v>th</v>
      </c>
      <c r="BB81">
        <f t="shared" si="82"/>
        <v>56</v>
      </c>
      <c r="BC81" t="str">
        <f>IF(OR(VALUE(RIGHT(BB81,5))={11,12,13}),"th",IF(OR(VALUE(RIGHT(BB81))={1,2,3}),CHOOSE(RIGHT(BB81),"st","nd","rd"),"th"))</f>
        <v>th</v>
      </c>
      <c r="BD81">
        <f t="shared" si="83"/>
        <v>56</v>
      </c>
      <c r="BE81" t="str">
        <f>IF(OR(VALUE(RIGHT(BD81,5))={11,12,13}),"th",IF(OR(VALUE(RIGHT(BD81))={1,2,3}),CHOOSE(RIGHT(BD81),"st","nd","rd"),"th"))</f>
        <v>th</v>
      </c>
      <c r="BF81">
        <f t="shared" si="84"/>
        <v>56</v>
      </c>
      <c r="BG81" t="str">
        <f>IF(OR(VALUE(RIGHT(BF81,5))={11,12,13}),"th",IF(OR(VALUE(RIGHT(BF81))={1,2,3}),CHOOSE(RIGHT(BF81),"st","nd","rd"),"th"))</f>
        <v>th</v>
      </c>
      <c r="BH81">
        <f t="shared" si="85"/>
        <v>56</v>
      </c>
      <c r="BI81" t="str">
        <f>IF(OR(VALUE(RIGHT(BH81,5))={11,12,13}),"th",IF(OR(VALUE(RIGHT(BH81))={1,2,3}),CHOOSE(RIGHT(BH81),"st","nd","rd"),"th"))</f>
        <v>th</v>
      </c>
      <c r="BJ81">
        <f t="shared" si="86"/>
        <v>56</v>
      </c>
      <c r="BK81" t="str" cm="1">
        <f t="array" ref="BK81">IF(OR(VALUE(RIGHT(BJ81,5))={11,12,13}),"th",IF(OR(VALUE(RIGHT(BJ81))={1,2,3}),CHOOSE(RIGHT(BJ81),"st","nd","rd"),"th"))</f>
        <v>th</v>
      </c>
      <c r="BL81">
        <f t="shared" si="87"/>
        <v>57</v>
      </c>
      <c r="BM81" t="str">
        <f>IF(OR(VALUE(RIGHT(BL81,5))={11,12,13}),"th",IF(OR(VALUE(RIGHT(BL81))={1,2,3}),CHOOSE(RIGHT(BL81),"st","nd","rd"),"th"))</f>
        <v>th</v>
      </c>
      <c r="BO81" s="30">
        <f t="shared" si="88"/>
        <v>0</v>
      </c>
      <c r="BP81">
        <f t="shared" si="89"/>
        <v>57</v>
      </c>
      <c r="BQ81" t="str">
        <f>IF(OR(VALUE(RIGHT(BP81,5))={11,12,13}),"th",IF(OR(VALUE(RIGHT(BP81))={1,2,3}),CHOOSE(RIGHT(BP81),"st","nd","rd"),"th"))</f>
        <v>th</v>
      </c>
      <c r="BS81" s="27">
        <f>ClassScore!M81</f>
        <v>0</v>
      </c>
      <c r="BT81" s="27">
        <f>ClassScore!N81</f>
        <v>0</v>
      </c>
      <c r="BU81" s="27">
        <f>ClassScore!O81</f>
        <v>0</v>
      </c>
      <c r="BV81" s="27">
        <f>ClassScore!P81</f>
        <v>0</v>
      </c>
      <c r="BW81" s="27">
        <f>ClassScore!Q81</f>
        <v>0</v>
      </c>
      <c r="BX81" s="27">
        <f>ClassScore!R81</f>
        <v>0</v>
      </c>
      <c r="BY81" s="27">
        <f>ClassScore!S81</f>
        <v>0</v>
      </c>
      <c r="BZ81" s="27">
        <f>ClassScore!T81</f>
        <v>0</v>
      </c>
      <c r="CA81" s="27">
        <f>ClassScore!U81</f>
        <v>0</v>
      </c>
      <c r="CB81" s="27">
        <f>ClassScore!V81</f>
        <v>0</v>
      </c>
      <c r="CD81" s="27">
        <f>Examscore!M81</f>
        <v>0</v>
      </c>
      <c r="CE81" s="27">
        <f>Examscore!N81</f>
        <v>0</v>
      </c>
      <c r="CF81" s="27">
        <f>Examscore!O81</f>
        <v>0</v>
      </c>
      <c r="CG81" s="27">
        <f>Examscore!P81</f>
        <v>0</v>
      </c>
      <c r="CH81" s="27">
        <f>Examscore!Q81</f>
        <v>0</v>
      </c>
      <c r="CI81" s="27">
        <f>Examscore!R81</f>
        <v>0</v>
      </c>
      <c r="CJ81" s="27">
        <f>Examscore!S81</f>
        <v>0</v>
      </c>
      <c r="CK81" s="27">
        <f>Examscore!T81</f>
        <v>0</v>
      </c>
      <c r="CL81" s="27">
        <f>Examscore!U81</f>
        <v>0</v>
      </c>
      <c r="CM81" s="27">
        <f>Examscore!V81</f>
        <v>0</v>
      </c>
    </row>
    <row r="82" spans="1:91" ht="15.75" x14ac:dyDescent="0.25">
      <c r="A82" s="5">
        <f>Student!A82</f>
        <v>0</v>
      </c>
      <c r="B82" s="21">
        <f>Student!B82</f>
        <v>0</v>
      </c>
      <c r="C82" s="28">
        <f>ClassScore!M82+Examscore!M82</f>
        <v>0</v>
      </c>
      <c r="D82" s="28">
        <f>ClassScore!N82+Examscore!N82</f>
        <v>0</v>
      </c>
      <c r="E82" s="28">
        <f>ClassScore!O82+Examscore!O82</f>
        <v>0</v>
      </c>
      <c r="F82" s="28">
        <f>ClassScore!P82+Examscore!P82</f>
        <v>0</v>
      </c>
      <c r="G82" s="28">
        <f>ClassScore!Q82+Examscore!Q82</f>
        <v>0</v>
      </c>
      <c r="H82" s="28">
        <f>ClassScore!R82+Examscore!R82</f>
        <v>0</v>
      </c>
      <c r="I82" s="28">
        <f>ClassScore!S82+Examscore!S82</f>
        <v>0</v>
      </c>
      <c r="J82" s="28">
        <f>ClassScore!T82+Examscore!T82</f>
        <v>0</v>
      </c>
      <c r="K82" s="28">
        <f>ClassScore!U82+Examscore!U82</f>
        <v>0</v>
      </c>
      <c r="L82" s="28">
        <f>ClassScore!V82+Examscore!V82</f>
        <v>0</v>
      </c>
      <c r="M82" s="5" t="str">
        <f t="shared" si="57"/>
        <v>--</v>
      </c>
      <c r="N82" s="5" t="str">
        <f t="shared" si="58"/>
        <v>--</v>
      </c>
      <c r="O82" s="5" t="str">
        <f t="shared" si="59"/>
        <v>--</v>
      </c>
      <c r="P82" s="5" t="str">
        <f t="shared" si="60"/>
        <v>--</v>
      </c>
      <c r="Q82" s="5" t="str">
        <f t="shared" si="61"/>
        <v>--</v>
      </c>
      <c r="R82" s="5" t="str">
        <f t="shared" si="62"/>
        <v>--</v>
      </c>
      <c r="S82" s="5" t="str">
        <f t="shared" si="63"/>
        <v>--</v>
      </c>
      <c r="T82" s="5" t="str">
        <f t="shared" si="64"/>
        <v>--</v>
      </c>
      <c r="U82" s="5" t="str">
        <f t="shared" si="65"/>
        <v>--</v>
      </c>
      <c r="V82" s="5" t="str">
        <f t="shared" si="66"/>
        <v>--</v>
      </c>
      <c r="W82" s="5" t="str">
        <f t="shared" si="67"/>
        <v>--</v>
      </c>
      <c r="X82" s="5" t="str">
        <f t="shared" si="68"/>
        <v>--</v>
      </c>
      <c r="Y82" s="5" t="str">
        <f t="shared" si="69"/>
        <v>--</v>
      </c>
      <c r="Z82" s="5" t="str">
        <f t="shared" si="70"/>
        <v>--</v>
      </c>
      <c r="AA82" s="5" t="str">
        <f t="shared" si="71"/>
        <v>--</v>
      </c>
      <c r="AB82" s="5" t="str">
        <f t="shared" si="72"/>
        <v>--</v>
      </c>
      <c r="AC82" s="5" t="str">
        <f t="shared" si="73"/>
        <v>--</v>
      </c>
      <c r="AD82" s="5" t="str">
        <f t="shared" si="74"/>
        <v>--</v>
      </c>
      <c r="AE82" s="5" t="str">
        <f t="shared" si="75"/>
        <v>--</v>
      </c>
      <c r="AF82" s="5" t="str">
        <f t="shared" si="76"/>
        <v>--</v>
      </c>
      <c r="AG82" s="34">
        <f>SUM(C82,D82,F82,G82)+LARGE((E82,H82,I82,J82,K82,L82),1)+LARGE((E82,H82,I82,J82,K82,L82),2)</f>
        <v>0</v>
      </c>
      <c r="AH82" s="5" t="e">
        <f>SUM(W82,X82,Z82,AA82)+SMALL((Y82,AB82,AC82,AD82,AE82,AF82),1)+SMALL((Y82,AB82,AC82,AD82,AE82,AF82),2)</f>
        <v>#NUM!</v>
      </c>
      <c r="AI82" s="15">
        <f>'Teacher''s Remarks'!M83</f>
        <v>0</v>
      </c>
      <c r="AJ82" s="15">
        <f>'Teacher''s Remarks'!N83</f>
        <v>0</v>
      </c>
      <c r="AK82" s="15">
        <f>'Teacher''s Remarks'!O83</f>
        <v>0</v>
      </c>
      <c r="AL82" s="15">
        <f>'Teacher''s Remarks'!P83</f>
        <v>0</v>
      </c>
      <c r="AM82" s="13">
        <f t="shared" si="56"/>
        <v>0</v>
      </c>
      <c r="AN82" s="14">
        <f>Attendance!B82</f>
        <v>0</v>
      </c>
      <c r="AO82" s="15"/>
      <c r="AP82" s="15"/>
      <c r="AQ82" s="22">
        <f t="shared" ca="1" si="77"/>
        <v>45764</v>
      </c>
      <c r="AR82" s="15"/>
      <c r="AT82" s="12">
        <f t="shared" si="78"/>
        <v>56</v>
      </c>
      <c r="AU82" t="str">
        <f>IF(OR(VALUE(RIGHT(AT82,5))={11,12,13}),"th",IF(OR(VALUE(RIGHT(AT82))={1,2,3}),CHOOSE(RIGHT(AT82),"st","nd","rd"),"th"))</f>
        <v>th</v>
      </c>
      <c r="AV82">
        <f t="shared" si="79"/>
        <v>56</v>
      </c>
      <c r="AW82" t="str">
        <f>IF(OR(VALUE(RIGHT(AV82,5))={11,12,13}),"th",IF(OR(VALUE(RIGHT(AV82))={1,2,3}),CHOOSE(RIGHT(AV82),"st","nd","rd"),"th"))</f>
        <v>th</v>
      </c>
      <c r="AX82">
        <f t="shared" si="80"/>
        <v>56</v>
      </c>
      <c r="AY82" t="str">
        <f>IF(OR(VALUE(RIGHT(AX82,5))={11,12,13}),"th",IF(OR(VALUE(RIGHT(AX82))={1,2,3}),CHOOSE(RIGHT(AX82),"st","nd","rd"),"th"))</f>
        <v>th</v>
      </c>
      <c r="AZ82">
        <f t="shared" si="81"/>
        <v>56</v>
      </c>
      <c r="BA82" t="str">
        <f>IF(OR(VALUE(RIGHT(AZ82,5))={11,12,13}),"th",IF(OR(VALUE(RIGHT(AZ82))={1,2,3}),CHOOSE(RIGHT(AZ82),"st","nd","rd"),"th"))</f>
        <v>th</v>
      </c>
      <c r="BB82">
        <f t="shared" si="82"/>
        <v>56</v>
      </c>
      <c r="BC82" t="str">
        <f>IF(OR(VALUE(RIGHT(BB82,5))={11,12,13}),"th",IF(OR(VALUE(RIGHT(BB82))={1,2,3}),CHOOSE(RIGHT(BB82),"st","nd","rd"),"th"))</f>
        <v>th</v>
      </c>
      <c r="BD82">
        <f t="shared" si="83"/>
        <v>56</v>
      </c>
      <c r="BE82" t="str">
        <f>IF(OR(VALUE(RIGHT(BD82,5))={11,12,13}),"th",IF(OR(VALUE(RIGHT(BD82))={1,2,3}),CHOOSE(RIGHT(BD82),"st","nd","rd"),"th"))</f>
        <v>th</v>
      </c>
      <c r="BF82">
        <f t="shared" si="84"/>
        <v>56</v>
      </c>
      <c r="BG82" t="str">
        <f>IF(OR(VALUE(RIGHT(BF82,5))={11,12,13}),"th",IF(OR(VALUE(RIGHT(BF82))={1,2,3}),CHOOSE(RIGHT(BF82),"st","nd","rd"),"th"))</f>
        <v>th</v>
      </c>
      <c r="BH82">
        <f t="shared" si="85"/>
        <v>56</v>
      </c>
      <c r="BI82" t="str">
        <f>IF(OR(VALUE(RIGHT(BH82,5))={11,12,13}),"th",IF(OR(VALUE(RIGHT(BH82))={1,2,3}),CHOOSE(RIGHT(BH82),"st","nd","rd"),"th"))</f>
        <v>th</v>
      </c>
      <c r="BJ82">
        <f t="shared" si="86"/>
        <v>56</v>
      </c>
      <c r="BK82" t="str" cm="1">
        <f t="array" ref="BK82">IF(OR(VALUE(RIGHT(BJ82,5))={11,12,13}),"th",IF(OR(VALUE(RIGHT(BJ82))={1,2,3}),CHOOSE(RIGHT(BJ82),"st","nd","rd"),"th"))</f>
        <v>th</v>
      </c>
      <c r="BL82">
        <f t="shared" si="87"/>
        <v>57</v>
      </c>
      <c r="BM82" t="str">
        <f>IF(OR(VALUE(RIGHT(BL82,5))={11,12,13}),"th",IF(OR(VALUE(RIGHT(BL82))={1,2,3}),CHOOSE(RIGHT(BL82),"st","nd","rd"),"th"))</f>
        <v>th</v>
      </c>
      <c r="BO82" s="30">
        <f t="shared" si="88"/>
        <v>0</v>
      </c>
      <c r="BP82">
        <f t="shared" si="89"/>
        <v>57</v>
      </c>
      <c r="BQ82" t="str">
        <f>IF(OR(VALUE(RIGHT(BP82,5))={11,12,13}),"th",IF(OR(VALUE(RIGHT(BP82))={1,2,3}),CHOOSE(RIGHT(BP82),"st","nd","rd"),"th"))</f>
        <v>th</v>
      </c>
      <c r="BS82" s="27">
        <f>ClassScore!M82</f>
        <v>0</v>
      </c>
      <c r="BT82" s="27">
        <f>ClassScore!N82</f>
        <v>0</v>
      </c>
      <c r="BU82" s="27">
        <f>ClassScore!O82</f>
        <v>0</v>
      </c>
      <c r="BV82" s="27">
        <f>ClassScore!P82</f>
        <v>0</v>
      </c>
      <c r="BW82" s="27">
        <f>ClassScore!Q82</f>
        <v>0</v>
      </c>
      <c r="BX82" s="27">
        <f>ClassScore!R82</f>
        <v>0</v>
      </c>
      <c r="BY82" s="27">
        <f>ClassScore!S82</f>
        <v>0</v>
      </c>
      <c r="BZ82" s="27">
        <f>ClassScore!T82</f>
        <v>0</v>
      </c>
      <c r="CA82" s="27">
        <f>ClassScore!U82</f>
        <v>0</v>
      </c>
      <c r="CB82" s="27">
        <f>ClassScore!V82</f>
        <v>0</v>
      </c>
      <c r="CD82" s="27">
        <f>Examscore!M82</f>
        <v>0</v>
      </c>
      <c r="CE82" s="27">
        <f>Examscore!N82</f>
        <v>0</v>
      </c>
      <c r="CF82" s="27">
        <f>Examscore!O82</f>
        <v>0</v>
      </c>
      <c r="CG82" s="27">
        <f>Examscore!P82</f>
        <v>0</v>
      </c>
      <c r="CH82" s="27">
        <f>Examscore!Q82</f>
        <v>0</v>
      </c>
      <c r="CI82" s="27">
        <f>Examscore!R82</f>
        <v>0</v>
      </c>
      <c r="CJ82" s="27">
        <f>Examscore!S82</f>
        <v>0</v>
      </c>
      <c r="CK82" s="27">
        <f>Examscore!T82</f>
        <v>0</v>
      </c>
      <c r="CL82" s="27">
        <f>Examscore!U82</f>
        <v>0</v>
      </c>
      <c r="CM82" s="27">
        <f>Examscore!V82</f>
        <v>0</v>
      </c>
    </row>
    <row r="83" spans="1:91" ht="15.75" x14ac:dyDescent="0.25">
      <c r="A83" s="5">
        <f>Student!A83</f>
        <v>0</v>
      </c>
      <c r="B83" s="21">
        <f>Student!B83</f>
        <v>0</v>
      </c>
      <c r="C83" s="28">
        <f>ClassScore!M83+Examscore!M83</f>
        <v>0</v>
      </c>
      <c r="D83" s="28">
        <f>ClassScore!N83+Examscore!N83</f>
        <v>0</v>
      </c>
      <c r="E83" s="28">
        <f>ClassScore!O83+Examscore!O83</f>
        <v>0</v>
      </c>
      <c r="F83" s="28">
        <f>ClassScore!P83+Examscore!P83</f>
        <v>0</v>
      </c>
      <c r="G83" s="28">
        <f>ClassScore!Q83+Examscore!Q83</f>
        <v>0</v>
      </c>
      <c r="H83" s="28">
        <f>ClassScore!R83+Examscore!R83</f>
        <v>0</v>
      </c>
      <c r="I83" s="28">
        <f>ClassScore!S83+Examscore!S83</f>
        <v>0</v>
      </c>
      <c r="J83" s="28">
        <f>ClassScore!T83+Examscore!T83</f>
        <v>0</v>
      </c>
      <c r="K83" s="28">
        <f>ClassScore!U83+Examscore!U83</f>
        <v>0</v>
      </c>
      <c r="L83" s="28">
        <f>ClassScore!V83+Examscore!V83</f>
        <v>0</v>
      </c>
      <c r="M83" s="5" t="str">
        <f t="shared" si="57"/>
        <v>--</v>
      </c>
      <c r="N83" s="5" t="str">
        <f t="shared" si="58"/>
        <v>--</v>
      </c>
      <c r="O83" s="5" t="str">
        <f t="shared" si="59"/>
        <v>--</v>
      </c>
      <c r="P83" s="5" t="str">
        <f t="shared" si="60"/>
        <v>--</v>
      </c>
      <c r="Q83" s="5" t="str">
        <f t="shared" si="61"/>
        <v>--</v>
      </c>
      <c r="R83" s="5" t="str">
        <f t="shared" si="62"/>
        <v>--</v>
      </c>
      <c r="S83" s="5" t="str">
        <f t="shared" si="63"/>
        <v>--</v>
      </c>
      <c r="T83" s="5" t="str">
        <f t="shared" si="64"/>
        <v>--</v>
      </c>
      <c r="U83" s="5" t="str">
        <f t="shared" si="65"/>
        <v>--</v>
      </c>
      <c r="V83" s="5" t="str">
        <f t="shared" si="66"/>
        <v>--</v>
      </c>
      <c r="W83" s="5" t="str">
        <f t="shared" si="67"/>
        <v>--</v>
      </c>
      <c r="X83" s="5" t="str">
        <f t="shared" si="68"/>
        <v>--</v>
      </c>
      <c r="Y83" s="5" t="str">
        <f t="shared" si="69"/>
        <v>--</v>
      </c>
      <c r="Z83" s="5" t="str">
        <f t="shared" si="70"/>
        <v>--</v>
      </c>
      <c r="AA83" s="5" t="str">
        <f t="shared" si="71"/>
        <v>--</v>
      </c>
      <c r="AB83" s="5" t="str">
        <f t="shared" si="72"/>
        <v>--</v>
      </c>
      <c r="AC83" s="5" t="str">
        <f t="shared" si="73"/>
        <v>--</v>
      </c>
      <c r="AD83" s="5" t="str">
        <f t="shared" si="74"/>
        <v>--</v>
      </c>
      <c r="AE83" s="5" t="str">
        <f t="shared" si="75"/>
        <v>--</v>
      </c>
      <c r="AF83" s="5" t="str">
        <f t="shared" si="76"/>
        <v>--</v>
      </c>
      <c r="AG83" s="34">
        <f>SUM(C83,D83,F83,G83)+LARGE((E83,H83,I83,J83,K83,L83),1)+LARGE((E83,H83,I83,J83,K83,L83),2)</f>
        <v>0</v>
      </c>
      <c r="AH83" s="5" t="e">
        <f>SUM(W83,X83,Z83,AA83)+SMALL((Y83,AB83,AC83,AD83,AE83,AF83),1)+SMALL((Y83,AB83,AC83,AD83,AE83,AF83),2)</f>
        <v>#NUM!</v>
      </c>
      <c r="AI83" s="15">
        <f>'Teacher''s Remarks'!M84</f>
        <v>0</v>
      </c>
      <c r="AJ83" s="15">
        <f>'Teacher''s Remarks'!N84</f>
        <v>0</v>
      </c>
      <c r="AK83" s="15">
        <f>'Teacher''s Remarks'!O84</f>
        <v>0</v>
      </c>
      <c r="AL83" s="15">
        <f>'Teacher''s Remarks'!P84</f>
        <v>0</v>
      </c>
      <c r="AM83" s="13">
        <f t="shared" si="56"/>
        <v>0</v>
      </c>
      <c r="AN83" s="14">
        <f>Attendance!B83</f>
        <v>0</v>
      </c>
      <c r="AO83" s="15"/>
      <c r="AP83" s="15"/>
      <c r="AQ83" s="22">
        <f t="shared" ca="1" si="77"/>
        <v>45764</v>
      </c>
      <c r="AR83" s="15"/>
      <c r="AT83" s="12">
        <f t="shared" si="78"/>
        <v>56</v>
      </c>
      <c r="AU83" t="str">
        <f>IF(OR(VALUE(RIGHT(AT83,5))={11,12,13}),"th",IF(OR(VALUE(RIGHT(AT83))={1,2,3}),CHOOSE(RIGHT(AT83),"st","nd","rd"),"th"))</f>
        <v>th</v>
      </c>
      <c r="AV83">
        <f t="shared" si="79"/>
        <v>56</v>
      </c>
      <c r="AW83" t="str">
        <f>IF(OR(VALUE(RIGHT(AV83,5))={11,12,13}),"th",IF(OR(VALUE(RIGHT(AV83))={1,2,3}),CHOOSE(RIGHT(AV83),"st","nd","rd"),"th"))</f>
        <v>th</v>
      </c>
      <c r="AX83">
        <f t="shared" si="80"/>
        <v>56</v>
      </c>
      <c r="AY83" t="str">
        <f>IF(OR(VALUE(RIGHT(AX83,5))={11,12,13}),"th",IF(OR(VALUE(RIGHT(AX83))={1,2,3}),CHOOSE(RIGHT(AX83),"st","nd","rd"),"th"))</f>
        <v>th</v>
      </c>
      <c r="AZ83">
        <f t="shared" si="81"/>
        <v>56</v>
      </c>
      <c r="BA83" t="str">
        <f>IF(OR(VALUE(RIGHT(AZ83,5))={11,12,13}),"th",IF(OR(VALUE(RIGHT(AZ83))={1,2,3}),CHOOSE(RIGHT(AZ83),"st","nd","rd"),"th"))</f>
        <v>th</v>
      </c>
      <c r="BB83">
        <f t="shared" si="82"/>
        <v>56</v>
      </c>
      <c r="BC83" t="str">
        <f>IF(OR(VALUE(RIGHT(BB83,5))={11,12,13}),"th",IF(OR(VALUE(RIGHT(BB83))={1,2,3}),CHOOSE(RIGHT(BB83),"st","nd","rd"),"th"))</f>
        <v>th</v>
      </c>
      <c r="BD83">
        <f t="shared" si="83"/>
        <v>56</v>
      </c>
      <c r="BE83" t="str">
        <f>IF(OR(VALUE(RIGHT(BD83,5))={11,12,13}),"th",IF(OR(VALUE(RIGHT(BD83))={1,2,3}),CHOOSE(RIGHT(BD83),"st","nd","rd"),"th"))</f>
        <v>th</v>
      </c>
      <c r="BF83">
        <f t="shared" si="84"/>
        <v>56</v>
      </c>
      <c r="BG83" t="str">
        <f>IF(OR(VALUE(RIGHT(BF83,5))={11,12,13}),"th",IF(OR(VALUE(RIGHT(BF83))={1,2,3}),CHOOSE(RIGHT(BF83),"st","nd","rd"),"th"))</f>
        <v>th</v>
      </c>
      <c r="BH83">
        <f t="shared" si="85"/>
        <v>56</v>
      </c>
      <c r="BI83" t="str">
        <f>IF(OR(VALUE(RIGHT(BH83,5))={11,12,13}),"th",IF(OR(VALUE(RIGHT(BH83))={1,2,3}),CHOOSE(RIGHT(BH83),"st","nd","rd"),"th"))</f>
        <v>th</v>
      </c>
      <c r="BJ83">
        <f t="shared" si="86"/>
        <v>56</v>
      </c>
      <c r="BK83" t="str" cm="1">
        <f t="array" ref="BK83">IF(OR(VALUE(RIGHT(BJ83,5))={11,12,13}),"th",IF(OR(VALUE(RIGHT(BJ83))={1,2,3}),CHOOSE(RIGHT(BJ83),"st","nd","rd"),"th"))</f>
        <v>th</v>
      </c>
      <c r="BL83">
        <f t="shared" si="87"/>
        <v>57</v>
      </c>
      <c r="BM83" t="str">
        <f>IF(OR(VALUE(RIGHT(BL83,5))={11,12,13}),"th",IF(OR(VALUE(RIGHT(BL83))={1,2,3}),CHOOSE(RIGHT(BL83),"st","nd","rd"),"th"))</f>
        <v>th</v>
      </c>
      <c r="BO83" s="30">
        <f t="shared" si="88"/>
        <v>0</v>
      </c>
      <c r="BP83">
        <f t="shared" si="89"/>
        <v>57</v>
      </c>
      <c r="BQ83" t="str">
        <f>IF(OR(VALUE(RIGHT(BP83,5))={11,12,13}),"th",IF(OR(VALUE(RIGHT(BP83))={1,2,3}),CHOOSE(RIGHT(BP83),"st","nd","rd"),"th"))</f>
        <v>th</v>
      </c>
      <c r="BS83" s="27">
        <f>ClassScore!M83</f>
        <v>0</v>
      </c>
      <c r="BT83" s="27">
        <f>ClassScore!N83</f>
        <v>0</v>
      </c>
      <c r="BU83" s="27">
        <f>ClassScore!O83</f>
        <v>0</v>
      </c>
      <c r="BV83" s="27">
        <f>ClassScore!P83</f>
        <v>0</v>
      </c>
      <c r="BW83" s="27">
        <f>ClassScore!Q83</f>
        <v>0</v>
      </c>
      <c r="BX83" s="27">
        <f>ClassScore!R83</f>
        <v>0</v>
      </c>
      <c r="BY83" s="27">
        <f>ClassScore!S83</f>
        <v>0</v>
      </c>
      <c r="BZ83" s="27">
        <f>ClassScore!T83</f>
        <v>0</v>
      </c>
      <c r="CA83" s="27">
        <f>ClassScore!U83</f>
        <v>0</v>
      </c>
      <c r="CB83" s="27">
        <f>ClassScore!V83</f>
        <v>0</v>
      </c>
      <c r="CD83" s="27">
        <f>Examscore!M83</f>
        <v>0</v>
      </c>
      <c r="CE83" s="27">
        <f>Examscore!N83</f>
        <v>0</v>
      </c>
      <c r="CF83" s="27">
        <f>Examscore!O83</f>
        <v>0</v>
      </c>
      <c r="CG83" s="27">
        <f>Examscore!P83</f>
        <v>0</v>
      </c>
      <c r="CH83" s="27">
        <f>Examscore!Q83</f>
        <v>0</v>
      </c>
      <c r="CI83" s="27">
        <f>Examscore!R83</f>
        <v>0</v>
      </c>
      <c r="CJ83" s="27">
        <f>Examscore!S83</f>
        <v>0</v>
      </c>
      <c r="CK83" s="27">
        <f>Examscore!T83</f>
        <v>0</v>
      </c>
      <c r="CL83" s="27">
        <f>Examscore!U83</f>
        <v>0</v>
      </c>
      <c r="CM83" s="27">
        <f>Examscore!V83</f>
        <v>0</v>
      </c>
    </row>
    <row r="84" spans="1:91" ht="15.75" x14ac:dyDescent="0.25">
      <c r="A84" s="5">
        <f>Student!A84</f>
        <v>0</v>
      </c>
      <c r="B84" s="21">
        <f>Student!B84</f>
        <v>0</v>
      </c>
      <c r="C84" s="28">
        <f>ClassScore!M84+Examscore!M84</f>
        <v>0</v>
      </c>
      <c r="D84" s="28">
        <f>ClassScore!N84+Examscore!N84</f>
        <v>0</v>
      </c>
      <c r="E84" s="28">
        <f>ClassScore!O84+Examscore!O84</f>
        <v>0</v>
      </c>
      <c r="F84" s="28">
        <f>ClassScore!P84+Examscore!P84</f>
        <v>0</v>
      </c>
      <c r="G84" s="28">
        <f>ClassScore!Q84+Examscore!Q84</f>
        <v>0</v>
      </c>
      <c r="H84" s="28">
        <f>ClassScore!R84+Examscore!R84</f>
        <v>0</v>
      </c>
      <c r="I84" s="28">
        <f>ClassScore!S84+Examscore!S84</f>
        <v>0</v>
      </c>
      <c r="J84" s="28">
        <f>ClassScore!T84+Examscore!T84</f>
        <v>0</v>
      </c>
      <c r="K84" s="28">
        <f>ClassScore!U84+Examscore!U84</f>
        <v>0</v>
      </c>
      <c r="L84" s="28">
        <f>ClassScore!V84+Examscore!V84</f>
        <v>0</v>
      </c>
      <c r="M84" s="5" t="str">
        <f t="shared" si="57"/>
        <v>--</v>
      </c>
      <c r="N84" s="5" t="str">
        <f t="shared" si="58"/>
        <v>--</v>
      </c>
      <c r="O84" s="5" t="str">
        <f t="shared" si="59"/>
        <v>--</v>
      </c>
      <c r="P84" s="5" t="str">
        <f t="shared" si="60"/>
        <v>--</v>
      </c>
      <c r="Q84" s="5" t="str">
        <f t="shared" si="61"/>
        <v>--</v>
      </c>
      <c r="R84" s="5" t="str">
        <f t="shared" si="62"/>
        <v>--</v>
      </c>
      <c r="S84" s="5" t="str">
        <f t="shared" si="63"/>
        <v>--</v>
      </c>
      <c r="T84" s="5" t="str">
        <f t="shared" si="64"/>
        <v>--</v>
      </c>
      <c r="U84" s="5" t="str">
        <f t="shared" si="65"/>
        <v>--</v>
      </c>
      <c r="V84" s="5" t="str">
        <f t="shared" si="66"/>
        <v>--</v>
      </c>
      <c r="W84" s="5" t="str">
        <f t="shared" si="67"/>
        <v>--</v>
      </c>
      <c r="X84" s="5" t="str">
        <f t="shared" si="68"/>
        <v>--</v>
      </c>
      <c r="Y84" s="5" t="str">
        <f t="shared" si="69"/>
        <v>--</v>
      </c>
      <c r="Z84" s="5" t="str">
        <f t="shared" si="70"/>
        <v>--</v>
      </c>
      <c r="AA84" s="5" t="str">
        <f t="shared" si="71"/>
        <v>--</v>
      </c>
      <c r="AB84" s="5" t="str">
        <f t="shared" si="72"/>
        <v>--</v>
      </c>
      <c r="AC84" s="5" t="str">
        <f t="shared" si="73"/>
        <v>--</v>
      </c>
      <c r="AD84" s="5" t="str">
        <f t="shared" si="74"/>
        <v>--</v>
      </c>
      <c r="AE84" s="5" t="str">
        <f t="shared" si="75"/>
        <v>--</v>
      </c>
      <c r="AF84" s="5" t="str">
        <f t="shared" si="76"/>
        <v>--</v>
      </c>
      <c r="AG84" s="34">
        <f>SUM(C84,D84,F84,G84)+LARGE((E84,H84,I84,J84,K84,L84),1)+LARGE((E84,H84,I84,J84,K84,L84),2)</f>
        <v>0</v>
      </c>
      <c r="AH84" s="5" t="e">
        <f>SUM(W84,X84,Z84,AA84)+SMALL((Y84,AB84,AC84,AD84,AE84,AF84),1)+SMALL((Y84,AB84,AC84,AD84,AE84,AF84),2)</f>
        <v>#NUM!</v>
      </c>
      <c r="AI84" s="15">
        <f>'Teacher''s Remarks'!M85</f>
        <v>0</v>
      </c>
      <c r="AJ84" s="15">
        <f>'Teacher''s Remarks'!N85</f>
        <v>0</v>
      </c>
      <c r="AK84" s="15">
        <f>'Teacher''s Remarks'!O85</f>
        <v>0</v>
      </c>
      <c r="AL84" s="15">
        <f>'Teacher''s Remarks'!P85</f>
        <v>0</v>
      </c>
      <c r="AM84" s="13">
        <f t="shared" si="56"/>
        <v>0</v>
      </c>
      <c r="AN84" s="14">
        <f>Attendance!B84</f>
        <v>0</v>
      </c>
      <c r="AO84" s="15"/>
      <c r="AP84" s="15"/>
      <c r="AQ84" s="22">
        <f t="shared" ca="1" si="77"/>
        <v>45764</v>
      </c>
      <c r="AR84" s="15"/>
      <c r="AT84" s="12">
        <f t="shared" si="78"/>
        <v>56</v>
      </c>
      <c r="AU84" t="str">
        <f>IF(OR(VALUE(RIGHT(AT84,5))={11,12,13}),"th",IF(OR(VALUE(RIGHT(AT84))={1,2,3}),CHOOSE(RIGHT(AT84),"st","nd","rd"),"th"))</f>
        <v>th</v>
      </c>
      <c r="AV84">
        <f t="shared" si="79"/>
        <v>56</v>
      </c>
      <c r="AW84" t="str">
        <f>IF(OR(VALUE(RIGHT(AV84,5))={11,12,13}),"th",IF(OR(VALUE(RIGHT(AV84))={1,2,3}),CHOOSE(RIGHT(AV84),"st","nd","rd"),"th"))</f>
        <v>th</v>
      </c>
      <c r="AX84">
        <f t="shared" si="80"/>
        <v>56</v>
      </c>
      <c r="AY84" t="str">
        <f>IF(OR(VALUE(RIGHT(AX84,5))={11,12,13}),"th",IF(OR(VALUE(RIGHT(AX84))={1,2,3}),CHOOSE(RIGHT(AX84),"st","nd","rd"),"th"))</f>
        <v>th</v>
      </c>
      <c r="AZ84">
        <f t="shared" si="81"/>
        <v>56</v>
      </c>
      <c r="BA84" t="str">
        <f>IF(OR(VALUE(RIGHT(AZ84,5))={11,12,13}),"th",IF(OR(VALUE(RIGHT(AZ84))={1,2,3}),CHOOSE(RIGHT(AZ84),"st","nd","rd"),"th"))</f>
        <v>th</v>
      </c>
      <c r="BB84">
        <f t="shared" si="82"/>
        <v>56</v>
      </c>
      <c r="BC84" t="str">
        <f>IF(OR(VALUE(RIGHT(BB84,5))={11,12,13}),"th",IF(OR(VALUE(RIGHT(BB84))={1,2,3}),CHOOSE(RIGHT(BB84),"st","nd","rd"),"th"))</f>
        <v>th</v>
      </c>
      <c r="BD84">
        <f t="shared" si="83"/>
        <v>56</v>
      </c>
      <c r="BE84" t="str">
        <f>IF(OR(VALUE(RIGHT(BD84,5))={11,12,13}),"th",IF(OR(VALUE(RIGHT(BD84))={1,2,3}),CHOOSE(RIGHT(BD84),"st","nd","rd"),"th"))</f>
        <v>th</v>
      </c>
      <c r="BF84">
        <f t="shared" si="84"/>
        <v>56</v>
      </c>
      <c r="BG84" t="str">
        <f>IF(OR(VALUE(RIGHT(BF84,5))={11,12,13}),"th",IF(OR(VALUE(RIGHT(BF84))={1,2,3}),CHOOSE(RIGHT(BF84),"st","nd","rd"),"th"))</f>
        <v>th</v>
      </c>
      <c r="BH84">
        <f t="shared" si="85"/>
        <v>56</v>
      </c>
      <c r="BI84" t="str">
        <f>IF(OR(VALUE(RIGHT(BH84,5))={11,12,13}),"th",IF(OR(VALUE(RIGHT(BH84))={1,2,3}),CHOOSE(RIGHT(BH84),"st","nd","rd"),"th"))</f>
        <v>th</v>
      </c>
      <c r="BJ84">
        <f t="shared" si="86"/>
        <v>56</v>
      </c>
      <c r="BK84" t="str" cm="1">
        <f t="array" ref="BK84">IF(OR(VALUE(RIGHT(BJ84,5))={11,12,13}),"th",IF(OR(VALUE(RIGHT(BJ84))={1,2,3}),CHOOSE(RIGHT(BJ84),"st","nd","rd"),"th"))</f>
        <v>th</v>
      </c>
      <c r="BL84">
        <f t="shared" si="87"/>
        <v>57</v>
      </c>
      <c r="BM84" t="str">
        <f>IF(OR(VALUE(RIGHT(BL84,5))={11,12,13}),"th",IF(OR(VALUE(RIGHT(BL84))={1,2,3}),CHOOSE(RIGHT(BL84),"st","nd","rd"),"th"))</f>
        <v>th</v>
      </c>
      <c r="BO84" s="30">
        <f t="shared" si="88"/>
        <v>0</v>
      </c>
      <c r="BP84">
        <f t="shared" si="89"/>
        <v>57</v>
      </c>
      <c r="BQ84" t="str">
        <f>IF(OR(VALUE(RIGHT(BP84,5))={11,12,13}),"th",IF(OR(VALUE(RIGHT(BP84))={1,2,3}),CHOOSE(RIGHT(BP84),"st","nd","rd"),"th"))</f>
        <v>th</v>
      </c>
      <c r="BS84" s="27">
        <f>ClassScore!M84</f>
        <v>0</v>
      </c>
      <c r="BT84" s="27">
        <f>ClassScore!N84</f>
        <v>0</v>
      </c>
      <c r="BU84" s="27">
        <f>ClassScore!O84</f>
        <v>0</v>
      </c>
      <c r="BV84" s="27">
        <f>ClassScore!P84</f>
        <v>0</v>
      </c>
      <c r="BW84" s="27">
        <f>ClassScore!Q84</f>
        <v>0</v>
      </c>
      <c r="BX84" s="27">
        <f>ClassScore!R84</f>
        <v>0</v>
      </c>
      <c r="BY84" s="27">
        <f>ClassScore!S84</f>
        <v>0</v>
      </c>
      <c r="BZ84" s="27">
        <f>ClassScore!T84</f>
        <v>0</v>
      </c>
      <c r="CA84" s="27">
        <f>ClassScore!U84</f>
        <v>0</v>
      </c>
      <c r="CB84" s="27">
        <f>ClassScore!V84</f>
        <v>0</v>
      </c>
      <c r="CD84" s="27">
        <f>Examscore!M84</f>
        <v>0</v>
      </c>
      <c r="CE84" s="27">
        <f>Examscore!N84</f>
        <v>0</v>
      </c>
      <c r="CF84" s="27">
        <f>Examscore!O84</f>
        <v>0</v>
      </c>
      <c r="CG84" s="27">
        <f>Examscore!P84</f>
        <v>0</v>
      </c>
      <c r="CH84" s="27">
        <f>Examscore!Q84</f>
        <v>0</v>
      </c>
      <c r="CI84" s="27">
        <f>Examscore!R84</f>
        <v>0</v>
      </c>
      <c r="CJ84" s="27">
        <f>Examscore!S84</f>
        <v>0</v>
      </c>
      <c r="CK84" s="27">
        <f>Examscore!T84</f>
        <v>0</v>
      </c>
      <c r="CL84" s="27">
        <f>Examscore!U84</f>
        <v>0</v>
      </c>
      <c r="CM84" s="27">
        <f>Examscore!V84</f>
        <v>0</v>
      </c>
    </row>
    <row r="85" spans="1:91" ht="15.75" x14ac:dyDescent="0.25">
      <c r="A85" s="5">
        <f>Student!A85</f>
        <v>0</v>
      </c>
      <c r="B85" s="21">
        <f>Student!B85</f>
        <v>0</v>
      </c>
      <c r="C85" s="28">
        <f>ClassScore!M85+Examscore!M85</f>
        <v>0</v>
      </c>
      <c r="D85" s="28">
        <f>ClassScore!N85+Examscore!N85</f>
        <v>0</v>
      </c>
      <c r="E85" s="28">
        <f>ClassScore!O85+Examscore!O85</f>
        <v>0</v>
      </c>
      <c r="F85" s="28">
        <f>ClassScore!P85+Examscore!P85</f>
        <v>0</v>
      </c>
      <c r="G85" s="28">
        <f>ClassScore!Q85+Examscore!Q85</f>
        <v>0</v>
      </c>
      <c r="H85" s="28">
        <f>ClassScore!R85+Examscore!R85</f>
        <v>0</v>
      </c>
      <c r="I85" s="28">
        <f>ClassScore!S85+Examscore!S85</f>
        <v>0</v>
      </c>
      <c r="J85" s="28">
        <f>ClassScore!T85+Examscore!T85</f>
        <v>0</v>
      </c>
      <c r="K85" s="28">
        <f>ClassScore!U85+Examscore!U85</f>
        <v>0</v>
      </c>
      <c r="L85" s="28">
        <f>ClassScore!V85+Examscore!V85</f>
        <v>0</v>
      </c>
      <c r="M85" s="5" t="str">
        <f t="shared" si="57"/>
        <v>--</v>
      </c>
      <c r="N85" s="5" t="str">
        <f t="shared" si="58"/>
        <v>--</v>
      </c>
      <c r="O85" s="5" t="str">
        <f t="shared" si="59"/>
        <v>--</v>
      </c>
      <c r="P85" s="5" t="str">
        <f t="shared" si="60"/>
        <v>--</v>
      </c>
      <c r="Q85" s="5" t="str">
        <f t="shared" si="61"/>
        <v>--</v>
      </c>
      <c r="R85" s="5" t="str">
        <f t="shared" si="62"/>
        <v>--</v>
      </c>
      <c r="S85" s="5" t="str">
        <f t="shared" si="63"/>
        <v>--</v>
      </c>
      <c r="T85" s="5" t="str">
        <f t="shared" si="64"/>
        <v>--</v>
      </c>
      <c r="U85" s="5" t="str">
        <f t="shared" si="65"/>
        <v>--</v>
      </c>
      <c r="V85" s="5" t="str">
        <f t="shared" si="66"/>
        <v>--</v>
      </c>
      <c r="W85" s="5" t="str">
        <f t="shared" si="67"/>
        <v>--</v>
      </c>
      <c r="X85" s="5" t="str">
        <f t="shared" si="68"/>
        <v>--</v>
      </c>
      <c r="Y85" s="5" t="str">
        <f t="shared" si="69"/>
        <v>--</v>
      </c>
      <c r="Z85" s="5" t="str">
        <f t="shared" si="70"/>
        <v>--</v>
      </c>
      <c r="AA85" s="5" t="str">
        <f t="shared" si="71"/>
        <v>--</v>
      </c>
      <c r="AB85" s="5" t="str">
        <f t="shared" si="72"/>
        <v>--</v>
      </c>
      <c r="AC85" s="5" t="str">
        <f t="shared" si="73"/>
        <v>--</v>
      </c>
      <c r="AD85" s="5" t="str">
        <f t="shared" si="74"/>
        <v>--</v>
      </c>
      <c r="AE85" s="5" t="str">
        <f t="shared" si="75"/>
        <v>--</v>
      </c>
      <c r="AF85" s="5" t="str">
        <f t="shared" si="76"/>
        <v>--</v>
      </c>
      <c r="AG85" s="34">
        <f>SUM(C85,D85,F85,G85)+LARGE((E85,H85,I85,J85,K85,L85),1)+LARGE((E85,H85,I85,J85,K85,L85),2)</f>
        <v>0</v>
      </c>
      <c r="AH85" s="5" t="e">
        <f>SUM(W85,X85,Z85,AA85)+SMALL((Y85,AB85,AC85,AD85,AE85,AF85),1)+SMALL((Y85,AB85,AC85,AD85,AE85,AF85),2)</f>
        <v>#NUM!</v>
      </c>
      <c r="AI85" s="15">
        <f>'Teacher''s Remarks'!M86</f>
        <v>0</v>
      </c>
      <c r="AJ85" s="15">
        <f>'Teacher''s Remarks'!N86</f>
        <v>0</v>
      </c>
      <c r="AK85" s="15">
        <f>'Teacher''s Remarks'!O86</f>
        <v>0</v>
      </c>
      <c r="AL85" s="15">
        <f>'Teacher''s Remarks'!P86</f>
        <v>0</v>
      </c>
      <c r="AM85" s="13">
        <f t="shared" si="56"/>
        <v>0</v>
      </c>
      <c r="AN85" s="14">
        <f>Attendance!B85</f>
        <v>0</v>
      </c>
      <c r="AO85" s="15"/>
      <c r="AP85" s="15"/>
      <c r="AQ85" s="22">
        <f t="shared" ca="1" si="77"/>
        <v>45764</v>
      </c>
      <c r="AR85" s="15"/>
      <c r="AT85" s="12">
        <f t="shared" si="78"/>
        <v>56</v>
      </c>
      <c r="AU85" t="str">
        <f>IF(OR(VALUE(RIGHT(AT85,5))={11,12,13}),"th",IF(OR(VALUE(RIGHT(AT85))={1,2,3}),CHOOSE(RIGHT(AT85),"st","nd","rd"),"th"))</f>
        <v>th</v>
      </c>
      <c r="AV85">
        <f t="shared" si="79"/>
        <v>56</v>
      </c>
      <c r="AW85" t="str">
        <f>IF(OR(VALUE(RIGHT(AV85,5))={11,12,13}),"th",IF(OR(VALUE(RIGHT(AV85))={1,2,3}),CHOOSE(RIGHT(AV85),"st","nd","rd"),"th"))</f>
        <v>th</v>
      </c>
      <c r="AX85">
        <f t="shared" si="80"/>
        <v>56</v>
      </c>
      <c r="AY85" t="str">
        <f>IF(OR(VALUE(RIGHT(AX85,5))={11,12,13}),"th",IF(OR(VALUE(RIGHT(AX85))={1,2,3}),CHOOSE(RIGHT(AX85),"st","nd","rd"),"th"))</f>
        <v>th</v>
      </c>
      <c r="AZ85">
        <f t="shared" si="81"/>
        <v>56</v>
      </c>
      <c r="BA85" t="str">
        <f>IF(OR(VALUE(RIGHT(AZ85,5))={11,12,13}),"th",IF(OR(VALUE(RIGHT(AZ85))={1,2,3}),CHOOSE(RIGHT(AZ85),"st","nd","rd"),"th"))</f>
        <v>th</v>
      </c>
      <c r="BB85">
        <f t="shared" si="82"/>
        <v>56</v>
      </c>
      <c r="BC85" t="str">
        <f>IF(OR(VALUE(RIGHT(BB85,5))={11,12,13}),"th",IF(OR(VALUE(RIGHT(BB85))={1,2,3}),CHOOSE(RIGHT(BB85),"st","nd","rd"),"th"))</f>
        <v>th</v>
      </c>
      <c r="BD85">
        <f t="shared" si="83"/>
        <v>56</v>
      </c>
      <c r="BE85" t="str">
        <f>IF(OR(VALUE(RIGHT(BD85,5))={11,12,13}),"th",IF(OR(VALUE(RIGHT(BD85))={1,2,3}),CHOOSE(RIGHT(BD85),"st","nd","rd"),"th"))</f>
        <v>th</v>
      </c>
      <c r="BF85">
        <f t="shared" si="84"/>
        <v>56</v>
      </c>
      <c r="BG85" t="str">
        <f>IF(OR(VALUE(RIGHT(BF85,5))={11,12,13}),"th",IF(OR(VALUE(RIGHT(BF85))={1,2,3}),CHOOSE(RIGHT(BF85),"st","nd","rd"),"th"))</f>
        <v>th</v>
      </c>
      <c r="BH85">
        <f t="shared" si="85"/>
        <v>56</v>
      </c>
      <c r="BI85" t="str">
        <f>IF(OR(VALUE(RIGHT(BH85,5))={11,12,13}),"th",IF(OR(VALUE(RIGHT(BH85))={1,2,3}),CHOOSE(RIGHT(BH85),"st","nd","rd"),"th"))</f>
        <v>th</v>
      </c>
      <c r="BJ85">
        <f t="shared" si="86"/>
        <v>56</v>
      </c>
      <c r="BK85" t="str" cm="1">
        <f t="array" ref="BK85">IF(OR(VALUE(RIGHT(BJ85,5))={11,12,13}),"th",IF(OR(VALUE(RIGHT(BJ85))={1,2,3}),CHOOSE(RIGHT(BJ85),"st","nd","rd"),"th"))</f>
        <v>th</v>
      </c>
      <c r="BL85">
        <f t="shared" si="87"/>
        <v>57</v>
      </c>
      <c r="BM85" t="str">
        <f>IF(OR(VALUE(RIGHT(BL85,5))={11,12,13}),"th",IF(OR(VALUE(RIGHT(BL85))={1,2,3}),CHOOSE(RIGHT(BL85),"st","nd","rd"),"th"))</f>
        <v>th</v>
      </c>
      <c r="BO85" s="30">
        <f t="shared" si="88"/>
        <v>0</v>
      </c>
      <c r="BP85">
        <f t="shared" si="89"/>
        <v>57</v>
      </c>
      <c r="BQ85" t="str">
        <f>IF(OR(VALUE(RIGHT(BP85,5))={11,12,13}),"th",IF(OR(VALUE(RIGHT(BP85))={1,2,3}),CHOOSE(RIGHT(BP85),"st","nd","rd"),"th"))</f>
        <v>th</v>
      </c>
      <c r="BS85" s="27">
        <f>ClassScore!M85</f>
        <v>0</v>
      </c>
      <c r="BT85" s="27">
        <f>ClassScore!N85</f>
        <v>0</v>
      </c>
      <c r="BU85" s="27">
        <f>ClassScore!O85</f>
        <v>0</v>
      </c>
      <c r="BV85" s="27">
        <f>ClassScore!P85</f>
        <v>0</v>
      </c>
      <c r="BW85" s="27">
        <f>ClassScore!Q85</f>
        <v>0</v>
      </c>
      <c r="BX85" s="27">
        <f>ClassScore!R85</f>
        <v>0</v>
      </c>
      <c r="BY85" s="27">
        <f>ClassScore!S85</f>
        <v>0</v>
      </c>
      <c r="BZ85" s="27">
        <f>ClassScore!T85</f>
        <v>0</v>
      </c>
      <c r="CA85" s="27">
        <f>ClassScore!U85</f>
        <v>0</v>
      </c>
      <c r="CB85" s="27">
        <f>ClassScore!V85</f>
        <v>0</v>
      </c>
      <c r="CD85" s="27">
        <f>Examscore!M85</f>
        <v>0</v>
      </c>
      <c r="CE85" s="27">
        <f>Examscore!N85</f>
        <v>0</v>
      </c>
      <c r="CF85" s="27">
        <f>Examscore!O85</f>
        <v>0</v>
      </c>
      <c r="CG85" s="27">
        <f>Examscore!P85</f>
        <v>0</v>
      </c>
      <c r="CH85" s="27">
        <f>Examscore!Q85</f>
        <v>0</v>
      </c>
      <c r="CI85" s="27">
        <f>Examscore!R85</f>
        <v>0</v>
      </c>
      <c r="CJ85" s="27">
        <f>Examscore!S85</f>
        <v>0</v>
      </c>
      <c r="CK85" s="27">
        <f>Examscore!T85</f>
        <v>0</v>
      </c>
      <c r="CL85" s="27">
        <f>Examscore!U85</f>
        <v>0</v>
      </c>
      <c r="CM85" s="27">
        <f>Examscore!V85</f>
        <v>0</v>
      </c>
    </row>
    <row r="86" spans="1:91" ht="15.75" x14ac:dyDescent="0.25">
      <c r="A86" s="5">
        <f>Student!A86</f>
        <v>0</v>
      </c>
      <c r="B86" s="21">
        <f>Student!B86</f>
        <v>0</v>
      </c>
      <c r="C86" s="28">
        <f>ClassScore!M86+Examscore!M86</f>
        <v>0</v>
      </c>
      <c r="D86" s="28">
        <f>ClassScore!N86+Examscore!N86</f>
        <v>0</v>
      </c>
      <c r="E86" s="28">
        <f>ClassScore!O86+Examscore!O86</f>
        <v>0</v>
      </c>
      <c r="F86" s="28">
        <f>ClassScore!P86+Examscore!P86</f>
        <v>0</v>
      </c>
      <c r="G86" s="28">
        <f>ClassScore!Q86+Examscore!Q86</f>
        <v>0</v>
      </c>
      <c r="H86" s="28">
        <f>ClassScore!R86+Examscore!R86</f>
        <v>0</v>
      </c>
      <c r="I86" s="28">
        <f>ClassScore!S86+Examscore!S86</f>
        <v>0</v>
      </c>
      <c r="J86" s="28">
        <f>ClassScore!T86+Examscore!T86</f>
        <v>0</v>
      </c>
      <c r="K86" s="28">
        <f>ClassScore!U86+Examscore!U86</f>
        <v>0</v>
      </c>
      <c r="L86" s="28">
        <f>ClassScore!V86+Examscore!V86</f>
        <v>0</v>
      </c>
      <c r="M86" s="5" t="str">
        <f t="shared" si="57"/>
        <v>--</v>
      </c>
      <c r="N86" s="5" t="str">
        <f t="shared" si="58"/>
        <v>--</v>
      </c>
      <c r="O86" s="5" t="str">
        <f t="shared" si="59"/>
        <v>--</v>
      </c>
      <c r="P86" s="5" t="str">
        <f t="shared" si="60"/>
        <v>--</v>
      </c>
      <c r="Q86" s="5" t="str">
        <f t="shared" si="61"/>
        <v>--</v>
      </c>
      <c r="R86" s="5" t="str">
        <f t="shared" si="62"/>
        <v>--</v>
      </c>
      <c r="S86" s="5" t="str">
        <f t="shared" si="63"/>
        <v>--</v>
      </c>
      <c r="T86" s="5" t="str">
        <f t="shared" si="64"/>
        <v>--</v>
      </c>
      <c r="U86" s="5" t="str">
        <f t="shared" si="65"/>
        <v>--</v>
      </c>
      <c r="V86" s="5" t="str">
        <f t="shared" si="66"/>
        <v>--</v>
      </c>
      <c r="W86" s="5" t="str">
        <f t="shared" si="67"/>
        <v>--</v>
      </c>
      <c r="X86" s="5" t="str">
        <f t="shared" si="68"/>
        <v>--</v>
      </c>
      <c r="Y86" s="5" t="str">
        <f t="shared" si="69"/>
        <v>--</v>
      </c>
      <c r="Z86" s="5" t="str">
        <f t="shared" si="70"/>
        <v>--</v>
      </c>
      <c r="AA86" s="5" t="str">
        <f t="shared" si="71"/>
        <v>--</v>
      </c>
      <c r="AB86" s="5" t="str">
        <f t="shared" si="72"/>
        <v>--</v>
      </c>
      <c r="AC86" s="5" t="str">
        <f t="shared" si="73"/>
        <v>--</v>
      </c>
      <c r="AD86" s="5" t="str">
        <f t="shared" si="74"/>
        <v>--</v>
      </c>
      <c r="AE86" s="5" t="str">
        <f t="shared" si="75"/>
        <v>--</v>
      </c>
      <c r="AF86" s="5" t="str">
        <f t="shared" si="76"/>
        <v>--</v>
      </c>
      <c r="AG86" s="34">
        <f>SUM(C86,D86,F86,G86)+LARGE((E86,H86,I86,J86,K86,L86),1)+LARGE((E86,H86,I86,J86,K86,L86),2)</f>
        <v>0</v>
      </c>
      <c r="AH86" s="5" t="e">
        <f>SUM(W86,X86,Z86,AA86)+SMALL((Y86,AB86,AC86,AD86,AE86,AF86),1)+SMALL((Y86,AB86,AC86,AD86,AE86,AF86),2)</f>
        <v>#NUM!</v>
      </c>
      <c r="AI86" s="15">
        <f>'Teacher''s Remarks'!M87</f>
        <v>0</v>
      </c>
      <c r="AJ86" s="15">
        <f>'Teacher''s Remarks'!N87</f>
        <v>0</v>
      </c>
      <c r="AK86" s="15">
        <f>'Teacher''s Remarks'!O87</f>
        <v>0</v>
      </c>
      <c r="AL86" s="15">
        <f>'Teacher''s Remarks'!P87</f>
        <v>0</v>
      </c>
      <c r="AM86" s="13">
        <f t="shared" si="56"/>
        <v>0</v>
      </c>
      <c r="AN86" s="14">
        <f>Attendance!B86</f>
        <v>0</v>
      </c>
      <c r="AO86" s="15"/>
      <c r="AP86" s="15"/>
      <c r="AQ86" s="22">
        <f t="shared" ca="1" si="77"/>
        <v>45764</v>
      </c>
      <c r="AR86" s="15"/>
      <c r="AT86" s="12">
        <f t="shared" si="78"/>
        <v>56</v>
      </c>
      <c r="AU86" t="str">
        <f>IF(OR(VALUE(RIGHT(AT86,5))={11,12,13}),"th",IF(OR(VALUE(RIGHT(AT86))={1,2,3}),CHOOSE(RIGHT(AT86),"st","nd","rd"),"th"))</f>
        <v>th</v>
      </c>
      <c r="AV86">
        <f t="shared" si="79"/>
        <v>56</v>
      </c>
      <c r="AW86" t="str">
        <f>IF(OR(VALUE(RIGHT(AV86,5))={11,12,13}),"th",IF(OR(VALUE(RIGHT(AV86))={1,2,3}),CHOOSE(RIGHT(AV86),"st","nd","rd"),"th"))</f>
        <v>th</v>
      </c>
      <c r="AX86">
        <f t="shared" si="80"/>
        <v>56</v>
      </c>
      <c r="AY86" t="str">
        <f>IF(OR(VALUE(RIGHT(AX86,5))={11,12,13}),"th",IF(OR(VALUE(RIGHT(AX86))={1,2,3}),CHOOSE(RIGHT(AX86),"st","nd","rd"),"th"))</f>
        <v>th</v>
      </c>
      <c r="AZ86">
        <f t="shared" si="81"/>
        <v>56</v>
      </c>
      <c r="BA86" t="str">
        <f>IF(OR(VALUE(RIGHT(AZ86,5))={11,12,13}),"th",IF(OR(VALUE(RIGHT(AZ86))={1,2,3}),CHOOSE(RIGHT(AZ86),"st","nd","rd"),"th"))</f>
        <v>th</v>
      </c>
      <c r="BB86">
        <f t="shared" si="82"/>
        <v>56</v>
      </c>
      <c r="BC86" t="str">
        <f>IF(OR(VALUE(RIGHT(BB86,5))={11,12,13}),"th",IF(OR(VALUE(RIGHT(BB86))={1,2,3}),CHOOSE(RIGHT(BB86),"st","nd","rd"),"th"))</f>
        <v>th</v>
      </c>
      <c r="BD86">
        <f t="shared" si="83"/>
        <v>56</v>
      </c>
      <c r="BE86" t="str">
        <f>IF(OR(VALUE(RIGHT(BD86,5))={11,12,13}),"th",IF(OR(VALUE(RIGHT(BD86))={1,2,3}),CHOOSE(RIGHT(BD86),"st","nd","rd"),"th"))</f>
        <v>th</v>
      </c>
      <c r="BF86">
        <f t="shared" si="84"/>
        <v>56</v>
      </c>
      <c r="BG86" t="str">
        <f>IF(OR(VALUE(RIGHT(BF86,5))={11,12,13}),"th",IF(OR(VALUE(RIGHT(BF86))={1,2,3}),CHOOSE(RIGHT(BF86),"st","nd","rd"),"th"))</f>
        <v>th</v>
      </c>
      <c r="BH86">
        <f t="shared" si="85"/>
        <v>56</v>
      </c>
      <c r="BI86" t="str">
        <f>IF(OR(VALUE(RIGHT(BH86,5))={11,12,13}),"th",IF(OR(VALUE(RIGHT(BH86))={1,2,3}),CHOOSE(RIGHT(BH86),"st","nd","rd"),"th"))</f>
        <v>th</v>
      </c>
      <c r="BJ86">
        <f t="shared" si="86"/>
        <v>56</v>
      </c>
      <c r="BK86" t="str" cm="1">
        <f t="array" ref="BK86">IF(OR(VALUE(RIGHT(BJ86,5))={11,12,13}),"th",IF(OR(VALUE(RIGHT(BJ86))={1,2,3}),CHOOSE(RIGHT(BJ86),"st","nd","rd"),"th"))</f>
        <v>th</v>
      </c>
      <c r="BL86">
        <f t="shared" si="87"/>
        <v>57</v>
      </c>
      <c r="BM86" t="str">
        <f>IF(OR(VALUE(RIGHT(BL86,5))={11,12,13}),"th",IF(OR(VALUE(RIGHT(BL86))={1,2,3}),CHOOSE(RIGHT(BL86),"st","nd","rd"),"th"))</f>
        <v>th</v>
      </c>
      <c r="BO86" s="30">
        <f t="shared" si="88"/>
        <v>0</v>
      </c>
      <c r="BP86">
        <f t="shared" si="89"/>
        <v>57</v>
      </c>
      <c r="BQ86" t="str">
        <f>IF(OR(VALUE(RIGHT(BP86,5))={11,12,13}),"th",IF(OR(VALUE(RIGHT(BP86))={1,2,3}),CHOOSE(RIGHT(BP86),"st","nd","rd"),"th"))</f>
        <v>th</v>
      </c>
      <c r="BS86" s="27">
        <f>ClassScore!M86</f>
        <v>0</v>
      </c>
      <c r="BT86" s="27">
        <f>ClassScore!N86</f>
        <v>0</v>
      </c>
      <c r="BU86" s="27">
        <f>ClassScore!O86</f>
        <v>0</v>
      </c>
      <c r="BV86" s="27">
        <f>ClassScore!P86</f>
        <v>0</v>
      </c>
      <c r="BW86" s="27">
        <f>ClassScore!Q86</f>
        <v>0</v>
      </c>
      <c r="BX86" s="27">
        <f>ClassScore!R86</f>
        <v>0</v>
      </c>
      <c r="BY86" s="27">
        <f>ClassScore!S86</f>
        <v>0</v>
      </c>
      <c r="BZ86" s="27">
        <f>ClassScore!T86</f>
        <v>0</v>
      </c>
      <c r="CA86" s="27">
        <f>ClassScore!U86</f>
        <v>0</v>
      </c>
      <c r="CB86" s="27">
        <f>ClassScore!V86</f>
        <v>0</v>
      </c>
      <c r="CD86" s="27">
        <f>Examscore!M86</f>
        <v>0</v>
      </c>
      <c r="CE86" s="27">
        <f>Examscore!N86</f>
        <v>0</v>
      </c>
      <c r="CF86" s="27">
        <f>Examscore!O86</f>
        <v>0</v>
      </c>
      <c r="CG86" s="27">
        <f>Examscore!P86</f>
        <v>0</v>
      </c>
      <c r="CH86" s="27">
        <f>Examscore!Q86</f>
        <v>0</v>
      </c>
      <c r="CI86" s="27">
        <f>Examscore!R86</f>
        <v>0</v>
      </c>
      <c r="CJ86" s="27">
        <f>Examscore!S86</f>
        <v>0</v>
      </c>
      <c r="CK86" s="27">
        <f>Examscore!T86</f>
        <v>0</v>
      </c>
      <c r="CL86" s="27">
        <f>Examscore!U86</f>
        <v>0</v>
      </c>
      <c r="CM86" s="27">
        <f>Examscore!V86</f>
        <v>0</v>
      </c>
    </row>
    <row r="87" spans="1:91" ht="15.75" x14ac:dyDescent="0.25">
      <c r="A87" s="5">
        <f>Student!A87</f>
        <v>0</v>
      </c>
      <c r="B87" s="21">
        <f>Student!B87</f>
        <v>0</v>
      </c>
      <c r="C87" s="28">
        <f>ClassScore!M87+Examscore!M87</f>
        <v>0</v>
      </c>
      <c r="D87" s="28">
        <f>ClassScore!N87+Examscore!N87</f>
        <v>0</v>
      </c>
      <c r="E87" s="28">
        <f>ClassScore!O87+Examscore!O87</f>
        <v>0</v>
      </c>
      <c r="F87" s="28">
        <f>ClassScore!P87+Examscore!P87</f>
        <v>0</v>
      </c>
      <c r="G87" s="28">
        <f>ClassScore!Q87+Examscore!Q87</f>
        <v>0</v>
      </c>
      <c r="H87" s="28">
        <f>ClassScore!R87+Examscore!R87</f>
        <v>0</v>
      </c>
      <c r="I87" s="28">
        <f>ClassScore!S87+Examscore!S87</f>
        <v>0</v>
      </c>
      <c r="J87" s="28">
        <f>ClassScore!T87+Examscore!T87</f>
        <v>0</v>
      </c>
      <c r="K87" s="28">
        <f>ClassScore!U87+Examscore!U87</f>
        <v>0</v>
      </c>
      <c r="L87" s="28">
        <f>ClassScore!V87+Examscore!V87</f>
        <v>0</v>
      </c>
      <c r="M87" s="5" t="str">
        <f t="shared" si="57"/>
        <v>--</v>
      </c>
      <c r="N87" s="5" t="str">
        <f t="shared" si="58"/>
        <v>--</v>
      </c>
      <c r="O87" s="5" t="str">
        <f t="shared" si="59"/>
        <v>--</v>
      </c>
      <c r="P87" s="5" t="str">
        <f t="shared" si="60"/>
        <v>--</v>
      </c>
      <c r="Q87" s="5" t="str">
        <f t="shared" si="61"/>
        <v>--</v>
      </c>
      <c r="R87" s="5" t="str">
        <f t="shared" si="62"/>
        <v>--</v>
      </c>
      <c r="S87" s="5" t="str">
        <f t="shared" si="63"/>
        <v>--</v>
      </c>
      <c r="T87" s="5" t="str">
        <f t="shared" si="64"/>
        <v>--</v>
      </c>
      <c r="U87" s="5" t="str">
        <f t="shared" si="65"/>
        <v>--</v>
      </c>
      <c r="V87" s="5" t="str">
        <f t="shared" si="66"/>
        <v>--</v>
      </c>
      <c r="W87" s="5" t="str">
        <f t="shared" si="67"/>
        <v>--</v>
      </c>
      <c r="X87" s="5" t="str">
        <f t="shared" si="68"/>
        <v>--</v>
      </c>
      <c r="Y87" s="5" t="str">
        <f t="shared" si="69"/>
        <v>--</v>
      </c>
      <c r="Z87" s="5" t="str">
        <f t="shared" si="70"/>
        <v>--</v>
      </c>
      <c r="AA87" s="5" t="str">
        <f t="shared" si="71"/>
        <v>--</v>
      </c>
      <c r="AB87" s="5" t="str">
        <f t="shared" si="72"/>
        <v>--</v>
      </c>
      <c r="AC87" s="5" t="str">
        <f t="shared" si="73"/>
        <v>--</v>
      </c>
      <c r="AD87" s="5" t="str">
        <f t="shared" si="74"/>
        <v>--</v>
      </c>
      <c r="AE87" s="5" t="str">
        <f t="shared" si="75"/>
        <v>--</v>
      </c>
      <c r="AF87" s="5" t="str">
        <f t="shared" si="76"/>
        <v>--</v>
      </c>
      <c r="AG87" s="34">
        <f>SUM(C87,D87,F87,G87)+LARGE((E87,H87,I87,J87,K87,L87),1)+LARGE((E87,H87,I87,J87,K87,L87),2)</f>
        <v>0</v>
      </c>
      <c r="AH87" s="5" t="e">
        <f>SUM(W87,X87,Z87,AA87)+SMALL((Y87,AB87,AC87,AD87,AE87,AF87),1)+SMALL((Y87,AB87,AC87,AD87,AE87,AF87),2)</f>
        <v>#NUM!</v>
      </c>
      <c r="AI87" s="15">
        <f>'Teacher''s Remarks'!M88</f>
        <v>0</v>
      </c>
      <c r="AJ87" s="15">
        <f>'Teacher''s Remarks'!N88</f>
        <v>0</v>
      </c>
      <c r="AK87" s="15">
        <f>'Teacher''s Remarks'!O88</f>
        <v>0</v>
      </c>
      <c r="AL87" s="15">
        <f>'Teacher''s Remarks'!P88</f>
        <v>0</v>
      </c>
      <c r="AM87" s="13">
        <f t="shared" si="56"/>
        <v>0</v>
      </c>
      <c r="AN87" s="14">
        <f>Attendance!B87</f>
        <v>0</v>
      </c>
      <c r="AO87" s="15"/>
      <c r="AP87" s="15"/>
      <c r="AQ87" s="22">
        <f t="shared" ca="1" si="77"/>
        <v>45764</v>
      </c>
      <c r="AR87" s="15"/>
      <c r="AT87" s="12">
        <f t="shared" si="78"/>
        <v>56</v>
      </c>
      <c r="AU87" t="str">
        <f>IF(OR(VALUE(RIGHT(AT87,5))={11,12,13}),"th",IF(OR(VALUE(RIGHT(AT87))={1,2,3}),CHOOSE(RIGHT(AT87),"st","nd","rd"),"th"))</f>
        <v>th</v>
      </c>
      <c r="AV87">
        <f t="shared" si="79"/>
        <v>56</v>
      </c>
      <c r="AW87" t="str">
        <f>IF(OR(VALUE(RIGHT(AV87,5))={11,12,13}),"th",IF(OR(VALUE(RIGHT(AV87))={1,2,3}),CHOOSE(RIGHT(AV87),"st","nd","rd"),"th"))</f>
        <v>th</v>
      </c>
      <c r="AX87">
        <f t="shared" si="80"/>
        <v>56</v>
      </c>
      <c r="AY87" t="str">
        <f>IF(OR(VALUE(RIGHT(AX87,5))={11,12,13}),"th",IF(OR(VALUE(RIGHT(AX87))={1,2,3}),CHOOSE(RIGHT(AX87),"st","nd","rd"),"th"))</f>
        <v>th</v>
      </c>
      <c r="AZ87">
        <f t="shared" si="81"/>
        <v>56</v>
      </c>
      <c r="BA87" t="str">
        <f>IF(OR(VALUE(RIGHT(AZ87,5))={11,12,13}),"th",IF(OR(VALUE(RIGHT(AZ87))={1,2,3}),CHOOSE(RIGHT(AZ87),"st","nd","rd"),"th"))</f>
        <v>th</v>
      </c>
      <c r="BB87">
        <f t="shared" si="82"/>
        <v>56</v>
      </c>
      <c r="BC87" t="str">
        <f>IF(OR(VALUE(RIGHT(BB87,5))={11,12,13}),"th",IF(OR(VALUE(RIGHT(BB87))={1,2,3}),CHOOSE(RIGHT(BB87),"st","nd","rd"),"th"))</f>
        <v>th</v>
      </c>
      <c r="BD87">
        <f t="shared" si="83"/>
        <v>56</v>
      </c>
      <c r="BE87" t="str">
        <f>IF(OR(VALUE(RIGHT(BD87,5))={11,12,13}),"th",IF(OR(VALUE(RIGHT(BD87))={1,2,3}),CHOOSE(RIGHT(BD87),"st","nd","rd"),"th"))</f>
        <v>th</v>
      </c>
      <c r="BF87">
        <f t="shared" si="84"/>
        <v>56</v>
      </c>
      <c r="BG87" t="str">
        <f>IF(OR(VALUE(RIGHT(BF87,5))={11,12,13}),"th",IF(OR(VALUE(RIGHT(BF87))={1,2,3}),CHOOSE(RIGHT(BF87),"st","nd","rd"),"th"))</f>
        <v>th</v>
      </c>
      <c r="BH87">
        <f t="shared" si="85"/>
        <v>56</v>
      </c>
      <c r="BI87" t="str">
        <f>IF(OR(VALUE(RIGHT(BH87,5))={11,12,13}),"th",IF(OR(VALUE(RIGHT(BH87))={1,2,3}),CHOOSE(RIGHT(BH87),"st","nd","rd"),"th"))</f>
        <v>th</v>
      </c>
      <c r="BJ87">
        <f t="shared" si="86"/>
        <v>56</v>
      </c>
      <c r="BK87" t="str" cm="1">
        <f t="array" ref="BK87">IF(OR(VALUE(RIGHT(BJ87,5))={11,12,13}),"th",IF(OR(VALUE(RIGHT(BJ87))={1,2,3}),CHOOSE(RIGHT(BJ87),"st","nd","rd"),"th"))</f>
        <v>th</v>
      </c>
      <c r="BL87">
        <f t="shared" si="87"/>
        <v>57</v>
      </c>
      <c r="BM87" t="str">
        <f>IF(OR(VALUE(RIGHT(BL87,5))={11,12,13}),"th",IF(OR(VALUE(RIGHT(BL87))={1,2,3}),CHOOSE(RIGHT(BL87),"st","nd","rd"),"th"))</f>
        <v>th</v>
      </c>
      <c r="BO87" s="30">
        <f t="shared" si="88"/>
        <v>0</v>
      </c>
      <c r="BP87">
        <f t="shared" si="89"/>
        <v>57</v>
      </c>
      <c r="BQ87" t="str">
        <f>IF(OR(VALUE(RIGHT(BP87,5))={11,12,13}),"th",IF(OR(VALUE(RIGHT(BP87))={1,2,3}),CHOOSE(RIGHT(BP87),"st","nd","rd"),"th"))</f>
        <v>th</v>
      </c>
      <c r="BS87" s="27">
        <f>ClassScore!M87</f>
        <v>0</v>
      </c>
      <c r="BT87" s="27">
        <f>ClassScore!N87</f>
        <v>0</v>
      </c>
      <c r="BU87" s="27">
        <f>ClassScore!O87</f>
        <v>0</v>
      </c>
      <c r="BV87" s="27">
        <f>ClassScore!P87</f>
        <v>0</v>
      </c>
      <c r="BW87" s="27">
        <f>ClassScore!Q87</f>
        <v>0</v>
      </c>
      <c r="BX87" s="27">
        <f>ClassScore!R87</f>
        <v>0</v>
      </c>
      <c r="BY87" s="27">
        <f>ClassScore!S87</f>
        <v>0</v>
      </c>
      <c r="BZ87" s="27">
        <f>ClassScore!T87</f>
        <v>0</v>
      </c>
      <c r="CA87" s="27">
        <f>ClassScore!U87</f>
        <v>0</v>
      </c>
      <c r="CB87" s="27">
        <f>ClassScore!V87</f>
        <v>0</v>
      </c>
      <c r="CD87" s="27">
        <f>Examscore!M87</f>
        <v>0</v>
      </c>
      <c r="CE87" s="27">
        <f>Examscore!N87</f>
        <v>0</v>
      </c>
      <c r="CF87" s="27">
        <f>Examscore!O87</f>
        <v>0</v>
      </c>
      <c r="CG87" s="27">
        <f>Examscore!P87</f>
        <v>0</v>
      </c>
      <c r="CH87" s="27">
        <f>Examscore!Q87</f>
        <v>0</v>
      </c>
      <c r="CI87" s="27">
        <f>Examscore!R87</f>
        <v>0</v>
      </c>
      <c r="CJ87" s="27">
        <f>Examscore!S87</f>
        <v>0</v>
      </c>
      <c r="CK87" s="27">
        <f>Examscore!T87</f>
        <v>0</v>
      </c>
      <c r="CL87" s="27">
        <f>Examscore!U87</f>
        <v>0</v>
      </c>
      <c r="CM87" s="27">
        <f>Examscore!V87</f>
        <v>0</v>
      </c>
    </row>
    <row r="88" spans="1:91" ht="15.75" x14ac:dyDescent="0.25">
      <c r="A88" s="5">
        <f>Student!A88</f>
        <v>0</v>
      </c>
      <c r="B88" s="21">
        <f>Student!B88</f>
        <v>0</v>
      </c>
      <c r="C88" s="28">
        <f>ClassScore!M88+Examscore!M88</f>
        <v>0</v>
      </c>
      <c r="D88" s="28">
        <f>ClassScore!N88+Examscore!N88</f>
        <v>0</v>
      </c>
      <c r="E88" s="28">
        <f>ClassScore!O88+Examscore!O88</f>
        <v>0</v>
      </c>
      <c r="F88" s="28">
        <f>ClassScore!P88+Examscore!P88</f>
        <v>0</v>
      </c>
      <c r="G88" s="28">
        <f>ClassScore!Q88+Examscore!Q88</f>
        <v>0</v>
      </c>
      <c r="H88" s="28">
        <f>ClassScore!R88+Examscore!R88</f>
        <v>0</v>
      </c>
      <c r="I88" s="28">
        <f>ClassScore!S88+Examscore!S88</f>
        <v>0</v>
      </c>
      <c r="J88" s="28">
        <f>ClassScore!T88+Examscore!T88</f>
        <v>0</v>
      </c>
      <c r="K88" s="28">
        <f>ClassScore!U88+Examscore!U88</f>
        <v>0</v>
      </c>
      <c r="L88" s="28">
        <f>ClassScore!V88+Examscore!V88</f>
        <v>0</v>
      </c>
      <c r="M88" s="5" t="str">
        <f t="shared" si="57"/>
        <v>--</v>
      </c>
      <c r="N88" s="5" t="str">
        <f t="shared" si="58"/>
        <v>--</v>
      </c>
      <c r="O88" s="5" t="str">
        <f t="shared" si="59"/>
        <v>--</v>
      </c>
      <c r="P88" s="5" t="str">
        <f t="shared" si="60"/>
        <v>--</v>
      </c>
      <c r="Q88" s="5" t="str">
        <f t="shared" si="61"/>
        <v>--</v>
      </c>
      <c r="R88" s="5" t="str">
        <f t="shared" si="62"/>
        <v>--</v>
      </c>
      <c r="S88" s="5" t="str">
        <f t="shared" si="63"/>
        <v>--</v>
      </c>
      <c r="T88" s="5" t="str">
        <f t="shared" si="64"/>
        <v>--</v>
      </c>
      <c r="U88" s="5" t="str">
        <f t="shared" si="65"/>
        <v>--</v>
      </c>
      <c r="V88" s="5" t="str">
        <f t="shared" si="66"/>
        <v>--</v>
      </c>
      <c r="W88" s="5" t="str">
        <f t="shared" si="67"/>
        <v>--</v>
      </c>
      <c r="X88" s="5" t="str">
        <f t="shared" si="68"/>
        <v>--</v>
      </c>
      <c r="Y88" s="5" t="str">
        <f t="shared" si="69"/>
        <v>--</v>
      </c>
      <c r="Z88" s="5" t="str">
        <f t="shared" si="70"/>
        <v>--</v>
      </c>
      <c r="AA88" s="5" t="str">
        <f t="shared" si="71"/>
        <v>--</v>
      </c>
      <c r="AB88" s="5" t="str">
        <f t="shared" si="72"/>
        <v>--</v>
      </c>
      <c r="AC88" s="5" t="str">
        <f t="shared" si="73"/>
        <v>--</v>
      </c>
      <c r="AD88" s="5" t="str">
        <f t="shared" si="74"/>
        <v>--</v>
      </c>
      <c r="AE88" s="5" t="str">
        <f t="shared" si="75"/>
        <v>--</v>
      </c>
      <c r="AF88" s="5" t="str">
        <f t="shared" si="76"/>
        <v>--</v>
      </c>
      <c r="AG88" s="34">
        <f>SUM(C88,D88,F88,G88)+LARGE((E88,H88,I88,J88,K88,L88),1)+LARGE((E88,H88,I88,J88,K88,L88),2)</f>
        <v>0</v>
      </c>
      <c r="AH88" s="5" t="e">
        <f>SUM(W88,X88,Z88,AA88)+SMALL((Y88,AB88,AC88,AD88,AE88,AF88),1)+SMALL((Y88,AB88,AC88,AD88,AE88,AF88),2)</f>
        <v>#NUM!</v>
      </c>
      <c r="AI88" s="15">
        <f>'Teacher''s Remarks'!M89</f>
        <v>0</v>
      </c>
      <c r="AJ88" s="15">
        <f>'Teacher''s Remarks'!N89</f>
        <v>0</v>
      </c>
      <c r="AK88" s="15">
        <f>'Teacher''s Remarks'!O89</f>
        <v>0</v>
      </c>
      <c r="AL88" s="15">
        <f>'Teacher''s Remarks'!P89</f>
        <v>0</v>
      </c>
      <c r="AM88" s="13">
        <f t="shared" si="56"/>
        <v>0</v>
      </c>
      <c r="AN88" s="14">
        <f>Attendance!B88</f>
        <v>0</v>
      </c>
      <c r="AO88" s="15"/>
      <c r="AP88" s="15"/>
      <c r="AQ88" s="22">
        <f t="shared" ca="1" si="77"/>
        <v>45764</v>
      </c>
      <c r="AR88" s="15"/>
      <c r="AT88" s="12">
        <f t="shared" si="78"/>
        <v>56</v>
      </c>
      <c r="AU88" t="str">
        <f>IF(OR(VALUE(RIGHT(AT88,5))={11,12,13}),"th",IF(OR(VALUE(RIGHT(AT88))={1,2,3}),CHOOSE(RIGHT(AT88),"st","nd","rd"),"th"))</f>
        <v>th</v>
      </c>
      <c r="AV88">
        <f t="shared" si="79"/>
        <v>56</v>
      </c>
      <c r="AW88" t="str">
        <f>IF(OR(VALUE(RIGHT(AV88,5))={11,12,13}),"th",IF(OR(VALUE(RIGHT(AV88))={1,2,3}),CHOOSE(RIGHT(AV88),"st","nd","rd"),"th"))</f>
        <v>th</v>
      </c>
      <c r="AX88">
        <f t="shared" si="80"/>
        <v>56</v>
      </c>
      <c r="AY88" t="str">
        <f>IF(OR(VALUE(RIGHT(AX88,5))={11,12,13}),"th",IF(OR(VALUE(RIGHT(AX88))={1,2,3}),CHOOSE(RIGHT(AX88),"st","nd","rd"),"th"))</f>
        <v>th</v>
      </c>
      <c r="AZ88">
        <f t="shared" si="81"/>
        <v>56</v>
      </c>
      <c r="BA88" t="str">
        <f>IF(OR(VALUE(RIGHT(AZ88,5))={11,12,13}),"th",IF(OR(VALUE(RIGHT(AZ88))={1,2,3}),CHOOSE(RIGHT(AZ88),"st","nd","rd"),"th"))</f>
        <v>th</v>
      </c>
      <c r="BB88">
        <f t="shared" si="82"/>
        <v>56</v>
      </c>
      <c r="BC88" t="str">
        <f>IF(OR(VALUE(RIGHT(BB88,5))={11,12,13}),"th",IF(OR(VALUE(RIGHT(BB88))={1,2,3}),CHOOSE(RIGHT(BB88),"st","nd","rd"),"th"))</f>
        <v>th</v>
      </c>
      <c r="BD88">
        <f t="shared" si="83"/>
        <v>56</v>
      </c>
      <c r="BE88" t="str">
        <f>IF(OR(VALUE(RIGHT(BD88,5))={11,12,13}),"th",IF(OR(VALUE(RIGHT(BD88))={1,2,3}),CHOOSE(RIGHT(BD88),"st","nd","rd"),"th"))</f>
        <v>th</v>
      </c>
      <c r="BF88">
        <f t="shared" si="84"/>
        <v>56</v>
      </c>
      <c r="BG88" t="str">
        <f>IF(OR(VALUE(RIGHT(BF88,5))={11,12,13}),"th",IF(OR(VALUE(RIGHT(BF88))={1,2,3}),CHOOSE(RIGHT(BF88),"st","nd","rd"),"th"))</f>
        <v>th</v>
      </c>
      <c r="BH88">
        <f t="shared" si="85"/>
        <v>56</v>
      </c>
      <c r="BI88" t="str">
        <f>IF(OR(VALUE(RIGHT(BH88,5))={11,12,13}),"th",IF(OR(VALUE(RIGHT(BH88))={1,2,3}),CHOOSE(RIGHT(BH88),"st","nd","rd"),"th"))</f>
        <v>th</v>
      </c>
      <c r="BJ88">
        <f t="shared" si="86"/>
        <v>56</v>
      </c>
      <c r="BK88" t="str" cm="1">
        <f t="array" ref="BK88">IF(OR(VALUE(RIGHT(BJ88,5))={11,12,13}),"th",IF(OR(VALUE(RIGHT(BJ88))={1,2,3}),CHOOSE(RIGHT(BJ88),"st","nd","rd"),"th"))</f>
        <v>th</v>
      </c>
      <c r="BL88">
        <f t="shared" si="87"/>
        <v>57</v>
      </c>
      <c r="BM88" t="str">
        <f>IF(OR(VALUE(RIGHT(BL88,5))={11,12,13}),"th",IF(OR(VALUE(RIGHT(BL88))={1,2,3}),CHOOSE(RIGHT(BL88),"st","nd","rd"),"th"))</f>
        <v>th</v>
      </c>
      <c r="BO88" s="30">
        <f t="shared" si="88"/>
        <v>0</v>
      </c>
      <c r="BP88">
        <f t="shared" si="89"/>
        <v>57</v>
      </c>
      <c r="BQ88" t="str">
        <f>IF(OR(VALUE(RIGHT(BP88,5))={11,12,13}),"th",IF(OR(VALUE(RIGHT(BP88))={1,2,3}),CHOOSE(RIGHT(BP88),"st","nd","rd"),"th"))</f>
        <v>th</v>
      </c>
      <c r="BS88" s="27">
        <f>ClassScore!M88</f>
        <v>0</v>
      </c>
      <c r="BT88" s="27">
        <f>ClassScore!N88</f>
        <v>0</v>
      </c>
      <c r="BU88" s="27">
        <f>ClassScore!O88</f>
        <v>0</v>
      </c>
      <c r="BV88" s="27">
        <f>ClassScore!P88</f>
        <v>0</v>
      </c>
      <c r="BW88" s="27">
        <f>ClassScore!Q88</f>
        <v>0</v>
      </c>
      <c r="BX88" s="27">
        <f>ClassScore!R88</f>
        <v>0</v>
      </c>
      <c r="BY88" s="27">
        <f>ClassScore!S88</f>
        <v>0</v>
      </c>
      <c r="BZ88" s="27">
        <f>ClassScore!T88</f>
        <v>0</v>
      </c>
      <c r="CA88" s="27">
        <f>ClassScore!U88</f>
        <v>0</v>
      </c>
      <c r="CB88" s="27">
        <f>ClassScore!V88</f>
        <v>0</v>
      </c>
      <c r="CD88" s="27">
        <f>Examscore!M88</f>
        <v>0</v>
      </c>
      <c r="CE88" s="27">
        <f>Examscore!N88</f>
        <v>0</v>
      </c>
      <c r="CF88" s="27">
        <f>Examscore!O88</f>
        <v>0</v>
      </c>
      <c r="CG88" s="27">
        <f>Examscore!P88</f>
        <v>0</v>
      </c>
      <c r="CH88" s="27">
        <f>Examscore!Q88</f>
        <v>0</v>
      </c>
      <c r="CI88" s="27">
        <f>Examscore!R88</f>
        <v>0</v>
      </c>
      <c r="CJ88" s="27">
        <f>Examscore!S88</f>
        <v>0</v>
      </c>
      <c r="CK88" s="27">
        <f>Examscore!T88</f>
        <v>0</v>
      </c>
      <c r="CL88" s="27">
        <f>Examscore!U88</f>
        <v>0</v>
      </c>
      <c r="CM88" s="27">
        <f>Examscore!V88</f>
        <v>0</v>
      </c>
    </row>
    <row r="89" spans="1:91" ht="15.75" x14ac:dyDescent="0.25">
      <c r="A89" s="5">
        <f>Student!A89</f>
        <v>0</v>
      </c>
      <c r="B89" s="21">
        <f>Student!B89</f>
        <v>0</v>
      </c>
      <c r="C89" s="28">
        <f>ClassScore!M89+Examscore!M89</f>
        <v>0</v>
      </c>
      <c r="D89" s="28">
        <f>ClassScore!N89+Examscore!N89</f>
        <v>0</v>
      </c>
      <c r="E89" s="28">
        <f>ClassScore!O89+Examscore!O89</f>
        <v>0</v>
      </c>
      <c r="F89" s="28">
        <f>ClassScore!P89+Examscore!P89</f>
        <v>0</v>
      </c>
      <c r="G89" s="28">
        <f>ClassScore!Q89+Examscore!Q89</f>
        <v>0</v>
      </c>
      <c r="H89" s="28">
        <f>ClassScore!R89+Examscore!R89</f>
        <v>0</v>
      </c>
      <c r="I89" s="28">
        <f>ClassScore!S89+Examscore!S89</f>
        <v>0</v>
      </c>
      <c r="J89" s="28">
        <f>ClassScore!T89+Examscore!T89</f>
        <v>0</v>
      </c>
      <c r="K89" s="28">
        <f>ClassScore!U89+Examscore!U89</f>
        <v>0</v>
      </c>
      <c r="L89" s="28">
        <f>ClassScore!V89+Examscore!V89</f>
        <v>0</v>
      </c>
      <c r="M89" s="5" t="str">
        <f t="shared" si="57"/>
        <v>--</v>
      </c>
      <c r="N89" s="5" t="str">
        <f t="shared" si="58"/>
        <v>--</v>
      </c>
      <c r="O89" s="5" t="str">
        <f t="shared" si="59"/>
        <v>--</v>
      </c>
      <c r="P89" s="5" t="str">
        <f t="shared" si="60"/>
        <v>--</v>
      </c>
      <c r="Q89" s="5" t="str">
        <f t="shared" si="61"/>
        <v>--</v>
      </c>
      <c r="R89" s="5" t="str">
        <f t="shared" si="62"/>
        <v>--</v>
      </c>
      <c r="S89" s="5" t="str">
        <f t="shared" si="63"/>
        <v>--</v>
      </c>
      <c r="T89" s="5" t="str">
        <f t="shared" si="64"/>
        <v>--</v>
      </c>
      <c r="U89" s="5" t="str">
        <f t="shared" si="65"/>
        <v>--</v>
      </c>
      <c r="V89" s="5" t="str">
        <f t="shared" si="66"/>
        <v>--</v>
      </c>
      <c r="W89" s="5" t="str">
        <f t="shared" si="67"/>
        <v>--</v>
      </c>
      <c r="X89" s="5" t="str">
        <f t="shared" si="68"/>
        <v>--</v>
      </c>
      <c r="Y89" s="5" t="str">
        <f t="shared" si="69"/>
        <v>--</v>
      </c>
      <c r="Z89" s="5" t="str">
        <f t="shared" si="70"/>
        <v>--</v>
      </c>
      <c r="AA89" s="5" t="str">
        <f t="shared" si="71"/>
        <v>--</v>
      </c>
      <c r="AB89" s="5" t="str">
        <f t="shared" si="72"/>
        <v>--</v>
      </c>
      <c r="AC89" s="5" t="str">
        <f t="shared" si="73"/>
        <v>--</v>
      </c>
      <c r="AD89" s="5" t="str">
        <f t="shared" si="74"/>
        <v>--</v>
      </c>
      <c r="AE89" s="5" t="str">
        <f t="shared" si="75"/>
        <v>--</v>
      </c>
      <c r="AF89" s="5" t="str">
        <f t="shared" si="76"/>
        <v>--</v>
      </c>
      <c r="AG89" s="34">
        <f>SUM(C89,D89,F89,G89)+LARGE((E89,H89,I89,J89,K89,L89),1)+LARGE((E89,H89,I89,J89,K89,L89),2)</f>
        <v>0</v>
      </c>
      <c r="AH89" s="5" t="e">
        <f>SUM(W89,X89,Z89,AA89)+SMALL((Y89,AB89,AC89,AD89,AE89,AF89),1)+SMALL((Y89,AB89,AC89,AD89,AE89,AF89),2)</f>
        <v>#NUM!</v>
      </c>
      <c r="AI89" s="15">
        <f>'Teacher''s Remarks'!M90</f>
        <v>0</v>
      </c>
      <c r="AJ89" s="15">
        <f>'Teacher''s Remarks'!N90</f>
        <v>0</v>
      </c>
      <c r="AK89" s="15">
        <f>'Teacher''s Remarks'!O90</f>
        <v>0</v>
      </c>
      <c r="AL89" s="15">
        <f>'Teacher''s Remarks'!P90</f>
        <v>0</v>
      </c>
      <c r="AM89" s="13">
        <f t="shared" si="56"/>
        <v>0</v>
      </c>
      <c r="AN89" s="14">
        <f>Attendance!B89</f>
        <v>0</v>
      </c>
      <c r="AO89" s="15"/>
      <c r="AP89" s="15"/>
      <c r="AQ89" s="22">
        <f t="shared" ca="1" si="77"/>
        <v>45764</v>
      </c>
      <c r="AR89" s="15"/>
      <c r="AT89" s="12">
        <f t="shared" si="78"/>
        <v>56</v>
      </c>
      <c r="AU89" t="str">
        <f>IF(OR(VALUE(RIGHT(AT89,5))={11,12,13}),"th",IF(OR(VALUE(RIGHT(AT89))={1,2,3}),CHOOSE(RIGHT(AT89),"st","nd","rd"),"th"))</f>
        <v>th</v>
      </c>
      <c r="AV89">
        <f t="shared" si="79"/>
        <v>56</v>
      </c>
      <c r="AW89" t="str">
        <f>IF(OR(VALUE(RIGHT(AV89,5))={11,12,13}),"th",IF(OR(VALUE(RIGHT(AV89))={1,2,3}),CHOOSE(RIGHT(AV89),"st","nd","rd"),"th"))</f>
        <v>th</v>
      </c>
      <c r="AX89">
        <f t="shared" si="80"/>
        <v>56</v>
      </c>
      <c r="AY89" t="str">
        <f>IF(OR(VALUE(RIGHT(AX89,5))={11,12,13}),"th",IF(OR(VALUE(RIGHT(AX89))={1,2,3}),CHOOSE(RIGHT(AX89),"st","nd","rd"),"th"))</f>
        <v>th</v>
      </c>
      <c r="AZ89">
        <f t="shared" si="81"/>
        <v>56</v>
      </c>
      <c r="BA89" t="str">
        <f>IF(OR(VALUE(RIGHT(AZ89,5))={11,12,13}),"th",IF(OR(VALUE(RIGHT(AZ89))={1,2,3}),CHOOSE(RIGHT(AZ89),"st","nd","rd"),"th"))</f>
        <v>th</v>
      </c>
      <c r="BB89">
        <f t="shared" si="82"/>
        <v>56</v>
      </c>
      <c r="BC89" t="str">
        <f>IF(OR(VALUE(RIGHT(BB89,5))={11,12,13}),"th",IF(OR(VALUE(RIGHT(BB89))={1,2,3}),CHOOSE(RIGHT(BB89),"st","nd","rd"),"th"))</f>
        <v>th</v>
      </c>
      <c r="BD89">
        <f t="shared" si="83"/>
        <v>56</v>
      </c>
      <c r="BE89" t="str">
        <f>IF(OR(VALUE(RIGHT(BD89,5))={11,12,13}),"th",IF(OR(VALUE(RIGHT(BD89))={1,2,3}),CHOOSE(RIGHT(BD89),"st","nd","rd"),"th"))</f>
        <v>th</v>
      </c>
      <c r="BF89">
        <f t="shared" si="84"/>
        <v>56</v>
      </c>
      <c r="BG89" t="str">
        <f>IF(OR(VALUE(RIGHT(BF89,5))={11,12,13}),"th",IF(OR(VALUE(RIGHT(BF89))={1,2,3}),CHOOSE(RIGHT(BF89),"st","nd","rd"),"th"))</f>
        <v>th</v>
      </c>
      <c r="BH89">
        <f t="shared" si="85"/>
        <v>56</v>
      </c>
      <c r="BI89" t="str">
        <f>IF(OR(VALUE(RIGHT(BH89,5))={11,12,13}),"th",IF(OR(VALUE(RIGHT(BH89))={1,2,3}),CHOOSE(RIGHT(BH89),"st","nd","rd"),"th"))</f>
        <v>th</v>
      </c>
      <c r="BJ89">
        <f t="shared" si="86"/>
        <v>56</v>
      </c>
      <c r="BK89" t="str" cm="1">
        <f t="array" ref="BK89">IF(OR(VALUE(RIGHT(BJ89,5))={11,12,13}),"th",IF(OR(VALUE(RIGHT(BJ89))={1,2,3}),CHOOSE(RIGHT(BJ89),"st","nd","rd"),"th"))</f>
        <v>th</v>
      </c>
      <c r="BL89">
        <f t="shared" si="87"/>
        <v>57</v>
      </c>
      <c r="BM89" t="str">
        <f>IF(OR(VALUE(RIGHT(BL89,5))={11,12,13}),"th",IF(OR(VALUE(RIGHT(BL89))={1,2,3}),CHOOSE(RIGHT(BL89),"st","nd","rd"),"th"))</f>
        <v>th</v>
      </c>
      <c r="BO89" s="30">
        <f t="shared" si="88"/>
        <v>0</v>
      </c>
      <c r="BP89">
        <f t="shared" si="89"/>
        <v>57</v>
      </c>
      <c r="BQ89" t="str">
        <f>IF(OR(VALUE(RIGHT(BP89,5))={11,12,13}),"th",IF(OR(VALUE(RIGHT(BP89))={1,2,3}),CHOOSE(RIGHT(BP89),"st","nd","rd"),"th"))</f>
        <v>th</v>
      </c>
      <c r="BS89" s="27">
        <f>ClassScore!M89</f>
        <v>0</v>
      </c>
      <c r="BT89" s="27">
        <f>ClassScore!N89</f>
        <v>0</v>
      </c>
      <c r="BU89" s="27">
        <f>ClassScore!O89</f>
        <v>0</v>
      </c>
      <c r="BV89" s="27">
        <f>ClassScore!P89</f>
        <v>0</v>
      </c>
      <c r="BW89" s="27">
        <f>ClassScore!Q89</f>
        <v>0</v>
      </c>
      <c r="BX89" s="27">
        <f>ClassScore!R89</f>
        <v>0</v>
      </c>
      <c r="BY89" s="27">
        <f>ClassScore!S89</f>
        <v>0</v>
      </c>
      <c r="BZ89" s="27">
        <f>ClassScore!T89</f>
        <v>0</v>
      </c>
      <c r="CA89" s="27">
        <f>ClassScore!U89</f>
        <v>0</v>
      </c>
      <c r="CB89" s="27">
        <f>ClassScore!V89</f>
        <v>0</v>
      </c>
      <c r="CD89" s="27">
        <f>Examscore!M89</f>
        <v>0</v>
      </c>
      <c r="CE89" s="27">
        <f>Examscore!N89</f>
        <v>0</v>
      </c>
      <c r="CF89" s="27">
        <f>Examscore!O89</f>
        <v>0</v>
      </c>
      <c r="CG89" s="27">
        <f>Examscore!P89</f>
        <v>0</v>
      </c>
      <c r="CH89" s="27">
        <f>Examscore!Q89</f>
        <v>0</v>
      </c>
      <c r="CI89" s="27">
        <f>Examscore!R89</f>
        <v>0</v>
      </c>
      <c r="CJ89" s="27">
        <f>Examscore!S89</f>
        <v>0</v>
      </c>
      <c r="CK89" s="27">
        <f>Examscore!T89</f>
        <v>0</v>
      </c>
      <c r="CL89" s="27">
        <f>Examscore!U89</f>
        <v>0</v>
      </c>
      <c r="CM89" s="27">
        <f>Examscore!V89</f>
        <v>0</v>
      </c>
    </row>
    <row r="90" spans="1:91" ht="15.75" x14ac:dyDescent="0.25">
      <c r="A90" s="5">
        <f>Student!A90</f>
        <v>0</v>
      </c>
      <c r="B90" s="21">
        <f>Student!B90</f>
        <v>0</v>
      </c>
      <c r="C90" s="28">
        <f>ClassScore!M90+Examscore!M90</f>
        <v>0</v>
      </c>
      <c r="D90" s="28">
        <f>ClassScore!N90+Examscore!N90</f>
        <v>0</v>
      </c>
      <c r="E90" s="28">
        <f>ClassScore!O90+Examscore!O90</f>
        <v>0</v>
      </c>
      <c r="F90" s="28">
        <f>ClassScore!P90+Examscore!P90</f>
        <v>0</v>
      </c>
      <c r="G90" s="28">
        <f>ClassScore!Q90+Examscore!Q90</f>
        <v>0</v>
      </c>
      <c r="H90" s="28">
        <f>ClassScore!R90+Examscore!R90</f>
        <v>0</v>
      </c>
      <c r="I90" s="28">
        <f>ClassScore!S90+Examscore!S90</f>
        <v>0</v>
      </c>
      <c r="J90" s="28">
        <f>ClassScore!T90+Examscore!T90</f>
        <v>0</v>
      </c>
      <c r="K90" s="28">
        <f>ClassScore!U90+Examscore!U90</f>
        <v>0</v>
      </c>
      <c r="L90" s="28">
        <f>ClassScore!V90+Examscore!V90</f>
        <v>0</v>
      </c>
      <c r="M90" s="5" t="str">
        <f t="shared" si="57"/>
        <v>--</v>
      </c>
      <c r="N90" s="5" t="str">
        <f t="shared" si="58"/>
        <v>--</v>
      </c>
      <c r="O90" s="5" t="str">
        <f t="shared" si="59"/>
        <v>--</v>
      </c>
      <c r="P90" s="5" t="str">
        <f t="shared" si="60"/>
        <v>--</v>
      </c>
      <c r="Q90" s="5" t="str">
        <f t="shared" si="61"/>
        <v>--</v>
      </c>
      <c r="R90" s="5" t="str">
        <f t="shared" si="62"/>
        <v>--</v>
      </c>
      <c r="S90" s="5" t="str">
        <f t="shared" si="63"/>
        <v>--</v>
      </c>
      <c r="T90" s="5" t="str">
        <f t="shared" si="64"/>
        <v>--</v>
      </c>
      <c r="U90" s="5" t="str">
        <f t="shared" si="65"/>
        <v>--</v>
      </c>
      <c r="V90" s="5" t="str">
        <f t="shared" si="66"/>
        <v>--</v>
      </c>
      <c r="W90" s="5" t="str">
        <f t="shared" si="67"/>
        <v>--</v>
      </c>
      <c r="X90" s="5" t="str">
        <f t="shared" si="68"/>
        <v>--</v>
      </c>
      <c r="Y90" s="5" t="str">
        <f t="shared" si="69"/>
        <v>--</v>
      </c>
      <c r="Z90" s="5" t="str">
        <f t="shared" si="70"/>
        <v>--</v>
      </c>
      <c r="AA90" s="5" t="str">
        <f t="shared" si="71"/>
        <v>--</v>
      </c>
      <c r="AB90" s="5" t="str">
        <f t="shared" si="72"/>
        <v>--</v>
      </c>
      <c r="AC90" s="5" t="str">
        <f t="shared" si="73"/>
        <v>--</v>
      </c>
      <c r="AD90" s="5" t="str">
        <f t="shared" si="74"/>
        <v>--</v>
      </c>
      <c r="AE90" s="5" t="str">
        <f t="shared" si="75"/>
        <v>--</v>
      </c>
      <c r="AF90" s="5" t="str">
        <f t="shared" si="76"/>
        <v>--</v>
      </c>
      <c r="AG90" s="34">
        <f>SUM(C90,D90,F90,G90)+LARGE((E90,H90,I90,J90,K90,L90),1)+LARGE((E90,H90,I90,J90,K90,L90),2)</f>
        <v>0</v>
      </c>
      <c r="AH90" s="5" t="e">
        <f>SUM(W90,X90,Z90,AA90)+SMALL((Y90,AB90,AC90,AD90,AE90,AF90),1)+SMALL((Y90,AB90,AC90,AD90,AE90,AF90),2)</f>
        <v>#NUM!</v>
      </c>
      <c r="AI90" s="15">
        <f>'Teacher''s Remarks'!M91</f>
        <v>0</v>
      </c>
      <c r="AJ90" s="15">
        <f>'Teacher''s Remarks'!N91</f>
        <v>0</v>
      </c>
      <c r="AK90" s="15">
        <f>'Teacher''s Remarks'!O91</f>
        <v>0</v>
      </c>
      <c r="AL90" s="15">
        <f>'Teacher''s Remarks'!P91</f>
        <v>0</v>
      </c>
      <c r="AM90" s="13">
        <f t="shared" si="56"/>
        <v>0</v>
      </c>
      <c r="AN90" s="14">
        <f>Attendance!B90</f>
        <v>0</v>
      </c>
      <c r="AO90" s="15"/>
      <c r="AP90" s="15"/>
      <c r="AQ90" s="22">
        <f t="shared" ca="1" si="77"/>
        <v>45764</v>
      </c>
      <c r="AR90" s="15"/>
      <c r="AT90" s="12">
        <f t="shared" si="78"/>
        <v>56</v>
      </c>
      <c r="AU90" t="str">
        <f>IF(OR(VALUE(RIGHT(AT90,5))={11,12,13}),"th",IF(OR(VALUE(RIGHT(AT90))={1,2,3}),CHOOSE(RIGHT(AT90),"st","nd","rd"),"th"))</f>
        <v>th</v>
      </c>
      <c r="AV90">
        <f t="shared" si="79"/>
        <v>56</v>
      </c>
      <c r="AW90" t="str">
        <f>IF(OR(VALUE(RIGHT(AV90,5))={11,12,13}),"th",IF(OR(VALUE(RIGHT(AV90))={1,2,3}),CHOOSE(RIGHT(AV90),"st","nd","rd"),"th"))</f>
        <v>th</v>
      </c>
      <c r="AX90">
        <f t="shared" si="80"/>
        <v>56</v>
      </c>
      <c r="AY90" t="str">
        <f>IF(OR(VALUE(RIGHT(AX90,5))={11,12,13}),"th",IF(OR(VALUE(RIGHT(AX90))={1,2,3}),CHOOSE(RIGHT(AX90),"st","nd","rd"),"th"))</f>
        <v>th</v>
      </c>
      <c r="AZ90">
        <f t="shared" si="81"/>
        <v>56</v>
      </c>
      <c r="BA90" t="str">
        <f>IF(OR(VALUE(RIGHT(AZ90,5))={11,12,13}),"th",IF(OR(VALUE(RIGHT(AZ90))={1,2,3}),CHOOSE(RIGHT(AZ90),"st","nd","rd"),"th"))</f>
        <v>th</v>
      </c>
      <c r="BB90">
        <f t="shared" si="82"/>
        <v>56</v>
      </c>
      <c r="BC90" t="str">
        <f>IF(OR(VALUE(RIGHT(BB90,5))={11,12,13}),"th",IF(OR(VALUE(RIGHT(BB90))={1,2,3}),CHOOSE(RIGHT(BB90),"st","nd","rd"),"th"))</f>
        <v>th</v>
      </c>
      <c r="BD90">
        <f t="shared" si="83"/>
        <v>56</v>
      </c>
      <c r="BE90" t="str">
        <f>IF(OR(VALUE(RIGHT(BD90,5))={11,12,13}),"th",IF(OR(VALUE(RIGHT(BD90))={1,2,3}),CHOOSE(RIGHT(BD90),"st","nd","rd"),"th"))</f>
        <v>th</v>
      </c>
      <c r="BF90">
        <f t="shared" si="84"/>
        <v>56</v>
      </c>
      <c r="BG90" t="str">
        <f>IF(OR(VALUE(RIGHT(BF90,5))={11,12,13}),"th",IF(OR(VALUE(RIGHT(BF90))={1,2,3}),CHOOSE(RIGHT(BF90),"st","nd","rd"),"th"))</f>
        <v>th</v>
      </c>
      <c r="BH90">
        <f t="shared" si="85"/>
        <v>56</v>
      </c>
      <c r="BI90" t="str">
        <f>IF(OR(VALUE(RIGHT(BH90,5))={11,12,13}),"th",IF(OR(VALUE(RIGHT(BH90))={1,2,3}),CHOOSE(RIGHT(BH90),"st","nd","rd"),"th"))</f>
        <v>th</v>
      </c>
      <c r="BJ90">
        <f t="shared" si="86"/>
        <v>56</v>
      </c>
      <c r="BK90" t="str" cm="1">
        <f t="array" ref="BK90">IF(OR(VALUE(RIGHT(BJ90,5))={11,12,13}),"th",IF(OR(VALUE(RIGHT(BJ90))={1,2,3}),CHOOSE(RIGHT(BJ90),"st","nd","rd"),"th"))</f>
        <v>th</v>
      </c>
      <c r="BL90">
        <f t="shared" si="87"/>
        <v>57</v>
      </c>
      <c r="BM90" t="str">
        <f>IF(OR(VALUE(RIGHT(BL90,5))={11,12,13}),"th",IF(OR(VALUE(RIGHT(BL90))={1,2,3}),CHOOSE(RIGHT(BL90),"st","nd","rd"),"th"))</f>
        <v>th</v>
      </c>
      <c r="BO90" s="30">
        <f t="shared" si="88"/>
        <v>0</v>
      </c>
      <c r="BP90">
        <f t="shared" si="89"/>
        <v>57</v>
      </c>
      <c r="BQ90" t="str">
        <f>IF(OR(VALUE(RIGHT(BP90,5))={11,12,13}),"th",IF(OR(VALUE(RIGHT(BP90))={1,2,3}),CHOOSE(RIGHT(BP90),"st","nd","rd"),"th"))</f>
        <v>th</v>
      </c>
      <c r="BS90" s="27">
        <f>ClassScore!M90</f>
        <v>0</v>
      </c>
      <c r="BT90" s="27">
        <f>ClassScore!N90</f>
        <v>0</v>
      </c>
      <c r="BU90" s="27">
        <f>ClassScore!O90</f>
        <v>0</v>
      </c>
      <c r="BV90" s="27">
        <f>ClassScore!P90</f>
        <v>0</v>
      </c>
      <c r="BW90" s="27">
        <f>ClassScore!Q90</f>
        <v>0</v>
      </c>
      <c r="BX90" s="27">
        <f>ClassScore!R90</f>
        <v>0</v>
      </c>
      <c r="BY90" s="27">
        <f>ClassScore!S90</f>
        <v>0</v>
      </c>
      <c r="BZ90" s="27">
        <f>ClassScore!T90</f>
        <v>0</v>
      </c>
      <c r="CA90" s="27">
        <f>ClassScore!U90</f>
        <v>0</v>
      </c>
      <c r="CB90" s="27">
        <f>ClassScore!V90</f>
        <v>0</v>
      </c>
      <c r="CD90" s="27">
        <f>Examscore!M90</f>
        <v>0</v>
      </c>
      <c r="CE90" s="27">
        <f>Examscore!N90</f>
        <v>0</v>
      </c>
      <c r="CF90" s="27">
        <f>Examscore!O90</f>
        <v>0</v>
      </c>
      <c r="CG90" s="27">
        <f>Examscore!P90</f>
        <v>0</v>
      </c>
      <c r="CH90" s="27">
        <f>Examscore!Q90</f>
        <v>0</v>
      </c>
      <c r="CI90" s="27">
        <f>Examscore!R90</f>
        <v>0</v>
      </c>
      <c r="CJ90" s="27">
        <f>Examscore!S90</f>
        <v>0</v>
      </c>
      <c r="CK90" s="27">
        <f>Examscore!T90</f>
        <v>0</v>
      </c>
      <c r="CL90" s="27">
        <f>Examscore!U90</f>
        <v>0</v>
      </c>
      <c r="CM90" s="27">
        <f>Examscore!V90</f>
        <v>0</v>
      </c>
    </row>
    <row r="91" spans="1:91" ht="15.75" x14ac:dyDescent="0.25">
      <c r="A91" s="5">
        <f>Student!A91</f>
        <v>0</v>
      </c>
      <c r="B91" s="21">
        <f>Student!B91</f>
        <v>0</v>
      </c>
      <c r="C91" s="28">
        <f>ClassScore!M91+Examscore!M91</f>
        <v>0</v>
      </c>
      <c r="D91" s="28">
        <f>ClassScore!N91+Examscore!N91</f>
        <v>0</v>
      </c>
      <c r="E91" s="28">
        <f>ClassScore!O91+Examscore!O91</f>
        <v>0</v>
      </c>
      <c r="F91" s="28">
        <f>ClassScore!P91+Examscore!P91</f>
        <v>0</v>
      </c>
      <c r="G91" s="28">
        <f>ClassScore!Q91+Examscore!Q91</f>
        <v>0</v>
      </c>
      <c r="H91" s="28">
        <f>ClassScore!R91+Examscore!R91</f>
        <v>0</v>
      </c>
      <c r="I91" s="28">
        <f>ClassScore!S91+Examscore!S91</f>
        <v>0</v>
      </c>
      <c r="J91" s="28">
        <f>ClassScore!T91+Examscore!T91</f>
        <v>0</v>
      </c>
      <c r="K91" s="28">
        <f>ClassScore!U91+Examscore!U91</f>
        <v>0</v>
      </c>
      <c r="L91" s="28">
        <f>ClassScore!V91+Examscore!V91</f>
        <v>0</v>
      </c>
      <c r="M91" s="5" t="str">
        <f t="shared" si="57"/>
        <v>--</v>
      </c>
      <c r="N91" s="5" t="str">
        <f t="shared" si="58"/>
        <v>--</v>
      </c>
      <c r="O91" s="5" t="str">
        <f t="shared" si="59"/>
        <v>--</v>
      </c>
      <c r="P91" s="5" t="str">
        <f t="shared" si="60"/>
        <v>--</v>
      </c>
      <c r="Q91" s="5" t="str">
        <f t="shared" si="61"/>
        <v>--</v>
      </c>
      <c r="R91" s="5" t="str">
        <f t="shared" si="62"/>
        <v>--</v>
      </c>
      <c r="S91" s="5" t="str">
        <f t="shared" si="63"/>
        <v>--</v>
      </c>
      <c r="T91" s="5" t="str">
        <f t="shared" si="64"/>
        <v>--</v>
      </c>
      <c r="U91" s="5" t="str">
        <f t="shared" si="65"/>
        <v>--</v>
      </c>
      <c r="V91" s="5" t="str">
        <f t="shared" si="66"/>
        <v>--</v>
      </c>
      <c r="W91" s="5" t="str">
        <f t="shared" si="67"/>
        <v>--</v>
      </c>
      <c r="X91" s="5" t="str">
        <f t="shared" si="68"/>
        <v>--</v>
      </c>
      <c r="Y91" s="5" t="str">
        <f t="shared" si="69"/>
        <v>--</v>
      </c>
      <c r="Z91" s="5" t="str">
        <f t="shared" si="70"/>
        <v>--</v>
      </c>
      <c r="AA91" s="5" t="str">
        <f t="shared" si="71"/>
        <v>--</v>
      </c>
      <c r="AB91" s="5" t="str">
        <f t="shared" si="72"/>
        <v>--</v>
      </c>
      <c r="AC91" s="5" t="str">
        <f t="shared" si="73"/>
        <v>--</v>
      </c>
      <c r="AD91" s="5" t="str">
        <f t="shared" si="74"/>
        <v>--</v>
      </c>
      <c r="AE91" s="5" t="str">
        <f t="shared" si="75"/>
        <v>--</v>
      </c>
      <c r="AF91" s="5" t="str">
        <f t="shared" si="76"/>
        <v>--</v>
      </c>
      <c r="AG91" s="34">
        <f>SUM(C91,D91,F91,G91)+LARGE((E91,H91,I91,J91,K91,L91),1)+LARGE((E91,H91,I91,J91,K91,L91),2)</f>
        <v>0</v>
      </c>
      <c r="AH91" s="5" t="e">
        <f>SUM(W91,X91,Z91,AA91)+SMALL((Y91,AB91,AC91,AD91,AE91,AF91),1)+SMALL((Y91,AB91,AC91,AD91,AE91,AF91),2)</f>
        <v>#NUM!</v>
      </c>
      <c r="AI91" s="15">
        <f>'Teacher''s Remarks'!M92</f>
        <v>0</v>
      </c>
      <c r="AJ91" s="15">
        <f>'Teacher''s Remarks'!N92</f>
        <v>0</v>
      </c>
      <c r="AK91" s="15">
        <f>'Teacher''s Remarks'!O92</f>
        <v>0</v>
      </c>
      <c r="AL91" s="15">
        <f>'Teacher''s Remarks'!P92</f>
        <v>0</v>
      </c>
      <c r="AM91" s="13">
        <f t="shared" si="56"/>
        <v>0</v>
      </c>
      <c r="AN91" s="14">
        <f>Attendance!B91</f>
        <v>0</v>
      </c>
      <c r="AO91" s="15"/>
      <c r="AP91" s="15"/>
      <c r="AQ91" s="22">
        <f t="shared" ca="1" si="77"/>
        <v>45764</v>
      </c>
      <c r="AR91" s="15"/>
      <c r="AT91" s="12">
        <f t="shared" si="78"/>
        <v>56</v>
      </c>
      <c r="AU91" t="str">
        <f>IF(OR(VALUE(RIGHT(AT91,5))={11,12,13}),"th",IF(OR(VALUE(RIGHT(AT91))={1,2,3}),CHOOSE(RIGHT(AT91),"st","nd","rd"),"th"))</f>
        <v>th</v>
      </c>
      <c r="AV91">
        <f t="shared" si="79"/>
        <v>56</v>
      </c>
      <c r="AW91" t="str">
        <f>IF(OR(VALUE(RIGHT(AV91,5))={11,12,13}),"th",IF(OR(VALUE(RIGHT(AV91))={1,2,3}),CHOOSE(RIGHT(AV91),"st","nd","rd"),"th"))</f>
        <v>th</v>
      </c>
      <c r="AX91">
        <f t="shared" si="80"/>
        <v>56</v>
      </c>
      <c r="AY91" t="str">
        <f>IF(OR(VALUE(RIGHT(AX91,5))={11,12,13}),"th",IF(OR(VALUE(RIGHT(AX91))={1,2,3}),CHOOSE(RIGHT(AX91),"st","nd","rd"),"th"))</f>
        <v>th</v>
      </c>
      <c r="AZ91">
        <f t="shared" si="81"/>
        <v>56</v>
      </c>
      <c r="BA91" t="str">
        <f>IF(OR(VALUE(RIGHT(AZ91,5))={11,12,13}),"th",IF(OR(VALUE(RIGHT(AZ91))={1,2,3}),CHOOSE(RIGHT(AZ91),"st","nd","rd"),"th"))</f>
        <v>th</v>
      </c>
      <c r="BB91">
        <f t="shared" si="82"/>
        <v>56</v>
      </c>
      <c r="BC91" t="str">
        <f>IF(OR(VALUE(RIGHT(BB91,5))={11,12,13}),"th",IF(OR(VALUE(RIGHT(BB91))={1,2,3}),CHOOSE(RIGHT(BB91),"st","nd","rd"),"th"))</f>
        <v>th</v>
      </c>
      <c r="BD91">
        <f t="shared" si="83"/>
        <v>56</v>
      </c>
      <c r="BE91" t="str">
        <f>IF(OR(VALUE(RIGHT(BD91,5))={11,12,13}),"th",IF(OR(VALUE(RIGHT(BD91))={1,2,3}),CHOOSE(RIGHT(BD91),"st","nd","rd"),"th"))</f>
        <v>th</v>
      </c>
      <c r="BF91">
        <f t="shared" si="84"/>
        <v>56</v>
      </c>
      <c r="BG91" t="str">
        <f>IF(OR(VALUE(RIGHT(BF91,5))={11,12,13}),"th",IF(OR(VALUE(RIGHT(BF91))={1,2,3}),CHOOSE(RIGHT(BF91),"st","nd","rd"),"th"))</f>
        <v>th</v>
      </c>
      <c r="BH91">
        <f t="shared" si="85"/>
        <v>56</v>
      </c>
      <c r="BI91" t="str">
        <f>IF(OR(VALUE(RIGHT(BH91,5))={11,12,13}),"th",IF(OR(VALUE(RIGHT(BH91))={1,2,3}),CHOOSE(RIGHT(BH91),"st","nd","rd"),"th"))</f>
        <v>th</v>
      </c>
      <c r="BJ91">
        <f t="shared" si="86"/>
        <v>56</v>
      </c>
      <c r="BK91" t="str" cm="1">
        <f t="array" ref="BK91">IF(OR(VALUE(RIGHT(BJ91,5))={11,12,13}),"th",IF(OR(VALUE(RIGHT(BJ91))={1,2,3}),CHOOSE(RIGHT(BJ91),"st","nd","rd"),"th"))</f>
        <v>th</v>
      </c>
      <c r="BL91">
        <f t="shared" si="87"/>
        <v>57</v>
      </c>
      <c r="BM91" t="str">
        <f>IF(OR(VALUE(RIGHT(BL91,5))={11,12,13}),"th",IF(OR(VALUE(RIGHT(BL91))={1,2,3}),CHOOSE(RIGHT(BL91),"st","nd","rd"),"th"))</f>
        <v>th</v>
      </c>
      <c r="BO91" s="30">
        <f t="shared" si="88"/>
        <v>0</v>
      </c>
      <c r="BP91">
        <f t="shared" si="89"/>
        <v>57</v>
      </c>
      <c r="BQ91" t="str">
        <f>IF(OR(VALUE(RIGHT(BP91,5))={11,12,13}),"th",IF(OR(VALUE(RIGHT(BP91))={1,2,3}),CHOOSE(RIGHT(BP91),"st","nd","rd"),"th"))</f>
        <v>th</v>
      </c>
      <c r="BS91" s="27">
        <f>ClassScore!M91</f>
        <v>0</v>
      </c>
      <c r="BT91" s="27">
        <f>ClassScore!N91</f>
        <v>0</v>
      </c>
      <c r="BU91" s="27">
        <f>ClassScore!O91</f>
        <v>0</v>
      </c>
      <c r="BV91" s="27">
        <f>ClassScore!P91</f>
        <v>0</v>
      </c>
      <c r="BW91" s="27">
        <f>ClassScore!Q91</f>
        <v>0</v>
      </c>
      <c r="BX91" s="27">
        <f>ClassScore!R91</f>
        <v>0</v>
      </c>
      <c r="BY91" s="27">
        <f>ClassScore!S91</f>
        <v>0</v>
      </c>
      <c r="BZ91" s="27">
        <f>ClassScore!T91</f>
        <v>0</v>
      </c>
      <c r="CA91" s="27">
        <f>ClassScore!U91</f>
        <v>0</v>
      </c>
      <c r="CB91" s="27">
        <f>ClassScore!V91</f>
        <v>0</v>
      </c>
      <c r="CD91" s="27">
        <f>Examscore!M91</f>
        <v>0</v>
      </c>
      <c r="CE91" s="27">
        <f>Examscore!N91</f>
        <v>0</v>
      </c>
      <c r="CF91" s="27">
        <f>Examscore!O91</f>
        <v>0</v>
      </c>
      <c r="CG91" s="27">
        <f>Examscore!P91</f>
        <v>0</v>
      </c>
      <c r="CH91" s="27">
        <f>Examscore!Q91</f>
        <v>0</v>
      </c>
      <c r="CI91" s="27">
        <f>Examscore!R91</f>
        <v>0</v>
      </c>
      <c r="CJ91" s="27">
        <f>Examscore!S91</f>
        <v>0</v>
      </c>
      <c r="CK91" s="27">
        <f>Examscore!T91</f>
        <v>0</v>
      </c>
      <c r="CL91" s="27">
        <f>Examscore!U91</f>
        <v>0</v>
      </c>
      <c r="CM91" s="27">
        <f>Examscore!V91</f>
        <v>0</v>
      </c>
    </row>
    <row r="92" spans="1:91" ht="15.75" x14ac:dyDescent="0.25">
      <c r="A92" s="5">
        <f>Student!A92</f>
        <v>0</v>
      </c>
      <c r="B92" s="21">
        <f>Student!B92</f>
        <v>0</v>
      </c>
      <c r="C92" s="28">
        <f>ClassScore!M92+Examscore!M92</f>
        <v>0</v>
      </c>
      <c r="D92" s="28">
        <f>ClassScore!N92+Examscore!N92</f>
        <v>0</v>
      </c>
      <c r="E92" s="28">
        <f>ClassScore!O92+Examscore!O92</f>
        <v>0</v>
      </c>
      <c r="F92" s="28">
        <f>ClassScore!P92+Examscore!P92</f>
        <v>0</v>
      </c>
      <c r="G92" s="28">
        <f>ClassScore!Q92+Examscore!Q92</f>
        <v>0</v>
      </c>
      <c r="H92" s="28">
        <f>ClassScore!R92+Examscore!R92</f>
        <v>0</v>
      </c>
      <c r="I92" s="28">
        <f>ClassScore!S92+Examscore!S92</f>
        <v>0</v>
      </c>
      <c r="J92" s="28">
        <f>ClassScore!T92+Examscore!T92</f>
        <v>0</v>
      </c>
      <c r="K92" s="28">
        <f>ClassScore!U92+Examscore!U92</f>
        <v>0</v>
      </c>
      <c r="L92" s="28">
        <f>ClassScore!V92+Examscore!V92</f>
        <v>0</v>
      </c>
      <c r="M92" s="5" t="str">
        <f t="shared" si="57"/>
        <v>--</v>
      </c>
      <c r="N92" s="5" t="str">
        <f t="shared" si="58"/>
        <v>--</v>
      </c>
      <c r="O92" s="5" t="str">
        <f t="shared" si="59"/>
        <v>--</v>
      </c>
      <c r="P92" s="5" t="str">
        <f t="shared" si="60"/>
        <v>--</v>
      </c>
      <c r="Q92" s="5" t="str">
        <f t="shared" si="61"/>
        <v>--</v>
      </c>
      <c r="R92" s="5" t="str">
        <f t="shared" si="62"/>
        <v>--</v>
      </c>
      <c r="S92" s="5" t="str">
        <f t="shared" si="63"/>
        <v>--</v>
      </c>
      <c r="T92" s="5" t="str">
        <f t="shared" si="64"/>
        <v>--</v>
      </c>
      <c r="U92" s="5" t="str">
        <f t="shared" si="65"/>
        <v>--</v>
      </c>
      <c r="V92" s="5" t="str">
        <f t="shared" si="66"/>
        <v>--</v>
      </c>
      <c r="W92" s="5" t="str">
        <f t="shared" si="67"/>
        <v>--</v>
      </c>
      <c r="X92" s="5" t="str">
        <f t="shared" si="68"/>
        <v>--</v>
      </c>
      <c r="Y92" s="5" t="str">
        <f t="shared" si="69"/>
        <v>--</v>
      </c>
      <c r="Z92" s="5" t="str">
        <f t="shared" si="70"/>
        <v>--</v>
      </c>
      <c r="AA92" s="5" t="str">
        <f t="shared" si="71"/>
        <v>--</v>
      </c>
      <c r="AB92" s="5" t="str">
        <f t="shared" si="72"/>
        <v>--</v>
      </c>
      <c r="AC92" s="5" t="str">
        <f t="shared" si="73"/>
        <v>--</v>
      </c>
      <c r="AD92" s="5" t="str">
        <f t="shared" si="74"/>
        <v>--</v>
      </c>
      <c r="AE92" s="5" t="str">
        <f t="shared" si="75"/>
        <v>--</v>
      </c>
      <c r="AF92" s="5" t="str">
        <f t="shared" si="76"/>
        <v>--</v>
      </c>
      <c r="AG92" s="34">
        <f>SUM(C92,D92,F92,G92)+LARGE((E92,H92,I92,J92,K92,L92),1)+LARGE((E92,H92,I92,J92,K92,L92),2)</f>
        <v>0</v>
      </c>
      <c r="AH92" s="5" t="e">
        <f>SUM(W92,X92,Z92,AA92)+SMALL((Y92,AB92,AC92,AD92,AE92,AF92),1)+SMALL((Y92,AB92,AC92,AD92,AE92,AF92),2)</f>
        <v>#NUM!</v>
      </c>
      <c r="AI92" s="15">
        <f>'Teacher''s Remarks'!M93</f>
        <v>0</v>
      </c>
      <c r="AJ92" s="15">
        <f>'Teacher''s Remarks'!N93</f>
        <v>0</v>
      </c>
      <c r="AK92" s="15">
        <f>'Teacher''s Remarks'!O93</f>
        <v>0</v>
      </c>
      <c r="AL92" s="15">
        <f>'Teacher''s Remarks'!P93</f>
        <v>0</v>
      </c>
      <c r="AM92" s="13">
        <f t="shared" si="56"/>
        <v>0</v>
      </c>
      <c r="AN92" s="14">
        <f>Attendance!B92</f>
        <v>0</v>
      </c>
      <c r="AO92" s="15"/>
      <c r="AP92" s="15"/>
      <c r="AQ92" s="22">
        <f t="shared" ca="1" si="77"/>
        <v>45764</v>
      </c>
      <c r="AR92" s="15"/>
      <c r="AT92" s="12">
        <f t="shared" si="78"/>
        <v>56</v>
      </c>
      <c r="AU92" t="str">
        <f>IF(OR(VALUE(RIGHT(AT92,5))={11,12,13}),"th",IF(OR(VALUE(RIGHT(AT92))={1,2,3}),CHOOSE(RIGHT(AT92),"st","nd","rd"),"th"))</f>
        <v>th</v>
      </c>
      <c r="AV92">
        <f t="shared" si="79"/>
        <v>56</v>
      </c>
      <c r="AW92" t="str">
        <f>IF(OR(VALUE(RIGHT(AV92,5))={11,12,13}),"th",IF(OR(VALUE(RIGHT(AV92))={1,2,3}),CHOOSE(RIGHT(AV92),"st","nd","rd"),"th"))</f>
        <v>th</v>
      </c>
      <c r="AX92">
        <f t="shared" si="80"/>
        <v>56</v>
      </c>
      <c r="AY92" t="str">
        <f>IF(OR(VALUE(RIGHT(AX92,5))={11,12,13}),"th",IF(OR(VALUE(RIGHT(AX92))={1,2,3}),CHOOSE(RIGHT(AX92),"st","nd","rd"),"th"))</f>
        <v>th</v>
      </c>
      <c r="AZ92">
        <f t="shared" si="81"/>
        <v>56</v>
      </c>
      <c r="BA92" t="str">
        <f>IF(OR(VALUE(RIGHT(AZ92,5))={11,12,13}),"th",IF(OR(VALUE(RIGHT(AZ92))={1,2,3}),CHOOSE(RIGHT(AZ92),"st","nd","rd"),"th"))</f>
        <v>th</v>
      </c>
      <c r="BB92">
        <f t="shared" si="82"/>
        <v>56</v>
      </c>
      <c r="BC92" t="str">
        <f>IF(OR(VALUE(RIGHT(BB92,5))={11,12,13}),"th",IF(OR(VALUE(RIGHT(BB92))={1,2,3}),CHOOSE(RIGHT(BB92),"st","nd","rd"),"th"))</f>
        <v>th</v>
      </c>
      <c r="BD92">
        <f t="shared" si="83"/>
        <v>56</v>
      </c>
      <c r="BE92" t="str">
        <f>IF(OR(VALUE(RIGHT(BD92,5))={11,12,13}),"th",IF(OR(VALUE(RIGHT(BD92))={1,2,3}),CHOOSE(RIGHT(BD92),"st","nd","rd"),"th"))</f>
        <v>th</v>
      </c>
      <c r="BF92">
        <f t="shared" si="84"/>
        <v>56</v>
      </c>
      <c r="BG92" t="str">
        <f>IF(OR(VALUE(RIGHT(BF92,5))={11,12,13}),"th",IF(OR(VALUE(RIGHT(BF92))={1,2,3}),CHOOSE(RIGHT(BF92),"st","nd","rd"),"th"))</f>
        <v>th</v>
      </c>
      <c r="BH92">
        <f t="shared" si="85"/>
        <v>56</v>
      </c>
      <c r="BI92" t="str">
        <f>IF(OR(VALUE(RIGHT(BH92,5))={11,12,13}),"th",IF(OR(VALUE(RIGHT(BH92))={1,2,3}),CHOOSE(RIGHT(BH92),"st","nd","rd"),"th"))</f>
        <v>th</v>
      </c>
      <c r="BJ92">
        <f t="shared" si="86"/>
        <v>56</v>
      </c>
      <c r="BK92" t="str" cm="1">
        <f t="array" ref="BK92">IF(OR(VALUE(RIGHT(BJ92,5))={11,12,13}),"th",IF(OR(VALUE(RIGHT(BJ92))={1,2,3}),CHOOSE(RIGHT(BJ92),"st","nd","rd"),"th"))</f>
        <v>th</v>
      </c>
      <c r="BL92">
        <f t="shared" si="87"/>
        <v>57</v>
      </c>
      <c r="BM92" t="str">
        <f>IF(OR(VALUE(RIGHT(BL92,5))={11,12,13}),"th",IF(OR(VALUE(RIGHT(BL92))={1,2,3}),CHOOSE(RIGHT(BL92),"st","nd","rd"),"th"))</f>
        <v>th</v>
      </c>
      <c r="BO92" s="30">
        <f t="shared" si="88"/>
        <v>0</v>
      </c>
      <c r="BP92">
        <f t="shared" si="89"/>
        <v>57</v>
      </c>
      <c r="BQ92" t="str">
        <f>IF(OR(VALUE(RIGHT(BP92,5))={11,12,13}),"th",IF(OR(VALUE(RIGHT(BP92))={1,2,3}),CHOOSE(RIGHT(BP92),"st","nd","rd"),"th"))</f>
        <v>th</v>
      </c>
      <c r="BS92" s="27">
        <f>ClassScore!M92</f>
        <v>0</v>
      </c>
      <c r="BT92" s="27">
        <f>ClassScore!N92</f>
        <v>0</v>
      </c>
      <c r="BU92" s="27">
        <f>ClassScore!O92</f>
        <v>0</v>
      </c>
      <c r="BV92" s="27">
        <f>ClassScore!P92</f>
        <v>0</v>
      </c>
      <c r="BW92" s="27">
        <f>ClassScore!Q92</f>
        <v>0</v>
      </c>
      <c r="BX92" s="27">
        <f>ClassScore!R92</f>
        <v>0</v>
      </c>
      <c r="BY92" s="27">
        <f>ClassScore!S92</f>
        <v>0</v>
      </c>
      <c r="BZ92" s="27">
        <f>ClassScore!T92</f>
        <v>0</v>
      </c>
      <c r="CA92" s="27">
        <f>ClassScore!U92</f>
        <v>0</v>
      </c>
      <c r="CB92" s="27">
        <f>ClassScore!V92</f>
        <v>0</v>
      </c>
      <c r="CD92" s="27">
        <f>Examscore!M92</f>
        <v>0</v>
      </c>
      <c r="CE92" s="27">
        <f>Examscore!N92</f>
        <v>0</v>
      </c>
      <c r="CF92" s="27">
        <f>Examscore!O92</f>
        <v>0</v>
      </c>
      <c r="CG92" s="27">
        <f>Examscore!P92</f>
        <v>0</v>
      </c>
      <c r="CH92" s="27">
        <f>Examscore!Q92</f>
        <v>0</v>
      </c>
      <c r="CI92" s="27">
        <f>Examscore!R92</f>
        <v>0</v>
      </c>
      <c r="CJ92" s="27">
        <f>Examscore!S92</f>
        <v>0</v>
      </c>
      <c r="CK92" s="27">
        <f>Examscore!T92</f>
        <v>0</v>
      </c>
      <c r="CL92" s="27">
        <f>Examscore!U92</f>
        <v>0</v>
      </c>
      <c r="CM92" s="27">
        <f>Examscore!V92</f>
        <v>0</v>
      </c>
    </row>
    <row r="93" spans="1:91" ht="15.75" x14ac:dyDescent="0.25">
      <c r="A93" s="5">
        <f>Student!A93</f>
        <v>0</v>
      </c>
      <c r="B93" s="21">
        <f>Student!B93</f>
        <v>0</v>
      </c>
      <c r="C93" s="28">
        <f>ClassScore!M93+Examscore!M93</f>
        <v>0</v>
      </c>
      <c r="D93" s="28">
        <f>ClassScore!N93+Examscore!N93</f>
        <v>0</v>
      </c>
      <c r="E93" s="28">
        <f>ClassScore!O93+Examscore!O93</f>
        <v>0</v>
      </c>
      <c r="F93" s="28">
        <f>ClassScore!P93+Examscore!P93</f>
        <v>0</v>
      </c>
      <c r="G93" s="28">
        <f>ClassScore!Q93+Examscore!Q93</f>
        <v>0</v>
      </c>
      <c r="H93" s="28">
        <f>ClassScore!R93+Examscore!R93</f>
        <v>0</v>
      </c>
      <c r="I93" s="28">
        <f>ClassScore!S93+Examscore!S93</f>
        <v>0</v>
      </c>
      <c r="J93" s="28">
        <f>ClassScore!T93+Examscore!T93</f>
        <v>0</v>
      </c>
      <c r="K93" s="28">
        <f>ClassScore!U93+Examscore!U93</f>
        <v>0</v>
      </c>
      <c r="L93" s="28">
        <f>ClassScore!V93+Examscore!V93</f>
        <v>0</v>
      </c>
      <c r="M93" s="5" t="str">
        <f t="shared" si="57"/>
        <v>--</v>
      </c>
      <c r="N93" s="5" t="str">
        <f t="shared" si="58"/>
        <v>--</v>
      </c>
      <c r="O93" s="5" t="str">
        <f t="shared" si="59"/>
        <v>--</v>
      </c>
      <c r="P93" s="5" t="str">
        <f t="shared" si="60"/>
        <v>--</v>
      </c>
      <c r="Q93" s="5" t="str">
        <f t="shared" si="61"/>
        <v>--</v>
      </c>
      <c r="R93" s="5" t="str">
        <f t="shared" si="62"/>
        <v>--</v>
      </c>
      <c r="S93" s="5" t="str">
        <f t="shared" si="63"/>
        <v>--</v>
      </c>
      <c r="T93" s="5" t="str">
        <f t="shared" si="64"/>
        <v>--</v>
      </c>
      <c r="U93" s="5" t="str">
        <f t="shared" si="65"/>
        <v>--</v>
      </c>
      <c r="V93" s="5" t="str">
        <f t="shared" si="66"/>
        <v>--</v>
      </c>
      <c r="W93" s="5" t="str">
        <f t="shared" si="67"/>
        <v>--</v>
      </c>
      <c r="X93" s="5" t="str">
        <f t="shared" si="68"/>
        <v>--</v>
      </c>
      <c r="Y93" s="5" t="str">
        <f t="shared" si="69"/>
        <v>--</v>
      </c>
      <c r="Z93" s="5" t="str">
        <f t="shared" si="70"/>
        <v>--</v>
      </c>
      <c r="AA93" s="5" t="str">
        <f t="shared" si="71"/>
        <v>--</v>
      </c>
      <c r="AB93" s="5" t="str">
        <f t="shared" si="72"/>
        <v>--</v>
      </c>
      <c r="AC93" s="5" t="str">
        <f t="shared" si="73"/>
        <v>--</v>
      </c>
      <c r="AD93" s="5" t="str">
        <f t="shared" si="74"/>
        <v>--</v>
      </c>
      <c r="AE93" s="5" t="str">
        <f t="shared" si="75"/>
        <v>--</v>
      </c>
      <c r="AF93" s="5" t="str">
        <f t="shared" si="76"/>
        <v>--</v>
      </c>
      <c r="AG93" s="34">
        <f>SUM(C93,D93,F93,G93)+LARGE((E93,H93,I93,J93,K93,L93),1)+LARGE((E93,H93,I93,J93,K93,L93),2)</f>
        <v>0</v>
      </c>
      <c r="AH93" s="5" t="e">
        <f>SUM(W93,X93,Z93,AA93)+SMALL((Y93,AB93,AC93,AD93,AE93,AF93),1)+SMALL((Y93,AB93,AC93,AD93,AE93,AF93),2)</f>
        <v>#NUM!</v>
      </c>
      <c r="AI93" s="15">
        <f>'Teacher''s Remarks'!M94</f>
        <v>0</v>
      </c>
      <c r="AJ93" s="15">
        <f>'Teacher''s Remarks'!N94</f>
        <v>0</v>
      </c>
      <c r="AK93" s="15">
        <f>'Teacher''s Remarks'!O94</f>
        <v>0</v>
      </c>
      <c r="AL93" s="15">
        <f>'Teacher''s Remarks'!P94</f>
        <v>0</v>
      </c>
      <c r="AM93" s="13">
        <f t="shared" si="56"/>
        <v>0</v>
      </c>
      <c r="AN93" s="14">
        <f>Attendance!B93</f>
        <v>0</v>
      </c>
      <c r="AO93" s="15"/>
      <c r="AP93" s="15"/>
      <c r="AQ93" s="22">
        <f t="shared" ca="1" si="77"/>
        <v>45764</v>
      </c>
      <c r="AR93" s="15"/>
      <c r="AT93" s="12">
        <f t="shared" si="78"/>
        <v>56</v>
      </c>
      <c r="AU93" t="str">
        <f>IF(OR(VALUE(RIGHT(AT93,5))={11,12,13}),"th",IF(OR(VALUE(RIGHT(AT93))={1,2,3}),CHOOSE(RIGHT(AT93),"st","nd","rd"),"th"))</f>
        <v>th</v>
      </c>
      <c r="AV93">
        <f t="shared" si="79"/>
        <v>56</v>
      </c>
      <c r="AW93" t="str">
        <f>IF(OR(VALUE(RIGHT(AV93,5))={11,12,13}),"th",IF(OR(VALUE(RIGHT(AV93))={1,2,3}),CHOOSE(RIGHT(AV93),"st","nd","rd"),"th"))</f>
        <v>th</v>
      </c>
      <c r="AX93">
        <f t="shared" si="80"/>
        <v>56</v>
      </c>
      <c r="AY93" t="str">
        <f>IF(OR(VALUE(RIGHT(AX93,5))={11,12,13}),"th",IF(OR(VALUE(RIGHT(AX93))={1,2,3}),CHOOSE(RIGHT(AX93),"st","nd","rd"),"th"))</f>
        <v>th</v>
      </c>
      <c r="AZ93">
        <f t="shared" si="81"/>
        <v>56</v>
      </c>
      <c r="BA93" t="str">
        <f>IF(OR(VALUE(RIGHT(AZ93,5))={11,12,13}),"th",IF(OR(VALUE(RIGHT(AZ93))={1,2,3}),CHOOSE(RIGHT(AZ93),"st","nd","rd"),"th"))</f>
        <v>th</v>
      </c>
      <c r="BB93">
        <f t="shared" si="82"/>
        <v>56</v>
      </c>
      <c r="BC93" t="str">
        <f>IF(OR(VALUE(RIGHT(BB93,5))={11,12,13}),"th",IF(OR(VALUE(RIGHT(BB93))={1,2,3}),CHOOSE(RIGHT(BB93),"st","nd","rd"),"th"))</f>
        <v>th</v>
      </c>
      <c r="BD93">
        <f t="shared" si="83"/>
        <v>56</v>
      </c>
      <c r="BE93" t="str">
        <f>IF(OR(VALUE(RIGHT(BD93,5))={11,12,13}),"th",IF(OR(VALUE(RIGHT(BD93))={1,2,3}),CHOOSE(RIGHT(BD93),"st","nd","rd"),"th"))</f>
        <v>th</v>
      </c>
      <c r="BF93">
        <f t="shared" si="84"/>
        <v>56</v>
      </c>
      <c r="BG93" t="str">
        <f>IF(OR(VALUE(RIGHT(BF93,5))={11,12,13}),"th",IF(OR(VALUE(RIGHT(BF93))={1,2,3}),CHOOSE(RIGHT(BF93),"st","nd","rd"),"th"))</f>
        <v>th</v>
      </c>
      <c r="BH93">
        <f t="shared" si="85"/>
        <v>56</v>
      </c>
      <c r="BI93" t="str">
        <f>IF(OR(VALUE(RIGHT(BH93,5))={11,12,13}),"th",IF(OR(VALUE(RIGHT(BH93))={1,2,3}),CHOOSE(RIGHT(BH93),"st","nd","rd"),"th"))</f>
        <v>th</v>
      </c>
      <c r="BJ93">
        <f t="shared" si="86"/>
        <v>56</v>
      </c>
      <c r="BK93" t="str" cm="1">
        <f t="array" ref="BK93">IF(OR(VALUE(RIGHT(BJ93,5))={11,12,13}),"th",IF(OR(VALUE(RIGHT(BJ93))={1,2,3}),CHOOSE(RIGHT(BJ93),"st","nd","rd"),"th"))</f>
        <v>th</v>
      </c>
      <c r="BL93">
        <f t="shared" si="87"/>
        <v>57</v>
      </c>
      <c r="BM93" t="str">
        <f>IF(OR(VALUE(RIGHT(BL93,5))={11,12,13}),"th",IF(OR(VALUE(RIGHT(BL93))={1,2,3}),CHOOSE(RIGHT(BL93),"st","nd","rd"),"th"))</f>
        <v>th</v>
      </c>
      <c r="BO93" s="30">
        <f t="shared" si="88"/>
        <v>0</v>
      </c>
      <c r="BP93">
        <f t="shared" si="89"/>
        <v>57</v>
      </c>
      <c r="BQ93" t="str">
        <f>IF(OR(VALUE(RIGHT(BP93,5))={11,12,13}),"th",IF(OR(VALUE(RIGHT(BP93))={1,2,3}),CHOOSE(RIGHT(BP93),"st","nd","rd"),"th"))</f>
        <v>th</v>
      </c>
      <c r="BS93" s="27">
        <f>ClassScore!M93</f>
        <v>0</v>
      </c>
      <c r="BT93" s="27">
        <f>ClassScore!N93</f>
        <v>0</v>
      </c>
      <c r="BU93" s="27">
        <f>ClassScore!O93</f>
        <v>0</v>
      </c>
      <c r="BV93" s="27">
        <f>ClassScore!P93</f>
        <v>0</v>
      </c>
      <c r="BW93" s="27">
        <f>ClassScore!Q93</f>
        <v>0</v>
      </c>
      <c r="BX93" s="27">
        <f>ClassScore!R93</f>
        <v>0</v>
      </c>
      <c r="BY93" s="27">
        <f>ClassScore!S93</f>
        <v>0</v>
      </c>
      <c r="BZ93" s="27">
        <f>ClassScore!T93</f>
        <v>0</v>
      </c>
      <c r="CA93" s="27">
        <f>ClassScore!U93</f>
        <v>0</v>
      </c>
      <c r="CB93" s="27">
        <f>ClassScore!V93</f>
        <v>0</v>
      </c>
      <c r="CD93" s="27">
        <f>Examscore!M93</f>
        <v>0</v>
      </c>
      <c r="CE93" s="27">
        <f>Examscore!N93</f>
        <v>0</v>
      </c>
      <c r="CF93" s="27">
        <f>Examscore!O93</f>
        <v>0</v>
      </c>
      <c r="CG93" s="27">
        <f>Examscore!P93</f>
        <v>0</v>
      </c>
      <c r="CH93" s="27">
        <f>Examscore!Q93</f>
        <v>0</v>
      </c>
      <c r="CI93" s="27">
        <f>Examscore!R93</f>
        <v>0</v>
      </c>
      <c r="CJ93" s="27">
        <f>Examscore!S93</f>
        <v>0</v>
      </c>
      <c r="CK93" s="27">
        <f>Examscore!T93</f>
        <v>0</v>
      </c>
      <c r="CL93" s="27">
        <f>Examscore!U93</f>
        <v>0</v>
      </c>
      <c r="CM93" s="27">
        <f>Examscore!V93</f>
        <v>0</v>
      </c>
    </row>
    <row r="94" spans="1:91" ht="15.75" x14ac:dyDescent="0.25">
      <c r="A94" s="5">
        <f>Student!A94</f>
        <v>0</v>
      </c>
      <c r="B94" s="21">
        <f>Student!B94</f>
        <v>0</v>
      </c>
      <c r="C94" s="28">
        <f>ClassScore!M94+Examscore!M94</f>
        <v>0</v>
      </c>
      <c r="D94" s="28">
        <f>ClassScore!N94+Examscore!N94</f>
        <v>0</v>
      </c>
      <c r="E94" s="28">
        <f>ClassScore!O94+Examscore!O94</f>
        <v>0</v>
      </c>
      <c r="F94" s="28">
        <f>ClassScore!P94+Examscore!P94</f>
        <v>0</v>
      </c>
      <c r="G94" s="28">
        <f>ClassScore!Q94+Examscore!Q94</f>
        <v>0</v>
      </c>
      <c r="H94" s="28">
        <f>ClassScore!R94+Examscore!R94</f>
        <v>0</v>
      </c>
      <c r="I94" s="28">
        <f>ClassScore!S94+Examscore!S94</f>
        <v>0</v>
      </c>
      <c r="J94" s="28">
        <f>ClassScore!T94+Examscore!T94</f>
        <v>0</v>
      </c>
      <c r="K94" s="28">
        <f>ClassScore!U94+Examscore!U94</f>
        <v>0</v>
      </c>
      <c r="L94" s="28">
        <f>ClassScore!V94+Examscore!V94</f>
        <v>0</v>
      </c>
      <c r="M94" s="5" t="str">
        <f t="shared" si="57"/>
        <v>--</v>
      </c>
      <c r="N94" s="5" t="str">
        <f t="shared" si="58"/>
        <v>--</v>
      </c>
      <c r="O94" s="5" t="str">
        <f t="shared" si="59"/>
        <v>--</v>
      </c>
      <c r="P94" s="5" t="str">
        <f t="shared" si="60"/>
        <v>--</v>
      </c>
      <c r="Q94" s="5" t="str">
        <f t="shared" si="61"/>
        <v>--</v>
      </c>
      <c r="R94" s="5" t="str">
        <f t="shared" si="62"/>
        <v>--</v>
      </c>
      <c r="S94" s="5" t="str">
        <f t="shared" si="63"/>
        <v>--</v>
      </c>
      <c r="T94" s="5" t="str">
        <f t="shared" si="64"/>
        <v>--</v>
      </c>
      <c r="U94" s="5" t="str">
        <f t="shared" si="65"/>
        <v>--</v>
      </c>
      <c r="V94" s="5" t="str">
        <f t="shared" si="66"/>
        <v>--</v>
      </c>
      <c r="W94" s="5" t="str">
        <f t="shared" si="67"/>
        <v>--</v>
      </c>
      <c r="X94" s="5" t="str">
        <f t="shared" si="68"/>
        <v>--</v>
      </c>
      <c r="Y94" s="5" t="str">
        <f t="shared" si="69"/>
        <v>--</v>
      </c>
      <c r="Z94" s="5" t="str">
        <f t="shared" si="70"/>
        <v>--</v>
      </c>
      <c r="AA94" s="5" t="str">
        <f t="shared" si="71"/>
        <v>--</v>
      </c>
      <c r="AB94" s="5" t="str">
        <f t="shared" si="72"/>
        <v>--</v>
      </c>
      <c r="AC94" s="5" t="str">
        <f t="shared" si="73"/>
        <v>--</v>
      </c>
      <c r="AD94" s="5" t="str">
        <f t="shared" si="74"/>
        <v>--</v>
      </c>
      <c r="AE94" s="5" t="str">
        <f t="shared" si="75"/>
        <v>--</v>
      </c>
      <c r="AF94" s="5" t="str">
        <f t="shared" si="76"/>
        <v>--</v>
      </c>
      <c r="AG94" s="34">
        <f>SUM(C94,D94,F94,G94)+LARGE((E94,H94,I94,J94,K94,L94),1)+LARGE((E94,H94,I94,J94,K94,L94),2)</f>
        <v>0</v>
      </c>
      <c r="AH94" s="5" t="e">
        <f>SUM(W94,X94,Z94,AA94)+SMALL((Y94,AB94,AC94,AD94,AE94,AF94),1)+SMALL((Y94,AB94,AC94,AD94,AE94,AF94),2)</f>
        <v>#NUM!</v>
      </c>
      <c r="AI94" s="15">
        <f>'Teacher''s Remarks'!M95</f>
        <v>0</v>
      </c>
      <c r="AJ94" s="15">
        <f>'Teacher''s Remarks'!N95</f>
        <v>0</v>
      </c>
      <c r="AK94" s="15">
        <f>'Teacher''s Remarks'!O95</f>
        <v>0</v>
      </c>
      <c r="AL94" s="15">
        <f>'Teacher''s Remarks'!P95</f>
        <v>0</v>
      </c>
      <c r="AM94" s="13">
        <f t="shared" si="56"/>
        <v>0</v>
      </c>
      <c r="AN94" s="14">
        <f>Attendance!B94</f>
        <v>0</v>
      </c>
      <c r="AO94" s="15"/>
      <c r="AP94" s="15"/>
      <c r="AQ94" s="22">
        <f t="shared" ca="1" si="77"/>
        <v>45764</v>
      </c>
      <c r="AR94" s="15"/>
      <c r="AT94" s="12">
        <f t="shared" si="78"/>
        <v>56</v>
      </c>
      <c r="AU94" t="str">
        <f>IF(OR(VALUE(RIGHT(AT94,5))={11,12,13}),"th",IF(OR(VALUE(RIGHT(AT94))={1,2,3}),CHOOSE(RIGHT(AT94),"st","nd","rd"),"th"))</f>
        <v>th</v>
      </c>
      <c r="AV94">
        <f t="shared" si="79"/>
        <v>56</v>
      </c>
      <c r="AW94" t="str">
        <f>IF(OR(VALUE(RIGHT(AV94,5))={11,12,13}),"th",IF(OR(VALUE(RIGHT(AV94))={1,2,3}),CHOOSE(RIGHT(AV94),"st","nd","rd"),"th"))</f>
        <v>th</v>
      </c>
      <c r="AX94">
        <f t="shared" si="80"/>
        <v>56</v>
      </c>
      <c r="AY94" t="str">
        <f>IF(OR(VALUE(RIGHT(AX94,5))={11,12,13}),"th",IF(OR(VALUE(RIGHT(AX94))={1,2,3}),CHOOSE(RIGHT(AX94),"st","nd","rd"),"th"))</f>
        <v>th</v>
      </c>
      <c r="AZ94">
        <f t="shared" si="81"/>
        <v>56</v>
      </c>
      <c r="BA94" t="str">
        <f>IF(OR(VALUE(RIGHT(AZ94,5))={11,12,13}),"th",IF(OR(VALUE(RIGHT(AZ94))={1,2,3}),CHOOSE(RIGHT(AZ94),"st","nd","rd"),"th"))</f>
        <v>th</v>
      </c>
      <c r="BB94">
        <f t="shared" si="82"/>
        <v>56</v>
      </c>
      <c r="BC94" t="str">
        <f>IF(OR(VALUE(RIGHT(BB94,5))={11,12,13}),"th",IF(OR(VALUE(RIGHT(BB94))={1,2,3}),CHOOSE(RIGHT(BB94),"st","nd","rd"),"th"))</f>
        <v>th</v>
      </c>
      <c r="BD94">
        <f t="shared" si="83"/>
        <v>56</v>
      </c>
      <c r="BE94" t="str">
        <f>IF(OR(VALUE(RIGHT(BD94,5))={11,12,13}),"th",IF(OR(VALUE(RIGHT(BD94))={1,2,3}),CHOOSE(RIGHT(BD94),"st","nd","rd"),"th"))</f>
        <v>th</v>
      </c>
      <c r="BF94">
        <f t="shared" si="84"/>
        <v>56</v>
      </c>
      <c r="BG94" t="str">
        <f>IF(OR(VALUE(RIGHT(BF94,5))={11,12,13}),"th",IF(OR(VALUE(RIGHT(BF94))={1,2,3}),CHOOSE(RIGHT(BF94),"st","nd","rd"),"th"))</f>
        <v>th</v>
      </c>
      <c r="BH94">
        <f t="shared" si="85"/>
        <v>56</v>
      </c>
      <c r="BI94" t="str">
        <f>IF(OR(VALUE(RIGHT(BH94,5))={11,12,13}),"th",IF(OR(VALUE(RIGHT(BH94))={1,2,3}),CHOOSE(RIGHT(BH94),"st","nd","rd"),"th"))</f>
        <v>th</v>
      </c>
      <c r="BJ94">
        <f t="shared" si="86"/>
        <v>56</v>
      </c>
      <c r="BK94" t="str" cm="1">
        <f t="array" ref="BK94">IF(OR(VALUE(RIGHT(BJ94,5))={11,12,13}),"th",IF(OR(VALUE(RIGHT(BJ94))={1,2,3}),CHOOSE(RIGHT(BJ94),"st","nd","rd"),"th"))</f>
        <v>th</v>
      </c>
      <c r="BL94">
        <f t="shared" si="87"/>
        <v>57</v>
      </c>
      <c r="BM94" t="str">
        <f>IF(OR(VALUE(RIGHT(BL94,5))={11,12,13}),"th",IF(OR(VALUE(RIGHT(BL94))={1,2,3}),CHOOSE(RIGHT(BL94),"st","nd","rd"),"th"))</f>
        <v>th</v>
      </c>
      <c r="BO94" s="30">
        <f t="shared" si="88"/>
        <v>0</v>
      </c>
      <c r="BP94">
        <f t="shared" si="89"/>
        <v>57</v>
      </c>
      <c r="BQ94" t="str">
        <f>IF(OR(VALUE(RIGHT(BP94,5))={11,12,13}),"th",IF(OR(VALUE(RIGHT(BP94))={1,2,3}),CHOOSE(RIGHT(BP94),"st","nd","rd"),"th"))</f>
        <v>th</v>
      </c>
      <c r="BS94" s="27">
        <f>ClassScore!M94</f>
        <v>0</v>
      </c>
      <c r="BT94" s="27">
        <f>ClassScore!N94</f>
        <v>0</v>
      </c>
      <c r="BU94" s="27">
        <f>ClassScore!O94</f>
        <v>0</v>
      </c>
      <c r="BV94" s="27">
        <f>ClassScore!P94</f>
        <v>0</v>
      </c>
      <c r="BW94" s="27">
        <f>ClassScore!Q94</f>
        <v>0</v>
      </c>
      <c r="BX94" s="27">
        <f>ClassScore!R94</f>
        <v>0</v>
      </c>
      <c r="BY94" s="27">
        <f>ClassScore!S94</f>
        <v>0</v>
      </c>
      <c r="BZ94" s="27">
        <f>ClassScore!T94</f>
        <v>0</v>
      </c>
      <c r="CA94" s="27">
        <f>ClassScore!U94</f>
        <v>0</v>
      </c>
      <c r="CB94" s="27">
        <f>ClassScore!V94</f>
        <v>0</v>
      </c>
      <c r="CD94" s="27">
        <f>Examscore!M94</f>
        <v>0</v>
      </c>
      <c r="CE94" s="27">
        <f>Examscore!N94</f>
        <v>0</v>
      </c>
      <c r="CF94" s="27">
        <f>Examscore!O94</f>
        <v>0</v>
      </c>
      <c r="CG94" s="27">
        <f>Examscore!P94</f>
        <v>0</v>
      </c>
      <c r="CH94" s="27">
        <f>Examscore!Q94</f>
        <v>0</v>
      </c>
      <c r="CI94" s="27">
        <f>Examscore!R94</f>
        <v>0</v>
      </c>
      <c r="CJ94" s="27">
        <f>Examscore!S94</f>
        <v>0</v>
      </c>
      <c r="CK94" s="27">
        <f>Examscore!T94</f>
        <v>0</v>
      </c>
      <c r="CL94" s="27">
        <f>Examscore!U94</f>
        <v>0</v>
      </c>
      <c r="CM94" s="27">
        <f>Examscore!V94</f>
        <v>0</v>
      </c>
    </row>
    <row r="95" spans="1:91" ht="15.75" x14ac:dyDescent="0.25">
      <c r="A95" s="5">
        <f>Student!A95</f>
        <v>0</v>
      </c>
      <c r="B95" s="21">
        <f>Student!B95</f>
        <v>0</v>
      </c>
      <c r="C95" s="28">
        <f>ClassScore!M95+Examscore!M95</f>
        <v>0</v>
      </c>
      <c r="D95" s="28">
        <f>ClassScore!N95+Examscore!N95</f>
        <v>0</v>
      </c>
      <c r="E95" s="28">
        <f>ClassScore!O95+Examscore!O95</f>
        <v>0</v>
      </c>
      <c r="F95" s="28">
        <f>ClassScore!P95+Examscore!P95</f>
        <v>0</v>
      </c>
      <c r="G95" s="28">
        <f>ClassScore!Q95+Examscore!Q95</f>
        <v>0</v>
      </c>
      <c r="H95" s="28">
        <f>ClassScore!R95+Examscore!R95</f>
        <v>0</v>
      </c>
      <c r="I95" s="28">
        <f>ClassScore!S95+Examscore!S95</f>
        <v>0</v>
      </c>
      <c r="J95" s="28">
        <f>ClassScore!T95+Examscore!T95</f>
        <v>0</v>
      </c>
      <c r="K95" s="28">
        <f>ClassScore!U95+Examscore!U95</f>
        <v>0</v>
      </c>
      <c r="L95" s="28">
        <f>ClassScore!V95+Examscore!V95</f>
        <v>0</v>
      </c>
      <c r="M95" s="5" t="str">
        <f t="shared" si="57"/>
        <v>--</v>
      </c>
      <c r="N95" s="5" t="str">
        <f t="shared" si="58"/>
        <v>--</v>
      </c>
      <c r="O95" s="5" t="str">
        <f t="shared" si="59"/>
        <v>--</v>
      </c>
      <c r="P95" s="5" t="str">
        <f t="shared" si="60"/>
        <v>--</v>
      </c>
      <c r="Q95" s="5" t="str">
        <f t="shared" si="61"/>
        <v>--</v>
      </c>
      <c r="R95" s="5" t="str">
        <f t="shared" si="62"/>
        <v>--</v>
      </c>
      <c r="S95" s="5" t="str">
        <f t="shared" si="63"/>
        <v>--</v>
      </c>
      <c r="T95" s="5" t="str">
        <f t="shared" si="64"/>
        <v>--</v>
      </c>
      <c r="U95" s="5" t="str">
        <f t="shared" si="65"/>
        <v>--</v>
      </c>
      <c r="V95" s="5" t="str">
        <f t="shared" si="66"/>
        <v>--</v>
      </c>
      <c r="W95" s="5" t="str">
        <f t="shared" si="67"/>
        <v>--</v>
      </c>
      <c r="X95" s="5" t="str">
        <f t="shared" si="68"/>
        <v>--</v>
      </c>
      <c r="Y95" s="5" t="str">
        <f t="shared" si="69"/>
        <v>--</v>
      </c>
      <c r="Z95" s="5" t="str">
        <f t="shared" si="70"/>
        <v>--</v>
      </c>
      <c r="AA95" s="5" t="str">
        <f t="shared" si="71"/>
        <v>--</v>
      </c>
      <c r="AB95" s="5" t="str">
        <f t="shared" si="72"/>
        <v>--</v>
      </c>
      <c r="AC95" s="5" t="str">
        <f t="shared" si="73"/>
        <v>--</v>
      </c>
      <c r="AD95" s="5" t="str">
        <f t="shared" si="74"/>
        <v>--</v>
      </c>
      <c r="AE95" s="5" t="str">
        <f t="shared" si="75"/>
        <v>--</v>
      </c>
      <c r="AF95" s="5" t="str">
        <f t="shared" si="76"/>
        <v>--</v>
      </c>
      <c r="AG95" s="34">
        <f>SUM(C95,D95,F95,G95)+LARGE((E95,H95,I95,J95,K95,L95),1)+LARGE((E95,H95,I95,J95,K95,L95),2)</f>
        <v>0</v>
      </c>
      <c r="AH95" s="5" t="e">
        <f>SUM(W95,X95,Z95,AA95)+SMALL((Y95,AB95,AC95,AD95,AE95,AF95),1)+SMALL((Y95,AB95,AC95,AD95,AE95,AF95),2)</f>
        <v>#NUM!</v>
      </c>
      <c r="AI95" s="15">
        <f>'Teacher''s Remarks'!M96</f>
        <v>0</v>
      </c>
      <c r="AJ95" s="15">
        <f>'Teacher''s Remarks'!N96</f>
        <v>0</v>
      </c>
      <c r="AK95" s="15">
        <f>'Teacher''s Remarks'!O96</f>
        <v>0</v>
      </c>
      <c r="AL95" s="15">
        <f>'Teacher''s Remarks'!P96</f>
        <v>0</v>
      </c>
      <c r="AM95" s="13">
        <f t="shared" si="56"/>
        <v>0</v>
      </c>
      <c r="AN95" s="14">
        <f>Attendance!B95</f>
        <v>0</v>
      </c>
      <c r="AO95" s="15"/>
      <c r="AP95" s="15"/>
      <c r="AQ95" s="22">
        <f t="shared" ca="1" si="77"/>
        <v>45764</v>
      </c>
      <c r="AR95" s="15"/>
      <c r="AT95" s="12">
        <f t="shared" si="78"/>
        <v>56</v>
      </c>
      <c r="AU95" t="str">
        <f>IF(OR(VALUE(RIGHT(AT95,5))={11,12,13}),"th",IF(OR(VALUE(RIGHT(AT95))={1,2,3}),CHOOSE(RIGHT(AT95),"st","nd","rd"),"th"))</f>
        <v>th</v>
      </c>
      <c r="AV95">
        <f t="shared" si="79"/>
        <v>56</v>
      </c>
      <c r="AW95" t="str">
        <f>IF(OR(VALUE(RIGHT(AV95,5))={11,12,13}),"th",IF(OR(VALUE(RIGHT(AV95))={1,2,3}),CHOOSE(RIGHT(AV95),"st","nd","rd"),"th"))</f>
        <v>th</v>
      </c>
      <c r="AX95">
        <f t="shared" si="80"/>
        <v>56</v>
      </c>
      <c r="AY95" t="str">
        <f>IF(OR(VALUE(RIGHT(AX95,5))={11,12,13}),"th",IF(OR(VALUE(RIGHT(AX95))={1,2,3}),CHOOSE(RIGHT(AX95),"st","nd","rd"),"th"))</f>
        <v>th</v>
      </c>
      <c r="AZ95">
        <f t="shared" si="81"/>
        <v>56</v>
      </c>
      <c r="BA95" t="str">
        <f>IF(OR(VALUE(RIGHT(AZ95,5))={11,12,13}),"th",IF(OR(VALUE(RIGHT(AZ95))={1,2,3}),CHOOSE(RIGHT(AZ95),"st","nd","rd"),"th"))</f>
        <v>th</v>
      </c>
      <c r="BB95">
        <f t="shared" si="82"/>
        <v>56</v>
      </c>
      <c r="BC95" t="str">
        <f>IF(OR(VALUE(RIGHT(BB95,5))={11,12,13}),"th",IF(OR(VALUE(RIGHT(BB95))={1,2,3}),CHOOSE(RIGHT(BB95),"st","nd","rd"),"th"))</f>
        <v>th</v>
      </c>
      <c r="BD95">
        <f t="shared" si="83"/>
        <v>56</v>
      </c>
      <c r="BE95" t="str">
        <f>IF(OR(VALUE(RIGHT(BD95,5))={11,12,13}),"th",IF(OR(VALUE(RIGHT(BD95))={1,2,3}),CHOOSE(RIGHT(BD95),"st","nd","rd"),"th"))</f>
        <v>th</v>
      </c>
      <c r="BF95">
        <f t="shared" si="84"/>
        <v>56</v>
      </c>
      <c r="BG95" t="str">
        <f>IF(OR(VALUE(RIGHT(BF95,5))={11,12,13}),"th",IF(OR(VALUE(RIGHT(BF95))={1,2,3}),CHOOSE(RIGHT(BF95),"st","nd","rd"),"th"))</f>
        <v>th</v>
      </c>
      <c r="BH95">
        <f t="shared" si="85"/>
        <v>56</v>
      </c>
      <c r="BI95" t="str">
        <f>IF(OR(VALUE(RIGHT(BH95,5))={11,12,13}),"th",IF(OR(VALUE(RIGHT(BH95))={1,2,3}),CHOOSE(RIGHT(BH95),"st","nd","rd"),"th"))</f>
        <v>th</v>
      </c>
      <c r="BJ95">
        <f t="shared" si="86"/>
        <v>56</v>
      </c>
      <c r="BK95" t="str" cm="1">
        <f t="array" ref="BK95">IF(OR(VALUE(RIGHT(BJ95,5))={11,12,13}),"th",IF(OR(VALUE(RIGHT(BJ95))={1,2,3}),CHOOSE(RIGHT(BJ95),"st","nd","rd"),"th"))</f>
        <v>th</v>
      </c>
      <c r="BL95">
        <f t="shared" si="87"/>
        <v>57</v>
      </c>
      <c r="BM95" t="str">
        <f>IF(OR(VALUE(RIGHT(BL95,5))={11,12,13}),"th",IF(OR(VALUE(RIGHT(BL95))={1,2,3}),CHOOSE(RIGHT(BL95),"st","nd","rd"),"th"))</f>
        <v>th</v>
      </c>
      <c r="BO95" s="30">
        <f t="shared" si="88"/>
        <v>0</v>
      </c>
      <c r="BP95">
        <f t="shared" si="89"/>
        <v>57</v>
      </c>
      <c r="BQ95" t="str">
        <f>IF(OR(VALUE(RIGHT(BP95,5))={11,12,13}),"th",IF(OR(VALUE(RIGHT(BP95))={1,2,3}),CHOOSE(RIGHT(BP95),"st","nd","rd"),"th"))</f>
        <v>th</v>
      </c>
      <c r="BS95" s="27">
        <f>ClassScore!M95</f>
        <v>0</v>
      </c>
      <c r="BT95" s="27">
        <f>ClassScore!N95</f>
        <v>0</v>
      </c>
      <c r="BU95" s="27">
        <f>ClassScore!O95</f>
        <v>0</v>
      </c>
      <c r="BV95" s="27">
        <f>ClassScore!P95</f>
        <v>0</v>
      </c>
      <c r="BW95" s="27">
        <f>ClassScore!Q95</f>
        <v>0</v>
      </c>
      <c r="BX95" s="27">
        <f>ClassScore!R95</f>
        <v>0</v>
      </c>
      <c r="BY95" s="27">
        <f>ClassScore!S95</f>
        <v>0</v>
      </c>
      <c r="BZ95" s="27">
        <f>ClassScore!T95</f>
        <v>0</v>
      </c>
      <c r="CA95" s="27">
        <f>ClassScore!U95</f>
        <v>0</v>
      </c>
      <c r="CB95" s="27">
        <f>ClassScore!V95</f>
        <v>0</v>
      </c>
      <c r="CD95" s="27">
        <f>Examscore!M95</f>
        <v>0</v>
      </c>
      <c r="CE95" s="27">
        <f>Examscore!N95</f>
        <v>0</v>
      </c>
      <c r="CF95" s="27">
        <f>Examscore!O95</f>
        <v>0</v>
      </c>
      <c r="CG95" s="27">
        <f>Examscore!P95</f>
        <v>0</v>
      </c>
      <c r="CH95" s="27">
        <f>Examscore!Q95</f>
        <v>0</v>
      </c>
      <c r="CI95" s="27">
        <f>Examscore!R95</f>
        <v>0</v>
      </c>
      <c r="CJ95" s="27">
        <f>Examscore!S95</f>
        <v>0</v>
      </c>
      <c r="CK95" s="27">
        <f>Examscore!T95</f>
        <v>0</v>
      </c>
      <c r="CL95" s="27">
        <f>Examscore!U95</f>
        <v>0</v>
      </c>
      <c r="CM95" s="27">
        <f>Examscore!V95</f>
        <v>0</v>
      </c>
    </row>
    <row r="96" spans="1:91" ht="15.75" x14ac:dyDescent="0.25">
      <c r="A96" s="5">
        <f>Student!A96</f>
        <v>0</v>
      </c>
      <c r="B96" s="21">
        <f>Student!B96</f>
        <v>0</v>
      </c>
      <c r="C96" s="28">
        <f>ClassScore!M96+Examscore!M96</f>
        <v>0</v>
      </c>
      <c r="D96" s="28">
        <f>ClassScore!N96+Examscore!N96</f>
        <v>0</v>
      </c>
      <c r="E96" s="28">
        <f>ClassScore!O96+Examscore!O96</f>
        <v>0</v>
      </c>
      <c r="F96" s="28">
        <f>ClassScore!P96+Examscore!P96</f>
        <v>0</v>
      </c>
      <c r="G96" s="28">
        <f>ClassScore!Q96+Examscore!Q96</f>
        <v>0</v>
      </c>
      <c r="H96" s="28">
        <f>ClassScore!R96+Examscore!R96</f>
        <v>0</v>
      </c>
      <c r="I96" s="28">
        <f>ClassScore!S96+Examscore!S96</f>
        <v>0</v>
      </c>
      <c r="J96" s="28">
        <f>ClassScore!T96+Examscore!T96</f>
        <v>0</v>
      </c>
      <c r="K96" s="28">
        <f>ClassScore!U96+Examscore!U96</f>
        <v>0</v>
      </c>
      <c r="L96" s="28">
        <f>ClassScore!V96+Examscore!V96</f>
        <v>0</v>
      </c>
      <c r="M96" s="5" t="str">
        <f t="shared" si="57"/>
        <v>--</v>
      </c>
      <c r="N96" s="5" t="str">
        <f t="shared" si="58"/>
        <v>--</v>
      </c>
      <c r="O96" s="5" t="str">
        <f t="shared" si="59"/>
        <v>--</v>
      </c>
      <c r="P96" s="5" t="str">
        <f t="shared" si="60"/>
        <v>--</v>
      </c>
      <c r="Q96" s="5" t="str">
        <f t="shared" si="61"/>
        <v>--</v>
      </c>
      <c r="R96" s="5" t="str">
        <f t="shared" si="62"/>
        <v>--</v>
      </c>
      <c r="S96" s="5" t="str">
        <f t="shared" si="63"/>
        <v>--</v>
      </c>
      <c r="T96" s="5" t="str">
        <f t="shared" si="64"/>
        <v>--</v>
      </c>
      <c r="U96" s="5" t="str">
        <f t="shared" si="65"/>
        <v>--</v>
      </c>
      <c r="V96" s="5" t="str">
        <f t="shared" si="66"/>
        <v>--</v>
      </c>
      <c r="W96" s="5" t="str">
        <f t="shared" si="67"/>
        <v>--</v>
      </c>
      <c r="X96" s="5" t="str">
        <f t="shared" si="68"/>
        <v>--</v>
      </c>
      <c r="Y96" s="5" t="str">
        <f t="shared" si="69"/>
        <v>--</v>
      </c>
      <c r="Z96" s="5" t="str">
        <f t="shared" si="70"/>
        <v>--</v>
      </c>
      <c r="AA96" s="5" t="str">
        <f t="shared" si="71"/>
        <v>--</v>
      </c>
      <c r="AB96" s="5" t="str">
        <f t="shared" si="72"/>
        <v>--</v>
      </c>
      <c r="AC96" s="5" t="str">
        <f t="shared" si="73"/>
        <v>--</v>
      </c>
      <c r="AD96" s="5" t="str">
        <f t="shared" si="74"/>
        <v>--</v>
      </c>
      <c r="AE96" s="5" t="str">
        <f t="shared" si="75"/>
        <v>--</v>
      </c>
      <c r="AF96" s="5" t="str">
        <f t="shared" si="76"/>
        <v>--</v>
      </c>
      <c r="AG96" s="34">
        <f>SUM(C96,D96,F96,G96)+LARGE((E96,H96,I96,J96,K96,L96),1)+LARGE((E96,H96,I96,J96,K96,L96),2)</f>
        <v>0</v>
      </c>
      <c r="AH96" s="5" t="e">
        <f>SUM(W96,X96,Z96,AA96)+SMALL((Y96,AB96,AC96,AD96,AE96,AF96),1)+SMALL((Y96,AB96,AC96,AD96,AE96,AF96),2)</f>
        <v>#NUM!</v>
      </c>
      <c r="AI96" s="15">
        <f>'Teacher''s Remarks'!M97</f>
        <v>0</v>
      </c>
      <c r="AJ96" s="15">
        <f>'Teacher''s Remarks'!N97</f>
        <v>0</v>
      </c>
      <c r="AK96" s="15">
        <f>'Teacher''s Remarks'!O97</f>
        <v>0</v>
      </c>
      <c r="AL96" s="15">
        <f>'Teacher''s Remarks'!P97</f>
        <v>0</v>
      </c>
      <c r="AM96" s="13">
        <f t="shared" si="56"/>
        <v>0</v>
      </c>
      <c r="AN96" s="14">
        <f>Attendance!B96</f>
        <v>0</v>
      </c>
      <c r="AO96" s="15"/>
      <c r="AP96" s="15"/>
      <c r="AQ96" s="22">
        <f t="shared" ca="1" si="77"/>
        <v>45764</v>
      </c>
      <c r="AR96" s="15"/>
      <c r="AT96" s="12">
        <f t="shared" si="78"/>
        <v>56</v>
      </c>
      <c r="AU96" t="str">
        <f>IF(OR(VALUE(RIGHT(AT96,5))={11,12,13}),"th",IF(OR(VALUE(RIGHT(AT96))={1,2,3}),CHOOSE(RIGHT(AT96),"st","nd","rd"),"th"))</f>
        <v>th</v>
      </c>
      <c r="AV96">
        <f t="shared" si="79"/>
        <v>56</v>
      </c>
      <c r="AW96" t="str">
        <f>IF(OR(VALUE(RIGHT(AV96,5))={11,12,13}),"th",IF(OR(VALUE(RIGHT(AV96))={1,2,3}),CHOOSE(RIGHT(AV96),"st","nd","rd"),"th"))</f>
        <v>th</v>
      </c>
      <c r="AX96">
        <f t="shared" si="80"/>
        <v>56</v>
      </c>
      <c r="AY96" t="str">
        <f>IF(OR(VALUE(RIGHT(AX96,5))={11,12,13}),"th",IF(OR(VALUE(RIGHT(AX96))={1,2,3}),CHOOSE(RIGHT(AX96),"st","nd","rd"),"th"))</f>
        <v>th</v>
      </c>
      <c r="AZ96">
        <f t="shared" si="81"/>
        <v>56</v>
      </c>
      <c r="BA96" t="str">
        <f>IF(OR(VALUE(RIGHT(AZ96,5))={11,12,13}),"th",IF(OR(VALUE(RIGHT(AZ96))={1,2,3}),CHOOSE(RIGHT(AZ96),"st","nd","rd"),"th"))</f>
        <v>th</v>
      </c>
      <c r="BB96">
        <f t="shared" si="82"/>
        <v>56</v>
      </c>
      <c r="BC96" t="str">
        <f>IF(OR(VALUE(RIGHT(BB96,5))={11,12,13}),"th",IF(OR(VALUE(RIGHT(BB96))={1,2,3}),CHOOSE(RIGHT(BB96),"st","nd","rd"),"th"))</f>
        <v>th</v>
      </c>
      <c r="BD96">
        <f t="shared" si="83"/>
        <v>56</v>
      </c>
      <c r="BE96" t="str">
        <f>IF(OR(VALUE(RIGHT(BD96,5))={11,12,13}),"th",IF(OR(VALUE(RIGHT(BD96))={1,2,3}),CHOOSE(RIGHT(BD96),"st","nd","rd"),"th"))</f>
        <v>th</v>
      </c>
      <c r="BF96">
        <f t="shared" si="84"/>
        <v>56</v>
      </c>
      <c r="BG96" t="str">
        <f>IF(OR(VALUE(RIGHT(BF96,5))={11,12,13}),"th",IF(OR(VALUE(RIGHT(BF96))={1,2,3}),CHOOSE(RIGHT(BF96),"st","nd","rd"),"th"))</f>
        <v>th</v>
      </c>
      <c r="BH96">
        <f t="shared" si="85"/>
        <v>56</v>
      </c>
      <c r="BI96" t="str">
        <f>IF(OR(VALUE(RIGHT(BH96,5))={11,12,13}),"th",IF(OR(VALUE(RIGHT(BH96))={1,2,3}),CHOOSE(RIGHT(BH96),"st","nd","rd"),"th"))</f>
        <v>th</v>
      </c>
      <c r="BJ96">
        <f t="shared" si="86"/>
        <v>56</v>
      </c>
      <c r="BK96" t="str" cm="1">
        <f t="array" ref="BK96">IF(OR(VALUE(RIGHT(BJ96,5))={11,12,13}),"th",IF(OR(VALUE(RIGHT(BJ96))={1,2,3}),CHOOSE(RIGHT(BJ96),"st","nd","rd"),"th"))</f>
        <v>th</v>
      </c>
      <c r="BL96">
        <f t="shared" si="87"/>
        <v>57</v>
      </c>
      <c r="BM96" t="str">
        <f>IF(OR(VALUE(RIGHT(BL96,5))={11,12,13}),"th",IF(OR(VALUE(RIGHT(BL96))={1,2,3}),CHOOSE(RIGHT(BL96),"st","nd","rd"),"th"))</f>
        <v>th</v>
      </c>
      <c r="BO96" s="30">
        <f t="shared" si="88"/>
        <v>0</v>
      </c>
      <c r="BP96">
        <f t="shared" si="89"/>
        <v>57</v>
      </c>
      <c r="BQ96" t="str">
        <f>IF(OR(VALUE(RIGHT(BP96,5))={11,12,13}),"th",IF(OR(VALUE(RIGHT(BP96))={1,2,3}),CHOOSE(RIGHT(BP96),"st","nd","rd"),"th"))</f>
        <v>th</v>
      </c>
      <c r="BS96" s="27">
        <f>ClassScore!M96</f>
        <v>0</v>
      </c>
      <c r="BT96" s="27">
        <f>ClassScore!N96</f>
        <v>0</v>
      </c>
      <c r="BU96" s="27">
        <f>ClassScore!O96</f>
        <v>0</v>
      </c>
      <c r="BV96" s="27">
        <f>ClassScore!P96</f>
        <v>0</v>
      </c>
      <c r="BW96" s="27">
        <f>ClassScore!Q96</f>
        <v>0</v>
      </c>
      <c r="BX96" s="27">
        <f>ClassScore!R96</f>
        <v>0</v>
      </c>
      <c r="BY96" s="27">
        <f>ClassScore!S96</f>
        <v>0</v>
      </c>
      <c r="BZ96" s="27">
        <f>ClassScore!T96</f>
        <v>0</v>
      </c>
      <c r="CA96" s="27">
        <f>ClassScore!U96</f>
        <v>0</v>
      </c>
      <c r="CB96" s="27">
        <f>ClassScore!V96</f>
        <v>0</v>
      </c>
      <c r="CD96" s="27">
        <f>Examscore!M96</f>
        <v>0</v>
      </c>
      <c r="CE96" s="27">
        <f>Examscore!N96</f>
        <v>0</v>
      </c>
      <c r="CF96" s="27">
        <f>Examscore!O96</f>
        <v>0</v>
      </c>
      <c r="CG96" s="27">
        <f>Examscore!P96</f>
        <v>0</v>
      </c>
      <c r="CH96" s="27">
        <f>Examscore!Q96</f>
        <v>0</v>
      </c>
      <c r="CI96" s="27">
        <f>Examscore!R96</f>
        <v>0</v>
      </c>
      <c r="CJ96" s="27">
        <f>Examscore!S96</f>
        <v>0</v>
      </c>
      <c r="CK96" s="27">
        <f>Examscore!T96</f>
        <v>0</v>
      </c>
      <c r="CL96" s="27">
        <f>Examscore!U96</f>
        <v>0</v>
      </c>
      <c r="CM96" s="27">
        <f>Examscore!V96</f>
        <v>0</v>
      </c>
    </row>
    <row r="97" spans="1:91" ht="15.75" x14ac:dyDescent="0.25">
      <c r="A97" s="5">
        <f>Student!A97</f>
        <v>0</v>
      </c>
      <c r="B97" s="21">
        <f>Student!B97</f>
        <v>0</v>
      </c>
      <c r="C97" s="28">
        <f>ClassScore!M97+Examscore!M97</f>
        <v>0</v>
      </c>
      <c r="D97" s="28">
        <f>ClassScore!N97+Examscore!N97</f>
        <v>0</v>
      </c>
      <c r="E97" s="28">
        <f>ClassScore!O97+Examscore!O97</f>
        <v>0</v>
      </c>
      <c r="F97" s="28">
        <f>ClassScore!P97+Examscore!P97</f>
        <v>0</v>
      </c>
      <c r="G97" s="28">
        <f>ClassScore!Q97+Examscore!Q97</f>
        <v>0</v>
      </c>
      <c r="H97" s="28">
        <f>ClassScore!R97+Examscore!R97</f>
        <v>0</v>
      </c>
      <c r="I97" s="28">
        <f>ClassScore!S97+Examscore!S97</f>
        <v>0</v>
      </c>
      <c r="J97" s="28">
        <f>ClassScore!T97+Examscore!T97</f>
        <v>0</v>
      </c>
      <c r="K97" s="28">
        <f>ClassScore!U97+Examscore!U97</f>
        <v>0</v>
      </c>
      <c r="L97" s="28">
        <f>ClassScore!V97+Examscore!V97</f>
        <v>0</v>
      </c>
      <c r="M97" s="5" t="str">
        <f t="shared" si="57"/>
        <v>--</v>
      </c>
      <c r="N97" s="5" t="str">
        <f t="shared" si="58"/>
        <v>--</v>
      </c>
      <c r="O97" s="5" t="str">
        <f t="shared" si="59"/>
        <v>--</v>
      </c>
      <c r="P97" s="5" t="str">
        <f t="shared" si="60"/>
        <v>--</v>
      </c>
      <c r="Q97" s="5" t="str">
        <f t="shared" si="61"/>
        <v>--</v>
      </c>
      <c r="R97" s="5" t="str">
        <f t="shared" si="62"/>
        <v>--</v>
      </c>
      <c r="S97" s="5" t="str">
        <f t="shared" si="63"/>
        <v>--</v>
      </c>
      <c r="T97" s="5" t="str">
        <f t="shared" si="64"/>
        <v>--</v>
      </c>
      <c r="U97" s="5" t="str">
        <f t="shared" si="65"/>
        <v>--</v>
      </c>
      <c r="V97" s="5" t="str">
        <f t="shared" si="66"/>
        <v>--</v>
      </c>
      <c r="W97" s="5" t="str">
        <f t="shared" si="67"/>
        <v>--</v>
      </c>
      <c r="X97" s="5" t="str">
        <f t="shared" si="68"/>
        <v>--</v>
      </c>
      <c r="Y97" s="5" t="str">
        <f t="shared" si="69"/>
        <v>--</v>
      </c>
      <c r="Z97" s="5" t="str">
        <f t="shared" si="70"/>
        <v>--</v>
      </c>
      <c r="AA97" s="5" t="str">
        <f t="shared" si="71"/>
        <v>--</v>
      </c>
      <c r="AB97" s="5" t="str">
        <f t="shared" si="72"/>
        <v>--</v>
      </c>
      <c r="AC97" s="5" t="str">
        <f t="shared" si="73"/>
        <v>--</v>
      </c>
      <c r="AD97" s="5" t="str">
        <f t="shared" si="74"/>
        <v>--</v>
      </c>
      <c r="AE97" s="5" t="str">
        <f t="shared" si="75"/>
        <v>--</v>
      </c>
      <c r="AF97" s="5" t="str">
        <f t="shared" si="76"/>
        <v>--</v>
      </c>
      <c r="AG97" s="34">
        <f>SUM(C97,D97,F97,G97)+LARGE((E97,H97,I97,J97,K97,L97),1)+LARGE((E97,H97,I97,J97,K97,L97),2)</f>
        <v>0</v>
      </c>
      <c r="AH97" s="5" t="e">
        <f>SUM(W97,X97,Z97,AA97)+SMALL((Y97,AB97,AC97,AD97,AE97,AF97),1)+SMALL((Y97,AB97,AC97,AD97,AE97,AF97),2)</f>
        <v>#NUM!</v>
      </c>
      <c r="AI97" s="15">
        <f>'Teacher''s Remarks'!M98</f>
        <v>0</v>
      </c>
      <c r="AJ97" s="15">
        <f>'Teacher''s Remarks'!N98</f>
        <v>0</v>
      </c>
      <c r="AK97" s="15">
        <f>'Teacher''s Remarks'!O98</f>
        <v>0</v>
      </c>
      <c r="AL97" s="15">
        <f>'Teacher''s Remarks'!P98</f>
        <v>0</v>
      </c>
      <c r="AM97" s="13">
        <f t="shared" si="56"/>
        <v>0</v>
      </c>
      <c r="AN97" s="14">
        <f>Attendance!B97</f>
        <v>0</v>
      </c>
      <c r="AO97" s="15"/>
      <c r="AP97" s="15"/>
      <c r="AQ97" s="22">
        <f t="shared" ca="1" si="77"/>
        <v>45764</v>
      </c>
      <c r="AR97" s="15"/>
      <c r="AT97" s="12">
        <f t="shared" si="78"/>
        <v>56</v>
      </c>
      <c r="AU97" t="str">
        <f>IF(OR(VALUE(RIGHT(AT97,5))={11,12,13}),"th",IF(OR(VALUE(RIGHT(AT97))={1,2,3}),CHOOSE(RIGHT(AT97),"st","nd","rd"),"th"))</f>
        <v>th</v>
      </c>
      <c r="AV97">
        <f t="shared" si="79"/>
        <v>56</v>
      </c>
      <c r="AW97" t="str">
        <f>IF(OR(VALUE(RIGHT(AV97,5))={11,12,13}),"th",IF(OR(VALUE(RIGHT(AV97))={1,2,3}),CHOOSE(RIGHT(AV97),"st","nd","rd"),"th"))</f>
        <v>th</v>
      </c>
      <c r="AX97">
        <f t="shared" si="80"/>
        <v>56</v>
      </c>
      <c r="AY97" t="str">
        <f>IF(OR(VALUE(RIGHT(AX97,5))={11,12,13}),"th",IF(OR(VALUE(RIGHT(AX97))={1,2,3}),CHOOSE(RIGHT(AX97),"st","nd","rd"),"th"))</f>
        <v>th</v>
      </c>
      <c r="AZ97">
        <f t="shared" si="81"/>
        <v>56</v>
      </c>
      <c r="BA97" t="str">
        <f>IF(OR(VALUE(RIGHT(AZ97,5))={11,12,13}),"th",IF(OR(VALUE(RIGHT(AZ97))={1,2,3}),CHOOSE(RIGHT(AZ97),"st","nd","rd"),"th"))</f>
        <v>th</v>
      </c>
      <c r="BB97">
        <f t="shared" si="82"/>
        <v>56</v>
      </c>
      <c r="BC97" t="str">
        <f>IF(OR(VALUE(RIGHT(BB97,5))={11,12,13}),"th",IF(OR(VALUE(RIGHT(BB97))={1,2,3}),CHOOSE(RIGHT(BB97),"st","nd","rd"),"th"))</f>
        <v>th</v>
      </c>
      <c r="BD97">
        <f t="shared" si="83"/>
        <v>56</v>
      </c>
      <c r="BE97" t="str">
        <f>IF(OR(VALUE(RIGHT(BD97,5))={11,12,13}),"th",IF(OR(VALUE(RIGHT(BD97))={1,2,3}),CHOOSE(RIGHT(BD97),"st","nd","rd"),"th"))</f>
        <v>th</v>
      </c>
      <c r="BF97">
        <f t="shared" si="84"/>
        <v>56</v>
      </c>
      <c r="BG97" t="str">
        <f>IF(OR(VALUE(RIGHT(BF97,5))={11,12,13}),"th",IF(OR(VALUE(RIGHT(BF97))={1,2,3}),CHOOSE(RIGHT(BF97),"st","nd","rd"),"th"))</f>
        <v>th</v>
      </c>
      <c r="BH97">
        <f t="shared" si="85"/>
        <v>56</v>
      </c>
      <c r="BI97" t="str">
        <f>IF(OR(VALUE(RIGHT(BH97,5))={11,12,13}),"th",IF(OR(VALUE(RIGHT(BH97))={1,2,3}),CHOOSE(RIGHT(BH97),"st","nd","rd"),"th"))</f>
        <v>th</v>
      </c>
      <c r="BJ97">
        <f t="shared" si="86"/>
        <v>56</v>
      </c>
      <c r="BK97" t="str" cm="1">
        <f t="array" ref="BK97">IF(OR(VALUE(RIGHT(BJ97,5))={11,12,13}),"th",IF(OR(VALUE(RIGHT(BJ97))={1,2,3}),CHOOSE(RIGHT(BJ97),"st","nd","rd"),"th"))</f>
        <v>th</v>
      </c>
      <c r="BL97">
        <f t="shared" si="87"/>
        <v>57</v>
      </c>
      <c r="BM97" t="str">
        <f>IF(OR(VALUE(RIGHT(BL97,5))={11,12,13}),"th",IF(OR(VALUE(RIGHT(BL97))={1,2,3}),CHOOSE(RIGHT(BL97),"st","nd","rd"),"th"))</f>
        <v>th</v>
      </c>
      <c r="BO97" s="30">
        <f t="shared" si="88"/>
        <v>0</v>
      </c>
      <c r="BP97">
        <f t="shared" si="89"/>
        <v>57</v>
      </c>
      <c r="BQ97" t="str">
        <f>IF(OR(VALUE(RIGHT(BP97,5))={11,12,13}),"th",IF(OR(VALUE(RIGHT(BP97))={1,2,3}),CHOOSE(RIGHT(BP97),"st","nd","rd"),"th"))</f>
        <v>th</v>
      </c>
      <c r="BS97" s="27">
        <f>ClassScore!M97</f>
        <v>0</v>
      </c>
      <c r="BT97" s="27">
        <f>ClassScore!N97</f>
        <v>0</v>
      </c>
      <c r="BU97" s="27">
        <f>ClassScore!O97</f>
        <v>0</v>
      </c>
      <c r="BV97" s="27">
        <f>ClassScore!P97</f>
        <v>0</v>
      </c>
      <c r="BW97" s="27">
        <f>ClassScore!Q97</f>
        <v>0</v>
      </c>
      <c r="BX97" s="27">
        <f>ClassScore!R97</f>
        <v>0</v>
      </c>
      <c r="BY97" s="27">
        <f>ClassScore!S97</f>
        <v>0</v>
      </c>
      <c r="BZ97" s="27">
        <f>ClassScore!T97</f>
        <v>0</v>
      </c>
      <c r="CA97" s="27">
        <f>ClassScore!U97</f>
        <v>0</v>
      </c>
      <c r="CB97" s="27">
        <f>ClassScore!V97</f>
        <v>0</v>
      </c>
      <c r="CD97" s="27">
        <f>Examscore!M97</f>
        <v>0</v>
      </c>
      <c r="CE97" s="27">
        <f>Examscore!N97</f>
        <v>0</v>
      </c>
      <c r="CF97" s="27">
        <f>Examscore!O97</f>
        <v>0</v>
      </c>
      <c r="CG97" s="27">
        <f>Examscore!P97</f>
        <v>0</v>
      </c>
      <c r="CH97" s="27">
        <f>Examscore!Q97</f>
        <v>0</v>
      </c>
      <c r="CI97" s="27">
        <f>Examscore!R97</f>
        <v>0</v>
      </c>
      <c r="CJ97" s="27">
        <f>Examscore!S97</f>
        <v>0</v>
      </c>
      <c r="CK97" s="27">
        <f>Examscore!T97</f>
        <v>0</v>
      </c>
      <c r="CL97" s="27">
        <f>Examscore!U97</f>
        <v>0</v>
      </c>
      <c r="CM97" s="27">
        <f>Examscore!V97</f>
        <v>0</v>
      </c>
    </row>
    <row r="98" spans="1:91" ht="15.75" x14ac:dyDescent="0.25">
      <c r="A98" s="5">
        <f>Student!A98</f>
        <v>0</v>
      </c>
      <c r="B98" s="21">
        <f>Student!B98</f>
        <v>0</v>
      </c>
      <c r="C98" s="28">
        <f>ClassScore!M98+Examscore!M98</f>
        <v>0</v>
      </c>
      <c r="D98" s="28">
        <f>ClassScore!N98+Examscore!N98</f>
        <v>0</v>
      </c>
      <c r="E98" s="28">
        <f>ClassScore!O98+Examscore!O98</f>
        <v>0</v>
      </c>
      <c r="F98" s="28">
        <f>ClassScore!P98+Examscore!P98</f>
        <v>0</v>
      </c>
      <c r="G98" s="28">
        <f>ClassScore!Q98+Examscore!Q98</f>
        <v>0</v>
      </c>
      <c r="H98" s="28">
        <f>ClassScore!R98+Examscore!R98</f>
        <v>0</v>
      </c>
      <c r="I98" s="28">
        <f>ClassScore!S98+Examscore!S98</f>
        <v>0</v>
      </c>
      <c r="J98" s="28">
        <f>ClassScore!T98+Examscore!T98</f>
        <v>0</v>
      </c>
      <c r="K98" s="28">
        <f>ClassScore!U98+Examscore!U98</f>
        <v>0</v>
      </c>
      <c r="L98" s="28">
        <f>ClassScore!V98+Examscore!V98</f>
        <v>0</v>
      </c>
      <c r="M98" s="5" t="str">
        <f t="shared" si="57"/>
        <v>--</v>
      </c>
      <c r="N98" s="5" t="str">
        <f t="shared" si="58"/>
        <v>--</v>
      </c>
      <c r="O98" s="5" t="str">
        <f t="shared" si="59"/>
        <v>--</v>
      </c>
      <c r="P98" s="5" t="str">
        <f t="shared" si="60"/>
        <v>--</v>
      </c>
      <c r="Q98" s="5" t="str">
        <f t="shared" si="61"/>
        <v>--</v>
      </c>
      <c r="R98" s="5" t="str">
        <f t="shared" si="62"/>
        <v>--</v>
      </c>
      <c r="S98" s="5" t="str">
        <f t="shared" si="63"/>
        <v>--</v>
      </c>
      <c r="T98" s="5" t="str">
        <f t="shared" si="64"/>
        <v>--</v>
      </c>
      <c r="U98" s="5" t="str">
        <f t="shared" si="65"/>
        <v>--</v>
      </c>
      <c r="V98" s="5" t="str">
        <f t="shared" si="66"/>
        <v>--</v>
      </c>
      <c r="W98" s="5" t="str">
        <f t="shared" si="67"/>
        <v>--</v>
      </c>
      <c r="X98" s="5" t="str">
        <f t="shared" si="68"/>
        <v>--</v>
      </c>
      <c r="Y98" s="5" t="str">
        <f t="shared" si="69"/>
        <v>--</v>
      </c>
      <c r="Z98" s="5" t="str">
        <f t="shared" si="70"/>
        <v>--</v>
      </c>
      <c r="AA98" s="5" t="str">
        <f t="shared" si="71"/>
        <v>--</v>
      </c>
      <c r="AB98" s="5" t="str">
        <f t="shared" si="72"/>
        <v>--</v>
      </c>
      <c r="AC98" s="5" t="str">
        <f t="shared" si="73"/>
        <v>--</v>
      </c>
      <c r="AD98" s="5" t="str">
        <f t="shared" si="74"/>
        <v>--</v>
      </c>
      <c r="AE98" s="5" t="str">
        <f t="shared" si="75"/>
        <v>--</v>
      </c>
      <c r="AF98" s="5" t="str">
        <f t="shared" si="76"/>
        <v>--</v>
      </c>
      <c r="AG98" s="34">
        <f>SUM(C98,D98,F98,G98)+LARGE((E98,H98,I98,J98,K98,L98),1)+LARGE((E98,H98,I98,J98,K98,L98),2)</f>
        <v>0</v>
      </c>
      <c r="AH98" s="5" t="e">
        <f>SUM(W98,X98,Z98,AA98)+SMALL((Y98,AB98,AC98,AD98,AE98,AF98),1)+SMALL((Y98,AB98,AC98,AD98,AE98,AF98),2)</f>
        <v>#NUM!</v>
      </c>
      <c r="AI98" s="15">
        <f>'Teacher''s Remarks'!M99</f>
        <v>0</v>
      </c>
      <c r="AJ98" s="15">
        <f>'Teacher''s Remarks'!N99</f>
        <v>0</v>
      </c>
      <c r="AK98" s="15">
        <f>'Teacher''s Remarks'!O99</f>
        <v>0</v>
      </c>
      <c r="AL98" s="15">
        <f>'Teacher''s Remarks'!P99</f>
        <v>0</v>
      </c>
      <c r="AM98" s="13">
        <f t="shared" si="56"/>
        <v>0</v>
      </c>
      <c r="AN98" s="14">
        <f>Attendance!B98</f>
        <v>0</v>
      </c>
      <c r="AO98" s="15"/>
      <c r="AP98" s="15"/>
      <c r="AQ98" s="22">
        <f t="shared" ca="1" si="77"/>
        <v>45764</v>
      </c>
      <c r="AR98" s="15"/>
      <c r="AT98" s="12">
        <f t="shared" ref="AT98:AT117" si="90">RANK(C98,$C$2:$C$117)</f>
        <v>56</v>
      </c>
      <c r="AU98" t="str">
        <f>IF(OR(VALUE(RIGHT(AT98,5))={11,12,13}),"th",IF(OR(VALUE(RIGHT(AT98))={1,2,3}),CHOOSE(RIGHT(AT98),"st","nd","rd"),"th"))</f>
        <v>th</v>
      </c>
      <c r="AV98">
        <f t="shared" ref="AV98:AV117" si="91">RANK(D98,$D$2:$D$117)</f>
        <v>56</v>
      </c>
      <c r="AW98" t="str">
        <f>IF(OR(VALUE(RIGHT(AV98,5))={11,12,13}),"th",IF(OR(VALUE(RIGHT(AV98))={1,2,3}),CHOOSE(RIGHT(AV98),"st","nd","rd"),"th"))</f>
        <v>th</v>
      </c>
      <c r="AX98">
        <f t="shared" ref="AX98:AX117" si="92">RANK(E98,$E$2:$E$117)</f>
        <v>56</v>
      </c>
      <c r="AY98" t="str">
        <f>IF(OR(VALUE(RIGHT(AX98,5))={11,12,13}),"th",IF(OR(VALUE(RIGHT(AX98))={1,2,3}),CHOOSE(RIGHT(AX98),"st","nd","rd"),"th"))</f>
        <v>th</v>
      </c>
      <c r="AZ98">
        <f t="shared" ref="AZ98:AZ117" si="93">RANK(F98,$F$2:$F$117)</f>
        <v>56</v>
      </c>
      <c r="BA98" t="str">
        <f>IF(OR(VALUE(RIGHT(AZ98,5))={11,12,13}),"th",IF(OR(VALUE(RIGHT(AZ98))={1,2,3}),CHOOSE(RIGHT(AZ98),"st","nd","rd"),"th"))</f>
        <v>th</v>
      </c>
      <c r="BB98">
        <f t="shared" ref="BB98:BB117" si="94">RANK(G98,$G$2:$G$117)</f>
        <v>56</v>
      </c>
      <c r="BC98" t="str">
        <f>IF(OR(VALUE(RIGHT(BB98,5))={11,12,13}),"th",IF(OR(VALUE(RIGHT(BB98))={1,2,3}),CHOOSE(RIGHT(BB98),"st","nd","rd"),"th"))</f>
        <v>th</v>
      </c>
      <c r="BD98">
        <f t="shared" ref="BD98:BD117" si="95">RANK(H98,$H$2:$H$117)</f>
        <v>56</v>
      </c>
      <c r="BE98" t="str">
        <f>IF(OR(VALUE(RIGHT(BD98,5))={11,12,13}),"th",IF(OR(VALUE(RIGHT(BD98))={1,2,3}),CHOOSE(RIGHT(BD98),"st","nd","rd"),"th"))</f>
        <v>th</v>
      </c>
      <c r="BF98">
        <f t="shared" ref="BF98:BF117" si="96">RANK(I98,$I$2:$I$117)</f>
        <v>56</v>
      </c>
      <c r="BG98" t="str">
        <f>IF(OR(VALUE(RIGHT(BF98,5))={11,12,13}),"th",IF(OR(VALUE(RIGHT(BF98))={1,2,3}),CHOOSE(RIGHT(BF98),"st","nd","rd"),"th"))</f>
        <v>th</v>
      </c>
      <c r="BH98">
        <f t="shared" ref="BH98:BH117" si="97">RANK(J98,$J$2:$J$117)</f>
        <v>56</v>
      </c>
      <c r="BI98" t="str">
        <f>IF(OR(VALUE(RIGHT(BH98,5))={11,12,13}),"th",IF(OR(VALUE(RIGHT(BH98))={1,2,3}),CHOOSE(RIGHT(BH98),"st","nd","rd"),"th"))</f>
        <v>th</v>
      </c>
      <c r="BJ98">
        <f t="shared" ref="BJ98:BJ117" si="98">RANK(K98,$K$2:$K$117)</f>
        <v>56</v>
      </c>
      <c r="BK98" t="str" cm="1">
        <f t="array" ref="BK98">IF(OR(VALUE(RIGHT(BJ98,5))={11,12,13}),"th",IF(OR(VALUE(RIGHT(BJ98))={1,2,3}),CHOOSE(RIGHT(BJ98),"st","nd","rd"),"th"))</f>
        <v>th</v>
      </c>
      <c r="BL98">
        <f t="shared" ref="BL98:BL117" si="99">RANK(L98,$L$2:$L$117)</f>
        <v>57</v>
      </c>
      <c r="BM98" t="str">
        <f>IF(OR(VALUE(RIGHT(BL98,5))={11,12,13}),"th",IF(OR(VALUE(RIGHT(BL98))={1,2,3}),CHOOSE(RIGHT(BL98),"st","nd","rd"),"th"))</f>
        <v>th</v>
      </c>
      <c r="BO98" s="30">
        <f t="shared" si="88"/>
        <v>0</v>
      </c>
      <c r="BP98">
        <f t="shared" ref="BP98:BP117" si="100">RANK(BO98,$BO$2:$BO$117)</f>
        <v>57</v>
      </c>
      <c r="BQ98" t="str">
        <f>IF(OR(VALUE(RIGHT(BP98,5))={11,12,13}),"th",IF(OR(VALUE(RIGHT(BP98))={1,2,3}),CHOOSE(RIGHT(BP98),"st","nd","rd"),"th"))</f>
        <v>th</v>
      </c>
      <c r="BS98" s="27">
        <f>ClassScore!M98</f>
        <v>0</v>
      </c>
      <c r="BT98" s="27">
        <f>ClassScore!N98</f>
        <v>0</v>
      </c>
      <c r="BU98" s="27">
        <f>ClassScore!O98</f>
        <v>0</v>
      </c>
      <c r="BV98" s="27">
        <f>ClassScore!P98</f>
        <v>0</v>
      </c>
      <c r="BW98" s="27">
        <f>ClassScore!Q98</f>
        <v>0</v>
      </c>
      <c r="BX98" s="27">
        <f>ClassScore!R98</f>
        <v>0</v>
      </c>
      <c r="BY98" s="27">
        <f>ClassScore!S98</f>
        <v>0</v>
      </c>
      <c r="BZ98" s="27">
        <f>ClassScore!T98</f>
        <v>0</v>
      </c>
      <c r="CA98" s="27">
        <f>ClassScore!U98</f>
        <v>0</v>
      </c>
      <c r="CB98" s="27">
        <f>ClassScore!V98</f>
        <v>0</v>
      </c>
      <c r="CD98" s="27">
        <f>Examscore!M98</f>
        <v>0</v>
      </c>
      <c r="CE98" s="27">
        <f>Examscore!N98</f>
        <v>0</v>
      </c>
      <c r="CF98" s="27">
        <f>Examscore!O98</f>
        <v>0</v>
      </c>
      <c r="CG98" s="27">
        <f>Examscore!P98</f>
        <v>0</v>
      </c>
      <c r="CH98" s="27">
        <f>Examscore!Q98</f>
        <v>0</v>
      </c>
      <c r="CI98" s="27">
        <f>Examscore!R98</f>
        <v>0</v>
      </c>
      <c r="CJ98" s="27">
        <f>Examscore!S98</f>
        <v>0</v>
      </c>
      <c r="CK98" s="27">
        <f>Examscore!T98</f>
        <v>0</v>
      </c>
      <c r="CL98" s="27">
        <f>Examscore!U98</f>
        <v>0</v>
      </c>
      <c r="CM98" s="27">
        <f>Examscore!V98</f>
        <v>0</v>
      </c>
    </row>
    <row r="99" spans="1:91" ht="15.75" x14ac:dyDescent="0.25">
      <c r="A99" s="5">
        <f>Student!A99</f>
        <v>0</v>
      </c>
      <c r="B99" s="21">
        <f>Student!B99</f>
        <v>0</v>
      </c>
      <c r="C99" s="28">
        <f>ClassScore!M99+Examscore!M99</f>
        <v>0</v>
      </c>
      <c r="D99" s="28">
        <f>ClassScore!N99+Examscore!N99</f>
        <v>0</v>
      </c>
      <c r="E99" s="28">
        <f>ClassScore!O99+Examscore!O99</f>
        <v>0</v>
      </c>
      <c r="F99" s="28">
        <f>ClassScore!P99+Examscore!P99</f>
        <v>0</v>
      </c>
      <c r="G99" s="28">
        <f>ClassScore!Q99+Examscore!Q99</f>
        <v>0</v>
      </c>
      <c r="H99" s="28">
        <f>ClassScore!R99+Examscore!R99</f>
        <v>0</v>
      </c>
      <c r="I99" s="28">
        <f>ClassScore!S99+Examscore!S99</f>
        <v>0</v>
      </c>
      <c r="J99" s="28">
        <f>ClassScore!T99+Examscore!T99</f>
        <v>0</v>
      </c>
      <c r="K99" s="28">
        <f>ClassScore!U99+Examscore!U99</f>
        <v>0</v>
      </c>
      <c r="L99" s="28">
        <f>ClassScore!V99+Examscore!V99</f>
        <v>0</v>
      </c>
      <c r="M99" s="5" t="str">
        <f t="shared" si="57"/>
        <v>--</v>
      </c>
      <c r="N99" s="5" t="str">
        <f t="shared" si="58"/>
        <v>--</v>
      </c>
      <c r="O99" s="5" t="str">
        <f t="shared" si="59"/>
        <v>--</v>
      </c>
      <c r="P99" s="5" t="str">
        <f t="shared" si="60"/>
        <v>--</v>
      </c>
      <c r="Q99" s="5" t="str">
        <f t="shared" si="61"/>
        <v>--</v>
      </c>
      <c r="R99" s="5" t="str">
        <f t="shared" si="62"/>
        <v>--</v>
      </c>
      <c r="S99" s="5" t="str">
        <f t="shared" si="63"/>
        <v>--</v>
      </c>
      <c r="T99" s="5" t="str">
        <f t="shared" si="64"/>
        <v>--</v>
      </c>
      <c r="U99" s="5" t="str">
        <f t="shared" si="65"/>
        <v>--</v>
      </c>
      <c r="V99" s="5" t="str">
        <f t="shared" si="66"/>
        <v>--</v>
      </c>
      <c r="W99" s="5" t="str">
        <f t="shared" si="67"/>
        <v>--</v>
      </c>
      <c r="X99" s="5" t="str">
        <f t="shared" si="68"/>
        <v>--</v>
      </c>
      <c r="Y99" s="5" t="str">
        <f t="shared" si="69"/>
        <v>--</v>
      </c>
      <c r="Z99" s="5" t="str">
        <f t="shared" si="70"/>
        <v>--</v>
      </c>
      <c r="AA99" s="5" t="str">
        <f t="shared" si="71"/>
        <v>--</v>
      </c>
      <c r="AB99" s="5" t="str">
        <f t="shared" si="72"/>
        <v>--</v>
      </c>
      <c r="AC99" s="5" t="str">
        <f t="shared" si="73"/>
        <v>--</v>
      </c>
      <c r="AD99" s="5" t="str">
        <f t="shared" si="74"/>
        <v>--</v>
      </c>
      <c r="AE99" s="5" t="str">
        <f t="shared" si="75"/>
        <v>--</v>
      </c>
      <c r="AF99" s="5" t="str">
        <f t="shared" si="76"/>
        <v>--</v>
      </c>
      <c r="AG99" s="34">
        <f>SUM(C99,D99,F99,G99)+LARGE((E99,H99,I99,J99,K99,L99),1)+LARGE((E99,H99,I99,J99,K99,L99),2)</f>
        <v>0</v>
      </c>
      <c r="AH99" s="5" t="e">
        <f>SUM(W99,X99,Z99,AA99)+SMALL((Y99,AB99,AC99,AD99,AE99,AF99),1)+SMALL((Y99,AB99,AC99,AD99,AE99,AF99),2)</f>
        <v>#NUM!</v>
      </c>
      <c r="AI99" s="15">
        <f>'Teacher''s Remarks'!M100</f>
        <v>0</v>
      </c>
      <c r="AJ99" s="15">
        <f>'Teacher''s Remarks'!N100</f>
        <v>0</v>
      </c>
      <c r="AK99" s="15">
        <f>'Teacher''s Remarks'!O100</f>
        <v>0</v>
      </c>
      <c r="AL99" s="15">
        <f>'Teacher''s Remarks'!P100</f>
        <v>0</v>
      </c>
      <c r="AM99" s="13">
        <f t="shared" si="56"/>
        <v>0</v>
      </c>
      <c r="AN99" s="14">
        <f>Attendance!B99</f>
        <v>0</v>
      </c>
      <c r="AO99" s="15"/>
      <c r="AP99" s="15"/>
      <c r="AQ99" s="22">
        <f t="shared" ca="1" si="77"/>
        <v>45764</v>
      </c>
      <c r="AR99" s="15"/>
      <c r="AT99" s="12">
        <f t="shared" si="90"/>
        <v>56</v>
      </c>
      <c r="AU99" t="str">
        <f>IF(OR(VALUE(RIGHT(AT99,5))={11,12,13}),"th",IF(OR(VALUE(RIGHT(AT99))={1,2,3}),CHOOSE(RIGHT(AT99),"st","nd","rd"),"th"))</f>
        <v>th</v>
      </c>
      <c r="AV99">
        <f t="shared" si="91"/>
        <v>56</v>
      </c>
      <c r="AW99" t="str">
        <f>IF(OR(VALUE(RIGHT(AV99,5))={11,12,13}),"th",IF(OR(VALUE(RIGHT(AV99))={1,2,3}),CHOOSE(RIGHT(AV99),"st","nd","rd"),"th"))</f>
        <v>th</v>
      </c>
      <c r="AX99">
        <f t="shared" si="92"/>
        <v>56</v>
      </c>
      <c r="AY99" t="str">
        <f>IF(OR(VALUE(RIGHT(AX99,5))={11,12,13}),"th",IF(OR(VALUE(RIGHT(AX99))={1,2,3}),CHOOSE(RIGHT(AX99),"st","nd","rd"),"th"))</f>
        <v>th</v>
      </c>
      <c r="AZ99">
        <f t="shared" si="93"/>
        <v>56</v>
      </c>
      <c r="BA99" t="str">
        <f>IF(OR(VALUE(RIGHT(AZ99,5))={11,12,13}),"th",IF(OR(VALUE(RIGHT(AZ99))={1,2,3}),CHOOSE(RIGHT(AZ99),"st","nd","rd"),"th"))</f>
        <v>th</v>
      </c>
      <c r="BB99">
        <f t="shared" si="94"/>
        <v>56</v>
      </c>
      <c r="BC99" t="str">
        <f>IF(OR(VALUE(RIGHT(BB99,5))={11,12,13}),"th",IF(OR(VALUE(RIGHT(BB99))={1,2,3}),CHOOSE(RIGHT(BB99),"st","nd","rd"),"th"))</f>
        <v>th</v>
      </c>
      <c r="BD99">
        <f t="shared" si="95"/>
        <v>56</v>
      </c>
      <c r="BE99" t="str">
        <f>IF(OR(VALUE(RIGHT(BD99,5))={11,12,13}),"th",IF(OR(VALUE(RIGHT(BD99))={1,2,3}),CHOOSE(RIGHT(BD99),"st","nd","rd"),"th"))</f>
        <v>th</v>
      </c>
      <c r="BF99">
        <f t="shared" si="96"/>
        <v>56</v>
      </c>
      <c r="BG99" t="str">
        <f>IF(OR(VALUE(RIGHT(BF99,5))={11,12,13}),"th",IF(OR(VALUE(RIGHT(BF99))={1,2,3}),CHOOSE(RIGHT(BF99),"st","nd","rd"),"th"))</f>
        <v>th</v>
      </c>
      <c r="BH99">
        <f t="shared" si="97"/>
        <v>56</v>
      </c>
      <c r="BI99" t="str">
        <f>IF(OR(VALUE(RIGHT(BH99,5))={11,12,13}),"th",IF(OR(VALUE(RIGHT(BH99))={1,2,3}),CHOOSE(RIGHT(BH99),"st","nd","rd"),"th"))</f>
        <v>th</v>
      </c>
      <c r="BJ99">
        <f t="shared" si="98"/>
        <v>56</v>
      </c>
      <c r="BK99" t="str" cm="1">
        <f t="array" ref="BK99">IF(OR(VALUE(RIGHT(BJ99,5))={11,12,13}),"th",IF(OR(VALUE(RIGHT(BJ99))={1,2,3}),CHOOSE(RIGHT(BJ99),"st","nd","rd"),"th"))</f>
        <v>th</v>
      </c>
      <c r="BL99">
        <f t="shared" si="99"/>
        <v>57</v>
      </c>
      <c r="BM99" t="str">
        <f>IF(OR(VALUE(RIGHT(BL99,5))={11,12,13}),"th",IF(OR(VALUE(RIGHT(BL99))={1,2,3}),CHOOSE(RIGHT(BL99),"st","nd","rd"),"th"))</f>
        <v>th</v>
      </c>
      <c r="BO99" s="30">
        <f t="shared" si="88"/>
        <v>0</v>
      </c>
      <c r="BP99">
        <f t="shared" si="100"/>
        <v>57</v>
      </c>
      <c r="BQ99" t="str">
        <f>IF(OR(VALUE(RIGHT(BP99,5))={11,12,13}),"th",IF(OR(VALUE(RIGHT(BP99))={1,2,3}),CHOOSE(RIGHT(BP99),"st","nd","rd"),"th"))</f>
        <v>th</v>
      </c>
      <c r="BS99" s="27">
        <f>ClassScore!M99</f>
        <v>0</v>
      </c>
      <c r="BT99" s="27">
        <f>ClassScore!N99</f>
        <v>0</v>
      </c>
      <c r="BU99" s="27">
        <f>ClassScore!O99</f>
        <v>0</v>
      </c>
      <c r="BV99" s="27">
        <f>ClassScore!P99</f>
        <v>0</v>
      </c>
      <c r="BW99" s="27">
        <f>ClassScore!Q99</f>
        <v>0</v>
      </c>
      <c r="BX99" s="27">
        <f>ClassScore!R99</f>
        <v>0</v>
      </c>
      <c r="BY99" s="27">
        <f>ClassScore!S99</f>
        <v>0</v>
      </c>
      <c r="BZ99" s="27">
        <f>ClassScore!T99</f>
        <v>0</v>
      </c>
      <c r="CA99" s="27">
        <f>ClassScore!U99</f>
        <v>0</v>
      </c>
      <c r="CB99" s="27">
        <f>ClassScore!V99</f>
        <v>0</v>
      </c>
      <c r="CD99" s="27">
        <f>Examscore!M99</f>
        <v>0</v>
      </c>
      <c r="CE99" s="27">
        <f>Examscore!N99</f>
        <v>0</v>
      </c>
      <c r="CF99" s="27">
        <f>Examscore!O99</f>
        <v>0</v>
      </c>
      <c r="CG99" s="27">
        <f>Examscore!P99</f>
        <v>0</v>
      </c>
      <c r="CH99" s="27">
        <f>Examscore!Q99</f>
        <v>0</v>
      </c>
      <c r="CI99" s="27">
        <f>Examscore!R99</f>
        <v>0</v>
      </c>
      <c r="CJ99" s="27">
        <f>Examscore!S99</f>
        <v>0</v>
      </c>
      <c r="CK99" s="27">
        <f>Examscore!T99</f>
        <v>0</v>
      </c>
      <c r="CL99" s="27">
        <f>Examscore!U99</f>
        <v>0</v>
      </c>
      <c r="CM99" s="27">
        <f>Examscore!V99</f>
        <v>0</v>
      </c>
    </row>
    <row r="100" spans="1:91" ht="15.75" x14ac:dyDescent="0.25">
      <c r="A100" s="5">
        <f>Student!A100</f>
        <v>0</v>
      </c>
      <c r="B100" s="21">
        <f>Student!B100</f>
        <v>0</v>
      </c>
      <c r="C100" s="28">
        <f>ClassScore!M100+Examscore!M100</f>
        <v>0</v>
      </c>
      <c r="D100" s="28">
        <f>ClassScore!N100+Examscore!N100</f>
        <v>0</v>
      </c>
      <c r="E100" s="28">
        <f>ClassScore!O100+Examscore!O100</f>
        <v>0</v>
      </c>
      <c r="F100" s="28">
        <f>ClassScore!P100+Examscore!P100</f>
        <v>0</v>
      </c>
      <c r="G100" s="28">
        <f>ClassScore!Q100+Examscore!Q100</f>
        <v>0</v>
      </c>
      <c r="H100" s="28">
        <f>ClassScore!R100+Examscore!R100</f>
        <v>0</v>
      </c>
      <c r="I100" s="28">
        <f>ClassScore!S100+Examscore!S100</f>
        <v>0</v>
      </c>
      <c r="J100" s="28">
        <f>ClassScore!T100+Examscore!T100</f>
        <v>0</v>
      </c>
      <c r="K100" s="28">
        <f>ClassScore!U100+Examscore!U100</f>
        <v>0</v>
      </c>
      <c r="L100" s="28">
        <f>ClassScore!V100+Examscore!V100</f>
        <v>0</v>
      </c>
      <c r="M100" s="5" t="str">
        <f t="shared" si="57"/>
        <v>--</v>
      </c>
      <c r="N100" s="5" t="str">
        <f t="shared" si="58"/>
        <v>--</v>
      </c>
      <c r="O100" s="5" t="str">
        <f t="shared" si="59"/>
        <v>--</v>
      </c>
      <c r="P100" s="5" t="str">
        <f t="shared" si="60"/>
        <v>--</v>
      </c>
      <c r="Q100" s="5" t="str">
        <f t="shared" si="61"/>
        <v>--</v>
      </c>
      <c r="R100" s="5" t="str">
        <f t="shared" si="62"/>
        <v>--</v>
      </c>
      <c r="S100" s="5" t="str">
        <f t="shared" si="63"/>
        <v>--</v>
      </c>
      <c r="T100" s="5" t="str">
        <f t="shared" si="64"/>
        <v>--</v>
      </c>
      <c r="U100" s="5" t="str">
        <f t="shared" si="65"/>
        <v>--</v>
      </c>
      <c r="V100" s="5" t="str">
        <f t="shared" si="66"/>
        <v>--</v>
      </c>
      <c r="W100" s="5" t="str">
        <f t="shared" si="67"/>
        <v>--</v>
      </c>
      <c r="X100" s="5" t="str">
        <f t="shared" si="68"/>
        <v>--</v>
      </c>
      <c r="Y100" s="5" t="str">
        <f t="shared" si="69"/>
        <v>--</v>
      </c>
      <c r="Z100" s="5" t="str">
        <f t="shared" si="70"/>
        <v>--</v>
      </c>
      <c r="AA100" s="5" t="str">
        <f t="shared" si="71"/>
        <v>--</v>
      </c>
      <c r="AB100" s="5" t="str">
        <f t="shared" si="72"/>
        <v>--</v>
      </c>
      <c r="AC100" s="5" t="str">
        <f t="shared" si="73"/>
        <v>--</v>
      </c>
      <c r="AD100" s="5" t="str">
        <f t="shared" si="74"/>
        <v>--</v>
      </c>
      <c r="AE100" s="5" t="str">
        <f t="shared" si="75"/>
        <v>--</v>
      </c>
      <c r="AF100" s="5" t="str">
        <f t="shared" si="76"/>
        <v>--</v>
      </c>
      <c r="AG100" s="34">
        <f>SUM(C100,D100,F100,G100)+LARGE((E100,H100,I100,J100,K100,L100),1)+LARGE((E100,H100,I100,J100,K100,L100),2)</f>
        <v>0</v>
      </c>
      <c r="AH100" s="5" t="e">
        <f>SUM(W100,X100,Z100,AA100)+SMALL((Y100,AB100,AC100,AD100,AE100,AF100),1)+SMALL((Y100,AB100,AC100,AD100,AE100,AF100),2)</f>
        <v>#NUM!</v>
      </c>
      <c r="AI100" s="15">
        <f>'Teacher''s Remarks'!M101</f>
        <v>0</v>
      </c>
      <c r="AJ100" s="15">
        <f>'Teacher''s Remarks'!N101</f>
        <v>0</v>
      </c>
      <c r="AK100" s="15">
        <f>'Teacher''s Remarks'!O101</f>
        <v>0</v>
      </c>
      <c r="AL100" s="15">
        <f>'Teacher''s Remarks'!P101</f>
        <v>0</v>
      </c>
      <c r="AM100" s="13">
        <f t="shared" si="56"/>
        <v>0</v>
      </c>
      <c r="AN100" s="14">
        <f>Attendance!B100</f>
        <v>0</v>
      </c>
      <c r="AO100" s="15"/>
      <c r="AP100" s="15"/>
      <c r="AQ100" s="22">
        <f t="shared" ca="1" si="77"/>
        <v>45764</v>
      </c>
      <c r="AR100" s="15"/>
      <c r="AT100" s="12">
        <f t="shared" si="90"/>
        <v>56</v>
      </c>
      <c r="AU100" t="str">
        <f>IF(OR(VALUE(RIGHT(AT100,5))={11,12,13}),"th",IF(OR(VALUE(RIGHT(AT100))={1,2,3}),CHOOSE(RIGHT(AT100),"st","nd","rd"),"th"))</f>
        <v>th</v>
      </c>
      <c r="AV100">
        <f t="shared" si="91"/>
        <v>56</v>
      </c>
      <c r="AW100" t="str">
        <f>IF(OR(VALUE(RIGHT(AV100,5))={11,12,13}),"th",IF(OR(VALUE(RIGHT(AV100))={1,2,3}),CHOOSE(RIGHT(AV100),"st","nd","rd"),"th"))</f>
        <v>th</v>
      </c>
      <c r="AX100">
        <f t="shared" si="92"/>
        <v>56</v>
      </c>
      <c r="AY100" t="str">
        <f>IF(OR(VALUE(RIGHT(AX100,5))={11,12,13}),"th",IF(OR(VALUE(RIGHT(AX100))={1,2,3}),CHOOSE(RIGHT(AX100),"st","nd","rd"),"th"))</f>
        <v>th</v>
      </c>
      <c r="AZ100">
        <f t="shared" si="93"/>
        <v>56</v>
      </c>
      <c r="BA100" t="str">
        <f>IF(OR(VALUE(RIGHT(AZ100,5))={11,12,13}),"th",IF(OR(VALUE(RIGHT(AZ100))={1,2,3}),CHOOSE(RIGHT(AZ100),"st","nd","rd"),"th"))</f>
        <v>th</v>
      </c>
      <c r="BB100">
        <f t="shared" si="94"/>
        <v>56</v>
      </c>
      <c r="BC100" t="str">
        <f>IF(OR(VALUE(RIGHT(BB100,5))={11,12,13}),"th",IF(OR(VALUE(RIGHT(BB100))={1,2,3}),CHOOSE(RIGHT(BB100),"st","nd","rd"),"th"))</f>
        <v>th</v>
      </c>
      <c r="BD100">
        <f t="shared" si="95"/>
        <v>56</v>
      </c>
      <c r="BE100" t="str">
        <f>IF(OR(VALUE(RIGHT(BD100,5))={11,12,13}),"th",IF(OR(VALUE(RIGHT(BD100))={1,2,3}),CHOOSE(RIGHT(BD100),"st","nd","rd"),"th"))</f>
        <v>th</v>
      </c>
      <c r="BF100">
        <f t="shared" si="96"/>
        <v>56</v>
      </c>
      <c r="BG100" t="str">
        <f>IF(OR(VALUE(RIGHT(BF100,5))={11,12,13}),"th",IF(OR(VALUE(RIGHT(BF100))={1,2,3}),CHOOSE(RIGHT(BF100),"st","nd","rd"),"th"))</f>
        <v>th</v>
      </c>
      <c r="BH100">
        <f t="shared" si="97"/>
        <v>56</v>
      </c>
      <c r="BI100" t="str">
        <f>IF(OR(VALUE(RIGHT(BH100,5))={11,12,13}),"th",IF(OR(VALUE(RIGHT(BH100))={1,2,3}),CHOOSE(RIGHT(BH100),"st","nd","rd"),"th"))</f>
        <v>th</v>
      </c>
      <c r="BJ100">
        <f t="shared" si="98"/>
        <v>56</v>
      </c>
      <c r="BK100" t="str" cm="1">
        <f t="array" ref="BK100">IF(OR(VALUE(RIGHT(BJ100,5))={11,12,13}),"th",IF(OR(VALUE(RIGHT(BJ100))={1,2,3}),CHOOSE(RIGHT(BJ100),"st","nd","rd"),"th"))</f>
        <v>th</v>
      </c>
      <c r="BL100">
        <f t="shared" si="99"/>
        <v>57</v>
      </c>
      <c r="BM100" t="str">
        <f>IF(OR(VALUE(RIGHT(BL100,5))={11,12,13}),"th",IF(OR(VALUE(RIGHT(BL100))={1,2,3}),CHOOSE(RIGHT(BL100),"st","nd","rd"),"th"))</f>
        <v>th</v>
      </c>
      <c r="BO100" s="30">
        <f t="shared" si="88"/>
        <v>0</v>
      </c>
      <c r="BP100">
        <f t="shared" si="100"/>
        <v>57</v>
      </c>
      <c r="BQ100" t="str">
        <f>IF(OR(VALUE(RIGHT(BP100,5))={11,12,13}),"th",IF(OR(VALUE(RIGHT(BP100))={1,2,3}),CHOOSE(RIGHT(BP100),"st","nd","rd"),"th"))</f>
        <v>th</v>
      </c>
      <c r="BS100" s="27">
        <f>ClassScore!M100</f>
        <v>0</v>
      </c>
      <c r="BT100" s="27">
        <f>ClassScore!N100</f>
        <v>0</v>
      </c>
      <c r="BU100" s="27">
        <f>ClassScore!O100</f>
        <v>0</v>
      </c>
      <c r="BV100" s="27">
        <f>ClassScore!P100</f>
        <v>0</v>
      </c>
      <c r="BW100" s="27">
        <f>ClassScore!Q100</f>
        <v>0</v>
      </c>
      <c r="BX100" s="27">
        <f>ClassScore!R100</f>
        <v>0</v>
      </c>
      <c r="BY100" s="27">
        <f>ClassScore!S100</f>
        <v>0</v>
      </c>
      <c r="BZ100" s="27">
        <f>ClassScore!T100</f>
        <v>0</v>
      </c>
      <c r="CA100" s="27">
        <f>ClassScore!U100</f>
        <v>0</v>
      </c>
      <c r="CB100" s="27">
        <f>ClassScore!V100</f>
        <v>0</v>
      </c>
      <c r="CD100" s="27">
        <f>Examscore!M100</f>
        <v>0</v>
      </c>
      <c r="CE100" s="27">
        <f>Examscore!N100</f>
        <v>0</v>
      </c>
      <c r="CF100" s="27">
        <f>Examscore!O100</f>
        <v>0</v>
      </c>
      <c r="CG100" s="27">
        <f>Examscore!P100</f>
        <v>0</v>
      </c>
      <c r="CH100" s="27">
        <f>Examscore!Q100</f>
        <v>0</v>
      </c>
      <c r="CI100" s="27">
        <f>Examscore!R100</f>
        <v>0</v>
      </c>
      <c r="CJ100" s="27">
        <f>Examscore!S100</f>
        <v>0</v>
      </c>
      <c r="CK100" s="27">
        <f>Examscore!T100</f>
        <v>0</v>
      </c>
      <c r="CL100" s="27">
        <f>Examscore!U100</f>
        <v>0</v>
      </c>
      <c r="CM100" s="27">
        <f>Examscore!V100</f>
        <v>0</v>
      </c>
    </row>
    <row r="101" spans="1:91" ht="15.75" x14ac:dyDescent="0.25">
      <c r="A101" s="5">
        <f>Student!A101</f>
        <v>0</v>
      </c>
      <c r="B101" s="21">
        <f>Student!B101</f>
        <v>0</v>
      </c>
      <c r="C101" s="28">
        <f>ClassScore!M101+Examscore!M101</f>
        <v>0</v>
      </c>
      <c r="D101" s="28">
        <f>ClassScore!N101+Examscore!N101</f>
        <v>0</v>
      </c>
      <c r="E101" s="28">
        <f>ClassScore!O101+Examscore!O101</f>
        <v>0</v>
      </c>
      <c r="F101" s="28">
        <f>ClassScore!P101+Examscore!P101</f>
        <v>0</v>
      </c>
      <c r="G101" s="28">
        <f>ClassScore!Q101+Examscore!Q101</f>
        <v>0</v>
      </c>
      <c r="H101" s="28">
        <f>ClassScore!R101+Examscore!R101</f>
        <v>0</v>
      </c>
      <c r="I101" s="28">
        <f>ClassScore!S101+Examscore!S101</f>
        <v>0</v>
      </c>
      <c r="J101" s="28">
        <f>ClassScore!T101+Examscore!T101</f>
        <v>0</v>
      </c>
      <c r="K101" s="28">
        <f>ClassScore!U101+Examscore!U101</f>
        <v>0</v>
      </c>
      <c r="L101" s="28">
        <f>ClassScore!V101+Examscore!V101</f>
        <v>0</v>
      </c>
      <c r="M101" s="5" t="str">
        <f t="shared" si="57"/>
        <v>--</v>
      </c>
      <c r="N101" s="5" t="str">
        <f t="shared" si="58"/>
        <v>--</v>
      </c>
      <c r="O101" s="5" t="str">
        <f t="shared" si="59"/>
        <v>--</v>
      </c>
      <c r="P101" s="5" t="str">
        <f t="shared" si="60"/>
        <v>--</v>
      </c>
      <c r="Q101" s="5" t="str">
        <f t="shared" si="61"/>
        <v>--</v>
      </c>
      <c r="R101" s="5" t="str">
        <f t="shared" si="62"/>
        <v>--</v>
      </c>
      <c r="S101" s="5" t="str">
        <f t="shared" si="63"/>
        <v>--</v>
      </c>
      <c r="T101" s="5" t="str">
        <f t="shared" si="64"/>
        <v>--</v>
      </c>
      <c r="U101" s="5" t="str">
        <f t="shared" si="65"/>
        <v>--</v>
      </c>
      <c r="V101" s="5" t="str">
        <f t="shared" si="66"/>
        <v>--</v>
      </c>
      <c r="W101" s="5" t="str">
        <f t="shared" si="67"/>
        <v>--</v>
      </c>
      <c r="X101" s="5" t="str">
        <f t="shared" si="68"/>
        <v>--</v>
      </c>
      <c r="Y101" s="5" t="str">
        <f t="shared" si="69"/>
        <v>--</v>
      </c>
      <c r="Z101" s="5" t="str">
        <f t="shared" si="70"/>
        <v>--</v>
      </c>
      <c r="AA101" s="5" t="str">
        <f t="shared" si="71"/>
        <v>--</v>
      </c>
      <c r="AB101" s="5" t="str">
        <f t="shared" si="72"/>
        <v>--</v>
      </c>
      <c r="AC101" s="5" t="str">
        <f t="shared" si="73"/>
        <v>--</v>
      </c>
      <c r="AD101" s="5" t="str">
        <f t="shared" si="74"/>
        <v>--</v>
      </c>
      <c r="AE101" s="5" t="str">
        <f t="shared" si="75"/>
        <v>--</v>
      </c>
      <c r="AF101" s="5" t="str">
        <f t="shared" si="76"/>
        <v>--</v>
      </c>
      <c r="AG101" s="34">
        <f>SUM(C101,D101,F101,G101)+LARGE((E101,H101,I101,J101,K101,L101),1)+LARGE((E101,H101,I101,J101,K101,L101),2)</f>
        <v>0</v>
      </c>
      <c r="AH101" s="5" t="e">
        <f>SUM(W101,X101,Z101,AA101)+SMALL((Y101,AB101,AC101,AD101,AE101,AF101),1)+SMALL((Y101,AB101,AC101,AD101,AE101,AF101),2)</f>
        <v>#NUM!</v>
      </c>
      <c r="AI101" s="15">
        <f>'Teacher''s Remarks'!M102</f>
        <v>0</v>
      </c>
      <c r="AJ101" s="15">
        <f>'Teacher''s Remarks'!N102</f>
        <v>0</v>
      </c>
      <c r="AK101" s="15">
        <f>'Teacher''s Remarks'!O102</f>
        <v>0</v>
      </c>
      <c r="AL101" s="15">
        <f>'Teacher''s Remarks'!P102</f>
        <v>0</v>
      </c>
      <c r="AM101" s="13">
        <f t="shared" si="56"/>
        <v>0</v>
      </c>
      <c r="AN101" s="14">
        <f>Attendance!B101</f>
        <v>0</v>
      </c>
      <c r="AO101" s="15"/>
      <c r="AP101" s="15"/>
      <c r="AQ101" s="22">
        <f t="shared" ca="1" si="77"/>
        <v>45764</v>
      </c>
      <c r="AR101" s="15"/>
      <c r="AT101" s="12">
        <f t="shared" si="90"/>
        <v>56</v>
      </c>
      <c r="AU101" t="str">
        <f>IF(OR(VALUE(RIGHT(AT101,5))={11,12,13}),"th",IF(OR(VALUE(RIGHT(AT101))={1,2,3}),CHOOSE(RIGHT(AT101),"st","nd","rd"),"th"))</f>
        <v>th</v>
      </c>
      <c r="AV101">
        <f t="shared" si="91"/>
        <v>56</v>
      </c>
      <c r="AW101" t="str">
        <f>IF(OR(VALUE(RIGHT(AV101,5))={11,12,13}),"th",IF(OR(VALUE(RIGHT(AV101))={1,2,3}),CHOOSE(RIGHT(AV101),"st","nd","rd"),"th"))</f>
        <v>th</v>
      </c>
      <c r="AX101">
        <f t="shared" si="92"/>
        <v>56</v>
      </c>
      <c r="AY101" t="str">
        <f>IF(OR(VALUE(RIGHT(AX101,5))={11,12,13}),"th",IF(OR(VALUE(RIGHT(AX101))={1,2,3}),CHOOSE(RIGHT(AX101),"st","nd","rd"),"th"))</f>
        <v>th</v>
      </c>
      <c r="AZ101">
        <f t="shared" si="93"/>
        <v>56</v>
      </c>
      <c r="BA101" t="str">
        <f>IF(OR(VALUE(RIGHT(AZ101,5))={11,12,13}),"th",IF(OR(VALUE(RIGHT(AZ101))={1,2,3}),CHOOSE(RIGHT(AZ101),"st","nd","rd"),"th"))</f>
        <v>th</v>
      </c>
      <c r="BB101">
        <f t="shared" si="94"/>
        <v>56</v>
      </c>
      <c r="BC101" t="str">
        <f>IF(OR(VALUE(RIGHT(BB101,5))={11,12,13}),"th",IF(OR(VALUE(RIGHT(BB101))={1,2,3}),CHOOSE(RIGHT(BB101),"st","nd","rd"),"th"))</f>
        <v>th</v>
      </c>
      <c r="BD101">
        <f t="shared" si="95"/>
        <v>56</v>
      </c>
      <c r="BE101" t="str">
        <f>IF(OR(VALUE(RIGHT(BD101,5))={11,12,13}),"th",IF(OR(VALUE(RIGHT(BD101))={1,2,3}),CHOOSE(RIGHT(BD101),"st","nd","rd"),"th"))</f>
        <v>th</v>
      </c>
      <c r="BF101">
        <f t="shared" si="96"/>
        <v>56</v>
      </c>
      <c r="BG101" t="str">
        <f>IF(OR(VALUE(RIGHT(BF101,5))={11,12,13}),"th",IF(OR(VALUE(RIGHT(BF101))={1,2,3}),CHOOSE(RIGHT(BF101),"st","nd","rd"),"th"))</f>
        <v>th</v>
      </c>
      <c r="BH101">
        <f t="shared" si="97"/>
        <v>56</v>
      </c>
      <c r="BI101" t="str">
        <f>IF(OR(VALUE(RIGHT(BH101,5))={11,12,13}),"th",IF(OR(VALUE(RIGHT(BH101))={1,2,3}),CHOOSE(RIGHT(BH101),"st","nd","rd"),"th"))</f>
        <v>th</v>
      </c>
      <c r="BJ101">
        <f t="shared" si="98"/>
        <v>56</v>
      </c>
      <c r="BK101" t="str" cm="1">
        <f t="array" ref="BK101">IF(OR(VALUE(RIGHT(BJ101,5))={11,12,13}),"th",IF(OR(VALUE(RIGHT(BJ101))={1,2,3}),CHOOSE(RIGHT(BJ101),"st","nd","rd"),"th"))</f>
        <v>th</v>
      </c>
      <c r="BL101">
        <f t="shared" si="99"/>
        <v>57</v>
      </c>
      <c r="BM101" t="str">
        <f>IF(OR(VALUE(RIGHT(BL101,5))={11,12,13}),"th",IF(OR(VALUE(RIGHT(BL101))={1,2,3}),CHOOSE(RIGHT(BL101),"st","nd","rd"),"th"))</f>
        <v>th</v>
      </c>
      <c r="BO101" s="30">
        <f t="shared" si="88"/>
        <v>0</v>
      </c>
      <c r="BP101">
        <f t="shared" si="100"/>
        <v>57</v>
      </c>
      <c r="BQ101" t="str">
        <f>IF(OR(VALUE(RIGHT(BP101,5))={11,12,13}),"th",IF(OR(VALUE(RIGHT(BP101))={1,2,3}),CHOOSE(RIGHT(BP101),"st","nd","rd"),"th"))</f>
        <v>th</v>
      </c>
      <c r="BS101" s="27">
        <f>ClassScore!M101</f>
        <v>0</v>
      </c>
      <c r="BT101" s="27">
        <f>ClassScore!N101</f>
        <v>0</v>
      </c>
      <c r="BU101" s="27">
        <f>ClassScore!O101</f>
        <v>0</v>
      </c>
      <c r="BV101" s="27">
        <f>ClassScore!P101</f>
        <v>0</v>
      </c>
      <c r="BW101" s="27">
        <f>ClassScore!Q101</f>
        <v>0</v>
      </c>
      <c r="BX101" s="27">
        <f>ClassScore!R101</f>
        <v>0</v>
      </c>
      <c r="BY101" s="27">
        <f>ClassScore!S101</f>
        <v>0</v>
      </c>
      <c r="BZ101" s="27">
        <f>ClassScore!T101</f>
        <v>0</v>
      </c>
      <c r="CA101" s="27">
        <f>ClassScore!U101</f>
        <v>0</v>
      </c>
      <c r="CB101" s="27">
        <f>ClassScore!V101</f>
        <v>0</v>
      </c>
      <c r="CD101" s="27">
        <f>Examscore!M101</f>
        <v>0</v>
      </c>
      <c r="CE101" s="27">
        <f>Examscore!N101</f>
        <v>0</v>
      </c>
      <c r="CF101" s="27">
        <f>Examscore!O101</f>
        <v>0</v>
      </c>
      <c r="CG101" s="27">
        <f>Examscore!P101</f>
        <v>0</v>
      </c>
      <c r="CH101" s="27">
        <f>Examscore!Q101</f>
        <v>0</v>
      </c>
      <c r="CI101" s="27">
        <f>Examscore!R101</f>
        <v>0</v>
      </c>
      <c r="CJ101" s="27">
        <f>Examscore!S101</f>
        <v>0</v>
      </c>
      <c r="CK101" s="27">
        <f>Examscore!T101</f>
        <v>0</v>
      </c>
      <c r="CL101" s="27">
        <f>Examscore!U101</f>
        <v>0</v>
      </c>
      <c r="CM101" s="27">
        <f>Examscore!V101</f>
        <v>0</v>
      </c>
    </row>
    <row r="102" spans="1:91" ht="15.75" x14ac:dyDescent="0.25">
      <c r="A102" s="5">
        <f>Student!A102</f>
        <v>0</v>
      </c>
      <c r="B102" s="21">
        <f>Student!B102</f>
        <v>0</v>
      </c>
      <c r="C102" s="28">
        <f>ClassScore!M102+Examscore!M102</f>
        <v>0</v>
      </c>
      <c r="D102" s="28">
        <f>ClassScore!N102+Examscore!N102</f>
        <v>0</v>
      </c>
      <c r="E102" s="28">
        <f>ClassScore!O102+Examscore!O102</f>
        <v>0</v>
      </c>
      <c r="F102" s="28">
        <f>ClassScore!P102+Examscore!P102</f>
        <v>0</v>
      </c>
      <c r="G102" s="28">
        <f>ClassScore!Q102+Examscore!Q102</f>
        <v>0</v>
      </c>
      <c r="H102" s="28">
        <f>ClassScore!R102+Examscore!R102</f>
        <v>0</v>
      </c>
      <c r="I102" s="28">
        <f>ClassScore!S102+Examscore!S102</f>
        <v>0</v>
      </c>
      <c r="J102" s="28">
        <f>ClassScore!T102+Examscore!T102</f>
        <v>0</v>
      </c>
      <c r="K102" s="28">
        <f>ClassScore!U102+Examscore!U102</f>
        <v>0</v>
      </c>
      <c r="L102" s="28">
        <f>ClassScore!V102+Examscore!V102</f>
        <v>0</v>
      </c>
      <c r="M102" s="5" t="str">
        <f t="shared" si="57"/>
        <v>--</v>
      </c>
      <c r="N102" s="5" t="str">
        <f t="shared" si="58"/>
        <v>--</v>
      </c>
      <c r="O102" s="5" t="str">
        <f t="shared" si="59"/>
        <v>--</v>
      </c>
      <c r="P102" s="5" t="str">
        <f t="shared" si="60"/>
        <v>--</v>
      </c>
      <c r="Q102" s="5" t="str">
        <f t="shared" si="61"/>
        <v>--</v>
      </c>
      <c r="R102" s="5" t="str">
        <f t="shared" si="62"/>
        <v>--</v>
      </c>
      <c r="S102" s="5" t="str">
        <f t="shared" si="63"/>
        <v>--</v>
      </c>
      <c r="T102" s="5" t="str">
        <f t="shared" si="64"/>
        <v>--</v>
      </c>
      <c r="U102" s="5" t="str">
        <f t="shared" si="65"/>
        <v>--</v>
      </c>
      <c r="V102" s="5" t="str">
        <f t="shared" si="66"/>
        <v>--</v>
      </c>
      <c r="W102" s="5" t="str">
        <f t="shared" si="67"/>
        <v>--</v>
      </c>
      <c r="X102" s="5" t="str">
        <f t="shared" si="68"/>
        <v>--</v>
      </c>
      <c r="Y102" s="5" t="str">
        <f t="shared" si="69"/>
        <v>--</v>
      </c>
      <c r="Z102" s="5" t="str">
        <f t="shared" si="70"/>
        <v>--</v>
      </c>
      <c r="AA102" s="5" t="str">
        <f t="shared" si="71"/>
        <v>--</v>
      </c>
      <c r="AB102" s="5" t="str">
        <f t="shared" si="72"/>
        <v>--</v>
      </c>
      <c r="AC102" s="5" t="str">
        <f t="shared" si="73"/>
        <v>--</v>
      </c>
      <c r="AD102" s="5" t="str">
        <f t="shared" si="74"/>
        <v>--</v>
      </c>
      <c r="AE102" s="5" t="str">
        <f t="shared" si="75"/>
        <v>--</v>
      </c>
      <c r="AF102" s="5" t="str">
        <f t="shared" si="76"/>
        <v>--</v>
      </c>
      <c r="AG102" s="34">
        <f>SUM(C102,D102,F102,G102)+LARGE((E102,H102,I102,J102,K102,L102),1)+LARGE((E102,H102,I102,J102,K102,L102),2)</f>
        <v>0</v>
      </c>
      <c r="AH102" s="5" t="e">
        <f>SUM(W102,X102,Z102,AA102)+SMALL((Y102,AB102,AC102,AD102,AE102,AF102),1)+SMALL((Y102,AB102,AC102,AD102,AE102,AF102),2)</f>
        <v>#NUM!</v>
      </c>
      <c r="AI102" s="15">
        <f>'Teacher''s Remarks'!M103</f>
        <v>0</v>
      </c>
      <c r="AJ102" s="15">
        <f>'Teacher''s Remarks'!N103</f>
        <v>0</v>
      </c>
      <c r="AK102" s="15">
        <f>'Teacher''s Remarks'!O103</f>
        <v>0</v>
      </c>
      <c r="AL102" s="15">
        <f>'Teacher''s Remarks'!P103</f>
        <v>0</v>
      </c>
      <c r="AM102" s="13">
        <f t="shared" si="56"/>
        <v>0</v>
      </c>
      <c r="AN102" s="14">
        <f>Attendance!B102</f>
        <v>0</v>
      </c>
      <c r="AO102" s="15"/>
      <c r="AP102" s="15"/>
      <c r="AQ102" s="22">
        <f t="shared" ca="1" si="77"/>
        <v>45764</v>
      </c>
      <c r="AR102" s="15"/>
      <c r="AT102" s="12">
        <f t="shared" si="90"/>
        <v>56</v>
      </c>
      <c r="AU102" t="str">
        <f>IF(OR(VALUE(RIGHT(AT102,5))={11,12,13}),"th",IF(OR(VALUE(RIGHT(AT102))={1,2,3}),CHOOSE(RIGHT(AT102),"st","nd","rd"),"th"))</f>
        <v>th</v>
      </c>
      <c r="AV102">
        <f t="shared" si="91"/>
        <v>56</v>
      </c>
      <c r="AW102" t="str">
        <f>IF(OR(VALUE(RIGHT(AV102,5))={11,12,13}),"th",IF(OR(VALUE(RIGHT(AV102))={1,2,3}),CHOOSE(RIGHT(AV102),"st","nd","rd"),"th"))</f>
        <v>th</v>
      </c>
      <c r="AX102">
        <f t="shared" si="92"/>
        <v>56</v>
      </c>
      <c r="AY102" t="str">
        <f>IF(OR(VALUE(RIGHT(AX102,5))={11,12,13}),"th",IF(OR(VALUE(RIGHT(AX102))={1,2,3}),CHOOSE(RIGHT(AX102),"st","nd","rd"),"th"))</f>
        <v>th</v>
      </c>
      <c r="AZ102">
        <f t="shared" si="93"/>
        <v>56</v>
      </c>
      <c r="BA102" t="str">
        <f>IF(OR(VALUE(RIGHT(AZ102,5))={11,12,13}),"th",IF(OR(VALUE(RIGHT(AZ102))={1,2,3}),CHOOSE(RIGHT(AZ102),"st","nd","rd"),"th"))</f>
        <v>th</v>
      </c>
      <c r="BB102">
        <f t="shared" si="94"/>
        <v>56</v>
      </c>
      <c r="BC102" t="str">
        <f>IF(OR(VALUE(RIGHT(BB102,5))={11,12,13}),"th",IF(OR(VALUE(RIGHT(BB102))={1,2,3}),CHOOSE(RIGHT(BB102),"st","nd","rd"),"th"))</f>
        <v>th</v>
      </c>
      <c r="BD102">
        <f t="shared" si="95"/>
        <v>56</v>
      </c>
      <c r="BE102" t="str">
        <f>IF(OR(VALUE(RIGHT(BD102,5))={11,12,13}),"th",IF(OR(VALUE(RIGHT(BD102))={1,2,3}),CHOOSE(RIGHT(BD102),"st","nd","rd"),"th"))</f>
        <v>th</v>
      </c>
      <c r="BF102">
        <f t="shared" si="96"/>
        <v>56</v>
      </c>
      <c r="BG102" t="str">
        <f>IF(OR(VALUE(RIGHT(BF102,5))={11,12,13}),"th",IF(OR(VALUE(RIGHT(BF102))={1,2,3}),CHOOSE(RIGHT(BF102),"st","nd","rd"),"th"))</f>
        <v>th</v>
      </c>
      <c r="BH102">
        <f t="shared" si="97"/>
        <v>56</v>
      </c>
      <c r="BI102" t="str">
        <f>IF(OR(VALUE(RIGHT(BH102,5))={11,12,13}),"th",IF(OR(VALUE(RIGHT(BH102))={1,2,3}),CHOOSE(RIGHT(BH102),"st","nd","rd"),"th"))</f>
        <v>th</v>
      </c>
      <c r="BJ102">
        <f t="shared" si="98"/>
        <v>56</v>
      </c>
      <c r="BK102" t="str" cm="1">
        <f t="array" ref="BK102">IF(OR(VALUE(RIGHT(BJ102,5))={11,12,13}),"th",IF(OR(VALUE(RIGHT(BJ102))={1,2,3}),CHOOSE(RIGHT(BJ102),"st","nd","rd"),"th"))</f>
        <v>th</v>
      </c>
      <c r="BL102">
        <f t="shared" si="99"/>
        <v>57</v>
      </c>
      <c r="BM102" t="str">
        <f>IF(OR(VALUE(RIGHT(BL102,5))={11,12,13}),"th",IF(OR(VALUE(RIGHT(BL102))={1,2,3}),CHOOSE(RIGHT(BL102),"st","nd","rd"),"th"))</f>
        <v>th</v>
      </c>
      <c r="BO102" s="30">
        <f t="shared" si="88"/>
        <v>0</v>
      </c>
      <c r="BP102">
        <f t="shared" si="100"/>
        <v>57</v>
      </c>
      <c r="BQ102" t="str">
        <f>IF(OR(VALUE(RIGHT(BP102,5))={11,12,13}),"th",IF(OR(VALUE(RIGHT(BP102))={1,2,3}),CHOOSE(RIGHT(BP102),"st","nd","rd"),"th"))</f>
        <v>th</v>
      </c>
      <c r="BS102" s="27">
        <f>ClassScore!M102</f>
        <v>0</v>
      </c>
      <c r="BT102" s="27">
        <f>ClassScore!N102</f>
        <v>0</v>
      </c>
      <c r="BU102" s="27">
        <f>ClassScore!O102</f>
        <v>0</v>
      </c>
      <c r="BV102" s="27">
        <f>ClassScore!P102</f>
        <v>0</v>
      </c>
      <c r="BW102" s="27">
        <f>ClassScore!Q102</f>
        <v>0</v>
      </c>
      <c r="BX102" s="27">
        <f>ClassScore!R102</f>
        <v>0</v>
      </c>
      <c r="BY102" s="27">
        <f>ClassScore!S102</f>
        <v>0</v>
      </c>
      <c r="BZ102" s="27">
        <f>ClassScore!T102</f>
        <v>0</v>
      </c>
      <c r="CA102" s="27">
        <f>ClassScore!U102</f>
        <v>0</v>
      </c>
      <c r="CB102" s="27">
        <f>ClassScore!V102</f>
        <v>0</v>
      </c>
      <c r="CD102" s="27">
        <f>Examscore!M102</f>
        <v>0</v>
      </c>
      <c r="CE102" s="27">
        <f>Examscore!N102</f>
        <v>0</v>
      </c>
      <c r="CF102" s="27">
        <f>Examscore!O102</f>
        <v>0</v>
      </c>
      <c r="CG102" s="27">
        <f>Examscore!P102</f>
        <v>0</v>
      </c>
      <c r="CH102" s="27">
        <f>Examscore!Q102</f>
        <v>0</v>
      </c>
      <c r="CI102" s="27">
        <f>Examscore!R102</f>
        <v>0</v>
      </c>
      <c r="CJ102" s="27">
        <f>Examscore!S102</f>
        <v>0</v>
      </c>
      <c r="CK102" s="27">
        <f>Examscore!T102</f>
        <v>0</v>
      </c>
      <c r="CL102" s="27">
        <f>Examscore!U102</f>
        <v>0</v>
      </c>
      <c r="CM102" s="27">
        <f>Examscore!V102</f>
        <v>0</v>
      </c>
    </row>
    <row r="103" spans="1:91" ht="15.75" x14ac:dyDescent="0.25">
      <c r="A103" s="5">
        <f>Student!A103</f>
        <v>0</v>
      </c>
      <c r="B103" s="21">
        <f>Student!B103</f>
        <v>0</v>
      </c>
      <c r="C103" s="28">
        <f>ClassScore!M103+Examscore!M103</f>
        <v>0</v>
      </c>
      <c r="D103" s="28">
        <f>ClassScore!N103+Examscore!N103</f>
        <v>0</v>
      </c>
      <c r="E103" s="28">
        <f>ClassScore!O103+Examscore!O103</f>
        <v>0</v>
      </c>
      <c r="F103" s="28">
        <f>ClassScore!P103+Examscore!P103</f>
        <v>0</v>
      </c>
      <c r="G103" s="28">
        <f>ClassScore!Q103+Examscore!Q103</f>
        <v>0</v>
      </c>
      <c r="H103" s="28">
        <f>ClassScore!R103+Examscore!R103</f>
        <v>0</v>
      </c>
      <c r="I103" s="28">
        <f>ClassScore!S103+Examscore!S103</f>
        <v>0</v>
      </c>
      <c r="J103" s="28">
        <f>ClassScore!T103+Examscore!T103</f>
        <v>0</v>
      </c>
      <c r="K103" s="28">
        <f>ClassScore!U103+Examscore!U103</f>
        <v>0</v>
      </c>
      <c r="L103" s="28">
        <f>ClassScore!V103+Examscore!V103</f>
        <v>0</v>
      </c>
      <c r="M103" s="5" t="str">
        <f t="shared" si="57"/>
        <v>--</v>
      </c>
      <c r="N103" s="5" t="str">
        <f t="shared" si="58"/>
        <v>--</v>
      </c>
      <c r="O103" s="5" t="str">
        <f t="shared" si="59"/>
        <v>--</v>
      </c>
      <c r="P103" s="5" t="str">
        <f t="shared" si="60"/>
        <v>--</v>
      </c>
      <c r="Q103" s="5" t="str">
        <f t="shared" si="61"/>
        <v>--</v>
      </c>
      <c r="R103" s="5" t="str">
        <f t="shared" si="62"/>
        <v>--</v>
      </c>
      <c r="S103" s="5" t="str">
        <f t="shared" si="63"/>
        <v>--</v>
      </c>
      <c r="T103" s="5" t="str">
        <f t="shared" si="64"/>
        <v>--</v>
      </c>
      <c r="U103" s="5" t="str">
        <f t="shared" si="65"/>
        <v>--</v>
      </c>
      <c r="V103" s="5" t="str">
        <f t="shared" si="66"/>
        <v>--</v>
      </c>
      <c r="W103" s="5" t="str">
        <f t="shared" si="67"/>
        <v>--</v>
      </c>
      <c r="X103" s="5" t="str">
        <f t="shared" si="68"/>
        <v>--</v>
      </c>
      <c r="Y103" s="5" t="str">
        <f t="shared" si="69"/>
        <v>--</v>
      </c>
      <c r="Z103" s="5" t="str">
        <f t="shared" si="70"/>
        <v>--</v>
      </c>
      <c r="AA103" s="5" t="str">
        <f t="shared" si="71"/>
        <v>--</v>
      </c>
      <c r="AB103" s="5" t="str">
        <f t="shared" si="72"/>
        <v>--</v>
      </c>
      <c r="AC103" s="5" t="str">
        <f t="shared" si="73"/>
        <v>--</v>
      </c>
      <c r="AD103" s="5" t="str">
        <f t="shared" si="74"/>
        <v>--</v>
      </c>
      <c r="AE103" s="5" t="str">
        <f t="shared" si="75"/>
        <v>--</v>
      </c>
      <c r="AF103" s="5" t="str">
        <f t="shared" si="76"/>
        <v>--</v>
      </c>
      <c r="AG103" s="34">
        <f>SUM(C103,D103,F103,G103)+LARGE((E103,H103,I103,J103,K103,L103),1)+LARGE((E103,H103,I103,J103,K103,L103),2)</f>
        <v>0</v>
      </c>
      <c r="AH103" s="5" t="e">
        <f>SUM(W103,X103,Z103,AA103)+SMALL((Y103,AB103,AC103,AD103,AE103,AF103),1)+SMALL((Y103,AB103,AC103,AD103,AE103,AF103),2)</f>
        <v>#NUM!</v>
      </c>
      <c r="AI103" s="15">
        <f>'Teacher''s Remarks'!M104</f>
        <v>0</v>
      </c>
      <c r="AJ103" s="15">
        <f>'Teacher''s Remarks'!N104</f>
        <v>0</v>
      </c>
      <c r="AK103" s="15">
        <f>'Teacher''s Remarks'!O104</f>
        <v>0</v>
      </c>
      <c r="AL103" s="15">
        <f>'Teacher''s Remarks'!P104</f>
        <v>0</v>
      </c>
      <c r="AM103" s="13">
        <f t="shared" si="56"/>
        <v>0</v>
      </c>
      <c r="AN103" s="14">
        <f>Attendance!B103</f>
        <v>0</v>
      </c>
      <c r="AO103" s="15"/>
      <c r="AP103" s="15"/>
      <c r="AQ103" s="22">
        <f t="shared" ca="1" si="77"/>
        <v>45764</v>
      </c>
      <c r="AR103" s="15"/>
      <c r="AT103" s="12">
        <f t="shared" si="90"/>
        <v>56</v>
      </c>
      <c r="AU103" t="str">
        <f>IF(OR(VALUE(RIGHT(AT103,5))={11,12,13}),"th",IF(OR(VALUE(RIGHT(AT103))={1,2,3}),CHOOSE(RIGHT(AT103),"st","nd","rd"),"th"))</f>
        <v>th</v>
      </c>
      <c r="AV103">
        <f t="shared" si="91"/>
        <v>56</v>
      </c>
      <c r="AW103" t="str">
        <f>IF(OR(VALUE(RIGHT(AV103,5))={11,12,13}),"th",IF(OR(VALUE(RIGHT(AV103))={1,2,3}),CHOOSE(RIGHT(AV103),"st","nd","rd"),"th"))</f>
        <v>th</v>
      </c>
      <c r="AX103">
        <f t="shared" si="92"/>
        <v>56</v>
      </c>
      <c r="AY103" t="str">
        <f>IF(OR(VALUE(RIGHT(AX103,5))={11,12,13}),"th",IF(OR(VALUE(RIGHT(AX103))={1,2,3}),CHOOSE(RIGHT(AX103),"st","nd","rd"),"th"))</f>
        <v>th</v>
      </c>
      <c r="AZ103">
        <f t="shared" si="93"/>
        <v>56</v>
      </c>
      <c r="BA103" t="str">
        <f>IF(OR(VALUE(RIGHT(AZ103,5))={11,12,13}),"th",IF(OR(VALUE(RIGHT(AZ103))={1,2,3}),CHOOSE(RIGHT(AZ103),"st","nd","rd"),"th"))</f>
        <v>th</v>
      </c>
      <c r="BB103">
        <f t="shared" si="94"/>
        <v>56</v>
      </c>
      <c r="BC103" t="str">
        <f>IF(OR(VALUE(RIGHT(BB103,5))={11,12,13}),"th",IF(OR(VALUE(RIGHT(BB103))={1,2,3}),CHOOSE(RIGHT(BB103),"st","nd","rd"),"th"))</f>
        <v>th</v>
      </c>
      <c r="BD103">
        <f t="shared" si="95"/>
        <v>56</v>
      </c>
      <c r="BE103" t="str">
        <f>IF(OR(VALUE(RIGHT(BD103,5))={11,12,13}),"th",IF(OR(VALUE(RIGHT(BD103))={1,2,3}),CHOOSE(RIGHT(BD103),"st","nd","rd"),"th"))</f>
        <v>th</v>
      </c>
      <c r="BF103">
        <f t="shared" si="96"/>
        <v>56</v>
      </c>
      <c r="BG103" t="str">
        <f>IF(OR(VALUE(RIGHT(BF103,5))={11,12,13}),"th",IF(OR(VALUE(RIGHT(BF103))={1,2,3}),CHOOSE(RIGHT(BF103),"st","nd","rd"),"th"))</f>
        <v>th</v>
      </c>
      <c r="BH103">
        <f t="shared" si="97"/>
        <v>56</v>
      </c>
      <c r="BI103" t="str">
        <f>IF(OR(VALUE(RIGHT(BH103,5))={11,12,13}),"th",IF(OR(VALUE(RIGHT(BH103))={1,2,3}),CHOOSE(RIGHT(BH103),"st","nd","rd"),"th"))</f>
        <v>th</v>
      </c>
      <c r="BJ103">
        <f t="shared" si="98"/>
        <v>56</v>
      </c>
      <c r="BK103" t="str" cm="1">
        <f t="array" ref="BK103">IF(OR(VALUE(RIGHT(BJ103,5))={11,12,13}),"th",IF(OR(VALUE(RIGHT(BJ103))={1,2,3}),CHOOSE(RIGHT(BJ103),"st","nd","rd"),"th"))</f>
        <v>th</v>
      </c>
      <c r="BL103">
        <f t="shared" si="99"/>
        <v>57</v>
      </c>
      <c r="BM103" t="str">
        <f>IF(OR(VALUE(RIGHT(BL103,5))={11,12,13}),"th",IF(OR(VALUE(RIGHT(BL103))={1,2,3}),CHOOSE(RIGHT(BL103),"st","nd","rd"),"th"))</f>
        <v>th</v>
      </c>
      <c r="BO103" s="30">
        <f t="shared" si="88"/>
        <v>0</v>
      </c>
      <c r="BP103">
        <f t="shared" si="100"/>
        <v>57</v>
      </c>
      <c r="BQ103" t="str">
        <f>IF(OR(VALUE(RIGHT(BP103,5))={11,12,13}),"th",IF(OR(VALUE(RIGHT(BP103))={1,2,3}),CHOOSE(RIGHT(BP103),"st","nd","rd"),"th"))</f>
        <v>th</v>
      </c>
      <c r="BS103" s="27">
        <f>ClassScore!M103</f>
        <v>0</v>
      </c>
      <c r="BT103" s="27">
        <f>ClassScore!N103</f>
        <v>0</v>
      </c>
      <c r="BU103" s="27">
        <f>ClassScore!O103</f>
        <v>0</v>
      </c>
      <c r="BV103" s="27">
        <f>ClassScore!P103</f>
        <v>0</v>
      </c>
      <c r="BW103" s="27">
        <f>ClassScore!Q103</f>
        <v>0</v>
      </c>
      <c r="BX103" s="27">
        <f>ClassScore!R103</f>
        <v>0</v>
      </c>
      <c r="BY103" s="27">
        <f>ClassScore!S103</f>
        <v>0</v>
      </c>
      <c r="BZ103" s="27">
        <f>ClassScore!T103</f>
        <v>0</v>
      </c>
      <c r="CA103" s="27">
        <f>ClassScore!U103</f>
        <v>0</v>
      </c>
      <c r="CB103" s="27">
        <f>ClassScore!V103</f>
        <v>0</v>
      </c>
      <c r="CD103" s="27">
        <f>Examscore!M103</f>
        <v>0</v>
      </c>
      <c r="CE103" s="27">
        <f>Examscore!N103</f>
        <v>0</v>
      </c>
      <c r="CF103" s="27">
        <f>Examscore!O103</f>
        <v>0</v>
      </c>
      <c r="CG103" s="27">
        <f>Examscore!P103</f>
        <v>0</v>
      </c>
      <c r="CH103" s="27">
        <f>Examscore!Q103</f>
        <v>0</v>
      </c>
      <c r="CI103" s="27">
        <f>Examscore!R103</f>
        <v>0</v>
      </c>
      <c r="CJ103" s="27">
        <f>Examscore!S103</f>
        <v>0</v>
      </c>
      <c r="CK103" s="27">
        <f>Examscore!T103</f>
        <v>0</v>
      </c>
      <c r="CL103" s="27">
        <f>Examscore!U103</f>
        <v>0</v>
      </c>
      <c r="CM103" s="27">
        <f>Examscore!V103</f>
        <v>0</v>
      </c>
    </row>
    <row r="104" spans="1:91" ht="15.75" x14ac:dyDescent="0.25">
      <c r="A104" s="5">
        <f>Student!A104</f>
        <v>0</v>
      </c>
      <c r="B104" s="21">
        <f>Student!B104</f>
        <v>0</v>
      </c>
      <c r="C104" s="28">
        <f>ClassScore!M104+Examscore!M104</f>
        <v>0</v>
      </c>
      <c r="D104" s="28">
        <f>ClassScore!N104+Examscore!N104</f>
        <v>0</v>
      </c>
      <c r="E104" s="28">
        <f>ClassScore!O104+Examscore!O104</f>
        <v>0</v>
      </c>
      <c r="F104" s="28">
        <f>ClassScore!P104+Examscore!P104</f>
        <v>0</v>
      </c>
      <c r="G104" s="28">
        <f>ClassScore!Q104+Examscore!Q104</f>
        <v>0</v>
      </c>
      <c r="H104" s="28">
        <f>ClassScore!R104+Examscore!R104</f>
        <v>0</v>
      </c>
      <c r="I104" s="28">
        <f>ClassScore!S104+Examscore!S104</f>
        <v>0</v>
      </c>
      <c r="J104" s="28">
        <f>ClassScore!T104+Examscore!T104</f>
        <v>0</v>
      </c>
      <c r="K104" s="28">
        <f>ClassScore!U104+Examscore!U104</f>
        <v>0</v>
      </c>
      <c r="L104" s="28">
        <f>ClassScore!V104+Examscore!V104</f>
        <v>0</v>
      </c>
      <c r="M104" s="5" t="str">
        <f t="shared" si="57"/>
        <v>--</v>
      </c>
      <c r="N104" s="5" t="str">
        <f t="shared" si="58"/>
        <v>--</v>
      </c>
      <c r="O104" s="5" t="str">
        <f t="shared" si="59"/>
        <v>--</v>
      </c>
      <c r="P104" s="5" t="str">
        <f t="shared" si="60"/>
        <v>--</v>
      </c>
      <c r="Q104" s="5" t="str">
        <f t="shared" si="61"/>
        <v>--</v>
      </c>
      <c r="R104" s="5" t="str">
        <f t="shared" si="62"/>
        <v>--</v>
      </c>
      <c r="S104" s="5" t="str">
        <f t="shared" si="63"/>
        <v>--</v>
      </c>
      <c r="T104" s="5" t="str">
        <f t="shared" si="64"/>
        <v>--</v>
      </c>
      <c r="U104" s="5" t="str">
        <f t="shared" si="65"/>
        <v>--</v>
      </c>
      <c r="V104" s="5" t="str">
        <f t="shared" si="66"/>
        <v>--</v>
      </c>
      <c r="W104" s="5" t="str">
        <f t="shared" si="67"/>
        <v>--</v>
      </c>
      <c r="X104" s="5" t="str">
        <f t="shared" si="68"/>
        <v>--</v>
      </c>
      <c r="Y104" s="5" t="str">
        <f t="shared" si="69"/>
        <v>--</v>
      </c>
      <c r="Z104" s="5" t="str">
        <f t="shared" si="70"/>
        <v>--</v>
      </c>
      <c r="AA104" s="5" t="str">
        <f t="shared" si="71"/>
        <v>--</v>
      </c>
      <c r="AB104" s="5" t="str">
        <f t="shared" si="72"/>
        <v>--</v>
      </c>
      <c r="AC104" s="5" t="str">
        <f t="shared" si="73"/>
        <v>--</v>
      </c>
      <c r="AD104" s="5" t="str">
        <f t="shared" si="74"/>
        <v>--</v>
      </c>
      <c r="AE104" s="5" t="str">
        <f t="shared" si="75"/>
        <v>--</v>
      </c>
      <c r="AF104" s="5" t="str">
        <f t="shared" si="76"/>
        <v>--</v>
      </c>
      <c r="AG104" s="34">
        <f>SUM(C104,D104,F104,G104)+LARGE((E104,H104,I104,J104,K104,L104),1)+LARGE((E104,H104,I104,J104,K104,L104),2)</f>
        <v>0</v>
      </c>
      <c r="AH104" s="5" t="e">
        <f>SUM(W104,X104,Z104,AA104)+SMALL((Y104,AB104,AC104,AD104,AE104,AF104),1)+SMALL((Y104,AB104,AC104,AD104,AE104,AF104),2)</f>
        <v>#NUM!</v>
      </c>
      <c r="AI104" s="15">
        <f>'Teacher''s Remarks'!M105</f>
        <v>0</v>
      </c>
      <c r="AJ104" s="15">
        <f>'Teacher''s Remarks'!N105</f>
        <v>0</v>
      </c>
      <c r="AK104" s="15">
        <f>'Teacher''s Remarks'!O105</f>
        <v>0</v>
      </c>
      <c r="AL104" s="15">
        <f>'Teacher''s Remarks'!P105</f>
        <v>0</v>
      </c>
      <c r="AM104" s="13">
        <f t="shared" si="56"/>
        <v>0</v>
      </c>
      <c r="AN104" s="14">
        <f>Attendance!B104</f>
        <v>0</v>
      </c>
      <c r="AO104" s="15"/>
      <c r="AP104" s="15"/>
      <c r="AQ104" s="22">
        <f t="shared" ca="1" si="77"/>
        <v>45764</v>
      </c>
      <c r="AR104" s="15"/>
      <c r="AT104" s="12">
        <f t="shared" si="90"/>
        <v>56</v>
      </c>
      <c r="AU104" t="str">
        <f>IF(OR(VALUE(RIGHT(AT104,5))={11,12,13}),"th",IF(OR(VALUE(RIGHT(AT104))={1,2,3}),CHOOSE(RIGHT(AT104),"st","nd","rd"),"th"))</f>
        <v>th</v>
      </c>
      <c r="AV104">
        <f t="shared" si="91"/>
        <v>56</v>
      </c>
      <c r="AW104" t="str">
        <f>IF(OR(VALUE(RIGHT(AV104,5))={11,12,13}),"th",IF(OR(VALUE(RIGHT(AV104))={1,2,3}),CHOOSE(RIGHT(AV104),"st","nd","rd"),"th"))</f>
        <v>th</v>
      </c>
      <c r="AX104">
        <f t="shared" si="92"/>
        <v>56</v>
      </c>
      <c r="AY104" t="str">
        <f>IF(OR(VALUE(RIGHT(AX104,5))={11,12,13}),"th",IF(OR(VALUE(RIGHT(AX104))={1,2,3}),CHOOSE(RIGHT(AX104),"st","nd","rd"),"th"))</f>
        <v>th</v>
      </c>
      <c r="AZ104">
        <f t="shared" si="93"/>
        <v>56</v>
      </c>
      <c r="BA104" t="str">
        <f>IF(OR(VALUE(RIGHT(AZ104,5))={11,12,13}),"th",IF(OR(VALUE(RIGHT(AZ104))={1,2,3}),CHOOSE(RIGHT(AZ104),"st","nd","rd"),"th"))</f>
        <v>th</v>
      </c>
      <c r="BB104">
        <f t="shared" si="94"/>
        <v>56</v>
      </c>
      <c r="BC104" t="str">
        <f>IF(OR(VALUE(RIGHT(BB104,5))={11,12,13}),"th",IF(OR(VALUE(RIGHT(BB104))={1,2,3}),CHOOSE(RIGHT(BB104),"st","nd","rd"),"th"))</f>
        <v>th</v>
      </c>
      <c r="BD104">
        <f t="shared" si="95"/>
        <v>56</v>
      </c>
      <c r="BE104" t="str">
        <f>IF(OR(VALUE(RIGHT(BD104,5))={11,12,13}),"th",IF(OR(VALUE(RIGHT(BD104))={1,2,3}),CHOOSE(RIGHT(BD104),"st","nd","rd"),"th"))</f>
        <v>th</v>
      </c>
      <c r="BF104">
        <f t="shared" si="96"/>
        <v>56</v>
      </c>
      <c r="BG104" t="str">
        <f>IF(OR(VALUE(RIGHT(BF104,5))={11,12,13}),"th",IF(OR(VALUE(RIGHT(BF104))={1,2,3}),CHOOSE(RIGHT(BF104),"st","nd","rd"),"th"))</f>
        <v>th</v>
      </c>
      <c r="BH104">
        <f t="shared" si="97"/>
        <v>56</v>
      </c>
      <c r="BI104" t="str">
        <f>IF(OR(VALUE(RIGHT(BH104,5))={11,12,13}),"th",IF(OR(VALUE(RIGHT(BH104))={1,2,3}),CHOOSE(RIGHT(BH104),"st","nd","rd"),"th"))</f>
        <v>th</v>
      </c>
      <c r="BJ104">
        <f t="shared" si="98"/>
        <v>56</v>
      </c>
      <c r="BK104" t="str" cm="1">
        <f t="array" ref="BK104">IF(OR(VALUE(RIGHT(BJ104,5))={11,12,13}),"th",IF(OR(VALUE(RIGHT(BJ104))={1,2,3}),CHOOSE(RIGHT(BJ104),"st","nd","rd"),"th"))</f>
        <v>th</v>
      </c>
      <c r="BL104">
        <f t="shared" si="99"/>
        <v>57</v>
      </c>
      <c r="BM104" t="str">
        <f>IF(OR(VALUE(RIGHT(BL104,5))={11,12,13}),"th",IF(OR(VALUE(RIGHT(BL104))={1,2,3}),CHOOSE(RIGHT(BL104),"st","nd","rd"),"th"))</f>
        <v>th</v>
      </c>
      <c r="BO104" s="30">
        <f t="shared" si="88"/>
        <v>0</v>
      </c>
      <c r="BP104">
        <f t="shared" si="100"/>
        <v>57</v>
      </c>
      <c r="BQ104" t="str">
        <f>IF(OR(VALUE(RIGHT(BP104,5))={11,12,13}),"th",IF(OR(VALUE(RIGHT(BP104))={1,2,3}),CHOOSE(RIGHT(BP104),"st","nd","rd"),"th"))</f>
        <v>th</v>
      </c>
      <c r="BS104" s="27">
        <f>ClassScore!M104</f>
        <v>0</v>
      </c>
      <c r="BT104" s="27">
        <f>ClassScore!N104</f>
        <v>0</v>
      </c>
      <c r="BU104" s="27">
        <f>ClassScore!O104</f>
        <v>0</v>
      </c>
      <c r="BV104" s="27">
        <f>ClassScore!P104</f>
        <v>0</v>
      </c>
      <c r="BW104" s="27">
        <f>ClassScore!Q104</f>
        <v>0</v>
      </c>
      <c r="BX104" s="27">
        <f>ClassScore!R104</f>
        <v>0</v>
      </c>
      <c r="BY104" s="27">
        <f>ClassScore!S104</f>
        <v>0</v>
      </c>
      <c r="BZ104" s="27">
        <f>ClassScore!T104</f>
        <v>0</v>
      </c>
      <c r="CA104" s="27">
        <f>ClassScore!U104</f>
        <v>0</v>
      </c>
      <c r="CB104" s="27">
        <f>ClassScore!V104</f>
        <v>0</v>
      </c>
      <c r="CD104" s="27">
        <f>Examscore!M104</f>
        <v>0</v>
      </c>
      <c r="CE104" s="27">
        <f>Examscore!N104</f>
        <v>0</v>
      </c>
      <c r="CF104" s="27">
        <f>Examscore!O104</f>
        <v>0</v>
      </c>
      <c r="CG104" s="27">
        <f>Examscore!P104</f>
        <v>0</v>
      </c>
      <c r="CH104" s="27">
        <f>Examscore!Q104</f>
        <v>0</v>
      </c>
      <c r="CI104" s="27">
        <f>Examscore!R104</f>
        <v>0</v>
      </c>
      <c r="CJ104" s="27">
        <f>Examscore!S104</f>
        <v>0</v>
      </c>
      <c r="CK104" s="27">
        <f>Examscore!T104</f>
        <v>0</v>
      </c>
      <c r="CL104" s="27">
        <f>Examscore!U104</f>
        <v>0</v>
      </c>
      <c r="CM104" s="27">
        <f>Examscore!V104</f>
        <v>0</v>
      </c>
    </row>
    <row r="105" spans="1:91" ht="15.75" x14ac:dyDescent="0.25">
      <c r="A105" s="5">
        <f>Student!A105</f>
        <v>0</v>
      </c>
      <c r="B105" s="21">
        <f>Student!B105</f>
        <v>0</v>
      </c>
      <c r="C105" s="28">
        <f>ClassScore!M105+Examscore!M105</f>
        <v>0</v>
      </c>
      <c r="D105" s="28">
        <f>ClassScore!N105+Examscore!N105</f>
        <v>0</v>
      </c>
      <c r="E105" s="28">
        <f>ClassScore!O105+Examscore!O105</f>
        <v>0</v>
      </c>
      <c r="F105" s="28">
        <f>ClassScore!P105+Examscore!P105</f>
        <v>0</v>
      </c>
      <c r="G105" s="28">
        <f>ClassScore!Q105+Examscore!Q105</f>
        <v>0</v>
      </c>
      <c r="H105" s="28">
        <f>ClassScore!R105+Examscore!R105</f>
        <v>0</v>
      </c>
      <c r="I105" s="28">
        <f>ClassScore!S105+Examscore!S105</f>
        <v>0</v>
      </c>
      <c r="J105" s="28">
        <f>ClassScore!T105+Examscore!T105</f>
        <v>0</v>
      </c>
      <c r="K105" s="28">
        <f>ClassScore!U105+Examscore!U105</f>
        <v>0</v>
      </c>
      <c r="L105" s="28">
        <f>ClassScore!V105+Examscore!V105</f>
        <v>0</v>
      </c>
      <c r="M105" s="5" t="str">
        <f t="shared" si="57"/>
        <v>--</v>
      </c>
      <c r="N105" s="5" t="str">
        <f t="shared" si="58"/>
        <v>--</v>
      </c>
      <c r="O105" s="5" t="str">
        <f t="shared" si="59"/>
        <v>--</v>
      </c>
      <c r="P105" s="5" t="str">
        <f t="shared" si="60"/>
        <v>--</v>
      </c>
      <c r="Q105" s="5" t="str">
        <f t="shared" si="61"/>
        <v>--</v>
      </c>
      <c r="R105" s="5" t="str">
        <f t="shared" si="62"/>
        <v>--</v>
      </c>
      <c r="S105" s="5" t="str">
        <f t="shared" si="63"/>
        <v>--</v>
      </c>
      <c r="T105" s="5" t="str">
        <f t="shared" si="64"/>
        <v>--</v>
      </c>
      <c r="U105" s="5" t="str">
        <f t="shared" si="65"/>
        <v>--</v>
      </c>
      <c r="V105" s="5" t="str">
        <f t="shared" si="66"/>
        <v>--</v>
      </c>
      <c r="W105" s="5" t="str">
        <f t="shared" si="67"/>
        <v>--</v>
      </c>
      <c r="X105" s="5" t="str">
        <f t="shared" si="68"/>
        <v>--</v>
      </c>
      <c r="Y105" s="5" t="str">
        <f t="shared" si="69"/>
        <v>--</v>
      </c>
      <c r="Z105" s="5" t="str">
        <f t="shared" si="70"/>
        <v>--</v>
      </c>
      <c r="AA105" s="5" t="str">
        <f t="shared" si="71"/>
        <v>--</v>
      </c>
      <c r="AB105" s="5" t="str">
        <f t="shared" si="72"/>
        <v>--</v>
      </c>
      <c r="AC105" s="5" t="str">
        <f t="shared" si="73"/>
        <v>--</v>
      </c>
      <c r="AD105" s="5" t="str">
        <f t="shared" si="74"/>
        <v>--</v>
      </c>
      <c r="AE105" s="5" t="str">
        <f t="shared" si="75"/>
        <v>--</v>
      </c>
      <c r="AF105" s="5" t="str">
        <f t="shared" si="76"/>
        <v>--</v>
      </c>
      <c r="AG105" s="34">
        <f>SUM(C105,D105,F105,G105)+LARGE((E105,H105,I105,J105,K105,L105),1)+LARGE((E105,H105,I105,J105,K105,L105),2)</f>
        <v>0</v>
      </c>
      <c r="AH105" s="5" t="e">
        <f>SUM(W105,X105,Z105,AA105)+SMALL((Y105,AB105,AC105,AD105,AE105,AF105),1)+SMALL((Y105,AB105,AC105,AD105,AE105,AF105),2)</f>
        <v>#NUM!</v>
      </c>
      <c r="AI105" s="15">
        <f>'Teacher''s Remarks'!M106</f>
        <v>0</v>
      </c>
      <c r="AJ105" s="15">
        <f>'Teacher''s Remarks'!N106</f>
        <v>0</v>
      </c>
      <c r="AK105" s="15">
        <f>'Teacher''s Remarks'!O106</f>
        <v>0</v>
      </c>
      <c r="AL105" s="15">
        <f>'Teacher''s Remarks'!P106</f>
        <v>0</v>
      </c>
      <c r="AM105" s="13">
        <f t="shared" si="56"/>
        <v>0</v>
      </c>
      <c r="AN105" s="14">
        <f>Attendance!B105</f>
        <v>0</v>
      </c>
      <c r="AO105" s="15"/>
      <c r="AP105" s="15"/>
      <c r="AQ105" s="22">
        <f t="shared" ca="1" si="77"/>
        <v>45764</v>
      </c>
      <c r="AR105" s="15"/>
      <c r="AT105" s="12">
        <f t="shared" si="90"/>
        <v>56</v>
      </c>
      <c r="AU105" t="str">
        <f>IF(OR(VALUE(RIGHT(AT105,5))={11,12,13}),"th",IF(OR(VALUE(RIGHT(AT105))={1,2,3}),CHOOSE(RIGHT(AT105),"st","nd","rd"),"th"))</f>
        <v>th</v>
      </c>
      <c r="AV105">
        <f t="shared" si="91"/>
        <v>56</v>
      </c>
      <c r="AW105" t="str">
        <f>IF(OR(VALUE(RIGHT(AV105,5))={11,12,13}),"th",IF(OR(VALUE(RIGHT(AV105))={1,2,3}),CHOOSE(RIGHT(AV105),"st","nd","rd"),"th"))</f>
        <v>th</v>
      </c>
      <c r="AX105">
        <f t="shared" si="92"/>
        <v>56</v>
      </c>
      <c r="AY105" t="str">
        <f>IF(OR(VALUE(RIGHT(AX105,5))={11,12,13}),"th",IF(OR(VALUE(RIGHT(AX105))={1,2,3}),CHOOSE(RIGHT(AX105),"st","nd","rd"),"th"))</f>
        <v>th</v>
      </c>
      <c r="AZ105">
        <f t="shared" si="93"/>
        <v>56</v>
      </c>
      <c r="BA105" t="str">
        <f>IF(OR(VALUE(RIGHT(AZ105,5))={11,12,13}),"th",IF(OR(VALUE(RIGHT(AZ105))={1,2,3}),CHOOSE(RIGHT(AZ105),"st","nd","rd"),"th"))</f>
        <v>th</v>
      </c>
      <c r="BB105">
        <f t="shared" si="94"/>
        <v>56</v>
      </c>
      <c r="BC105" t="str">
        <f>IF(OR(VALUE(RIGHT(BB105,5))={11,12,13}),"th",IF(OR(VALUE(RIGHT(BB105))={1,2,3}),CHOOSE(RIGHT(BB105),"st","nd","rd"),"th"))</f>
        <v>th</v>
      </c>
      <c r="BD105">
        <f t="shared" si="95"/>
        <v>56</v>
      </c>
      <c r="BE105" t="str">
        <f>IF(OR(VALUE(RIGHT(BD105,5))={11,12,13}),"th",IF(OR(VALUE(RIGHT(BD105))={1,2,3}),CHOOSE(RIGHT(BD105),"st","nd","rd"),"th"))</f>
        <v>th</v>
      </c>
      <c r="BF105">
        <f t="shared" si="96"/>
        <v>56</v>
      </c>
      <c r="BG105" t="str">
        <f>IF(OR(VALUE(RIGHT(BF105,5))={11,12,13}),"th",IF(OR(VALUE(RIGHT(BF105))={1,2,3}),CHOOSE(RIGHT(BF105),"st","nd","rd"),"th"))</f>
        <v>th</v>
      </c>
      <c r="BH105">
        <f t="shared" si="97"/>
        <v>56</v>
      </c>
      <c r="BI105" t="str">
        <f>IF(OR(VALUE(RIGHT(BH105,5))={11,12,13}),"th",IF(OR(VALUE(RIGHT(BH105))={1,2,3}),CHOOSE(RIGHT(BH105),"st","nd","rd"),"th"))</f>
        <v>th</v>
      </c>
      <c r="BJ105">
        <f t="shared" si="98"/>
        <v>56</v>
      </c>
      <c r="BK105" t="str" cm="1">
        <f t="array" ref="BK105">IF(OR(VALUE(RIGHT(BJ105,5))={11,12,13}),"th",IF(OR(VALUE(RIGHT(BJ105))={1,2,3}),CHOOSE(RIGHT(BJ105),"st","nd","rd"),"th"))</f>
        <v>th</v>
      </c>
      <c r="BL105">
        <f t="shared" si="99"/>
        <v>57</v>
      </c>
      <c r="BM105" t="str">
        <f>IF(OR(VALUE(RIGHT(BL105,5))={11,12,13}),"th",IF(OR(VALUE(RIGHT(BL105))={1,2,3}),CHOOSE(RIGHT(BL105),"st","nd","rd"),"th"))</f>
        <v>th</v>
      </c>
      <c r="BO105" s="30">
        <f t="shared" si="88"/>
        <v>0</v>
      </c>
      <c r="BP105">
        <f t="shared" si="100"/>
        <v>57</v>
      </c>
      <c r="BQ105" t="str">
        <f>IF(OR(VALUE(RIGHT(BP105,5))={11,12,13}),"th",IF(OR(VALUE(RIGHT(BP105))={1,2,3}),CHOOSE(RIGHT(BP105),"st","nd","rd"),"th"))</f>
        <v>th</v>
      </c>
      <c r="BS105" s="27">
        <f>ClassScore!M105</f>
        <v>0</v>
      </c>
      <c r="BT105" s="27">
        <f>ClassScore!N105</f>
        <v>0</v>
      </c>
      <c r="BU105" s="27">
        <f>ClassScore!O105</f>
        <v>0</v>
      </c>
      <c r="BV105" s="27">
        <f>ClassScore!P105</f>
        <v>0</v>
      </c>
      <c r="BW105" s="27">
        <f>ClassScore!Q105</f>
        <v>0</v>
      </c>
      <c r="BX105" s="27">
        <f>ClassScore!R105</f>
        <v>0</v>
      </c>
      <c r="BY105" s="27">
        <f>ClassScore!S105</f>
        <v>0</v>
      </c>
      <c r="BZ105" s="27">
        <f>ClassScore!T105</f>
        <v>0</v>
      </c>
      <c r="CA105" s="27">
        <f>ClassScore!U105</f>
        <v>0</v>
      </c>
      <c r="CB105" s="27">
        <f>ClassScore!V105</f>
        <v>0</v>
      </c>
      <c r="CD105" s="27">
        <f>Examscore!M105</f>
        <v>0</v>
      </c>
      <c r="CE105" s="27">
        <f>Examscore!N105</f>
        <v>0</v>
      </c>
      <c r="CF105" s="27">
        <f>Examscore!O105</f>
        <v>0</v>
      </c>
      <c r="CG105" s="27">
        <f>Examscore!P105</f>
        <v>0</v>
      </c>
      <c r="CH105" s="27">
        <f>Examscore!Q105</f>
        <v>0</v>
      </c>
      <c r="CI105" s="27">
        <f>Examscore!R105</f>
        <v>0</v>
      </c>
      <c r="CJ105" s="27">
        <f>Examscore!S105</f>
        <v>0</v>
      </c>
      <c r="CK105" s="27">
        <f>Examscore!T105</f>
        <v>0</v>
      </c>
      <c r="CL105" s="27">
        <f>Examscore!U105</f>
        <v>0</v>
      </c>
      <c r="CM105" s="27">
        <f>Examscore!V105</f>
        <v>0</v>
      </c>
    </row>
    <row r="106" spans="1:91" ht="15.75" x14ac:dyDescent="0.25">
      <c r="A106" s="5">
        <f>Student!A106</f>
        <v>0</v>
      </c>
      <c r="B106" s="21">
        <f>Student!B106</f>
        <v>0</v>
      </c>
      <c r="C106" s="28">
        <f>ClassScore!M106+Examscore!M106</f>
        <v>0</v>
      </c>
      <c r="D106" s="28">
        <f>ClassScore!N106+Examscore!N106</f>
        <v>0</v>
      </c>
      <c r="E106" s="28">
        <f>ClassScore!O106+Examscore!O106</f>
        <v>0</v>
      </c>
      <c r="F106" s="28">
        <f>ClassScore!P106+Examscore!P106</f>
        <v>0</v>
      </c>
      <c r="G106" s="28">
        <f>ClassScore!Q106+Examscore!Q106</f>
        <v>0</v>
      </c>
      <c r="H106" s="28">
        <f>ClassScore!R106+Examscore!R106</f>
        <v>0</v>
      </c>
      <c r="I106" s="28">
        <f>ClassScore!S106+Examscore!S106</f>
        <v>0</v>
      </c>
      <c r="J106" s="28">
        <f>ClassScore!T106+Examscore!T106</f>
        <v>0</v>
      </c>
      <c r="K106" s="28">
        <f>ClassScore!U106+Examscore!U106</f>
        <v>0</v>
      </c>
      <c r="L106" s="28">
        <f>ClassScore!V106+Examscore!V106</f>
        <v>0</v>
      </c>
      <c r="M106" s="5" t="str">
        <f t="shared" si="57"/>
        <v>--</v>
      </c>
      <c r="N106" s="5" t="str">
        <f t="shared" si="58"/>
        <v>--</v>
      </c>
      <c r="O106" s="5" t="str">
        <f t="shared" si="59"/>
        <v>--</v>
      </c>
      <c r="P106" s="5" t="str">
        <f t="shared" si="60"/>
        <v>--</v>
      </c>
      <c r="Q106" s="5" t="str">
        <f t="shared" si="61"/>
        <v>--</v>
      </c>
      <c r="R106" s="5" t="str">
        <f t="shared" si="62"/>
        <v>--</v>
      </c>
      <c r="S106" s="5" t="str">
        <f t="shared" si="63"/>
        <v>--</v>
      </c>
      <c r="T106" s="5" t="str">
        <f t="shared" si="64"/>
        <v>--</v>
      </c>
      <c r="U106" s="5" t="str">
        <f t="shared" si="65"/>
        <v>--</v>
      </c>
      <c r="V106" s="5" t="str">
        <f t="shared" si="66"/>
        <v>--</v>
      </c>
      <c r="W106" s="5" t="str">
        <f t="shared" si="67"/>
        <v>--</v>
      </c>
      <c r="X106" s="5" t="str">
        <f t="shared" si="68"/>
        <v>--</v>
      </c>
      <c r="Y106" s="5" t="str">
        <f t="shared" si="69"/>
        <v>--</v>
      </c>
      <c r="Z106" s="5" t="str">
        <f t="shared" si="70"/>
        <v>--</v>
      </c>
      <c r="AA106" s="5" t="str">
        <f t="shared" si="71"/>
        <v>--</v>
      </c>
      <c r="AB106" s="5" t="str">
        <f t="shared" si="72"/>
        <v>--</v>
      </c>
      <c r="AC106" s="5" t="str">
        <f t="shared" si="73"/>
        <v>--</v>
      </c>
      <c r="AD106" s="5" t="str">
        <f t="shared" si="74"/>
        <v>--</v>
      </c>
      <c r="AE106" s="5" t="str">
        <f t="shared" si="75"/>
        <v>--</v>
      </c>
      <c r="AF106" s="5" t="str">
        <f t="shared" si="76"/>
        <v>--</v>
      </c>
      <c r="AG106" s="34">
        <f>SUM(C106,D106,F106,G106)+LARGE((E106,H106,I106,J106,K106,L106),1)+LARGE((E106,H106,I106,J106,K106,L106),2)</f>
        <v>0</v>
      </c>
      <c r="AH106" s="5" t="e">
        <f>SUM(W106,X106,Z106,AA106)+SMALL((Y106,AB106,AC106,AD106,AE106,AF106),1)+SMALL((Y106,AB106,AC106,AD106,AE106,AF106),2)</f>
        <v>#NUM!</v>
      </c>
      <c r="AI106" s="15">
        <f>'Teacher''s Remarks'!M107</f>
        <v>0</v>
      </c>
      <c r="AJ106" s="15">
        <f>'Teacher''s Remarks'!N107</f>
        <v>0</v>
      </c>
      <c r="AK106" s="15">
        <f>'Teacher''s Remarks'!O107</f>
        <v>0</v>
      </c>
      <c r="AL106" s="15">
        <f>'Teacher''s Remarks'!P107</f>
        <v>0</v>
      </c>
      <c r="AM106" s="13">
        <f t="shared" si="56"/>
        <v>0</v>
      </c>
      <c r="AN106" s="14">
        <f>Attendance!B106</f>
        <v>0</v>
      </c>
      <c r="AO106" s="15"/>
      <c r="AP106" s="15"/>
      <c r="AQ106" s="22">
        <f t="shared" ca="1" si="77"/>
        <v>45764</v>
      </c>
      <c r="AR106" s="15"/>
      <c r="AT106" s="12">
        <f t="shared" si="90"/>
        <v>56</v>
      </c>
      <c r="AU106" t="str">
        <f>IF(OR(VALUE(RIGHT(AT106,5))={11,12,13}),"th",IF(OR(VALUE(RIGHT(AT106))={1,2,3}),CHOOSE(RIGHT(AT106),"st","nd","rd"),"th"))</f>
        <v>th</v>
      </c>
      <c r="AV106">
        <f t="shared" si="91"/>
        <v>56</v>
      </c>
      <c r="AW106" t="str">
        <f>IF(OR(VALUE(RIGHT(AV106,5))={11,12,13}),"th",IF(OR(VALUE(RIGHT(AV106))={1,2,3}),CHOOSE(RIGHT(AV106),"st","nd","rd"),"th"))</f>
        <v>th</v>
      </c>
      <c r="AX106">
        <f t="shared" si="92"/>
        <v>56</v>
      </c>
      <c r="AY106" t="str">
        <f>IF(OR(VALUE(RIGHT(AX106,5))={11,12,13}),"th",IF(OR(VALUE(RIGHT(AX106))={1,2,3}),CHOOSE(RIGHT(AX106),"st","nd","rd"),"th"))</f>
        <v>th</v>
      </c>
      <c r="AZ106">
        <f t="shared" si="93"/>
        <v>56</v>
      </c>
      <c r="BA106" t="str">
        <f>IF(OR(VALUE(RIGHT(AZ106,5))={11,12,13}),"th",IF(OR(VALUE(RIGHT(AZ106))={1,2,3}),CHOOSE(RIGHT(AZ106),"st","nd","rd"),"th"))</f>
        <v>th</v>
      </c>
      <c r="BB106">
        <f t="shared" si="94"/>
        <v>56</v>
      </c>
      <c r="BC106" t="str">
        <f>IF(OR(VALUE(RIGHT(BB106,5))={11,12,13}),"th",IF(OR(VALUE(RIGHT(BB106))={1,2,3}),CHOOSE(RIGHT(BB106),"st","nd","rd"),"th"))</f>
        <v>th</v>
      </c>
      <c r="BD106">
        <f t="shared" si="95"/>
        <v>56</v>
      </c>
      <c r="BE106" t="str">
        <f>IF(OR(VALUE(RIGHT(BD106,5))={11,12,13}),"th",IF(OR(VALUE(RIGHT(BD106))={1,2,3}),CHOOSE(RIGHT(BD106),"st","nd","rd"),"th"))</f>
        <v>th</v>
      </c>
      <c r="BF106">
        <f t="shared" si="96"/>
        <v>56</v>
      </c>
      <c r="BG106" t="str">
        <f>IF(OR(VALUE(RIGHT(BF106,5))={11,12,13}),"th",IF(OR(VALUE(RIGHT(BF106))={1,2,3}),CHOOSE(RIGHT(BF106),"st","nd","rd"),"th"))</f>
        <v>th</v>
      </c>
      <c r="BH106">
        <f t="shared" si="97"/>
        <v>56</v>
      </c>
      <c r="BI106" t="str">
        <f>IF(OR(VALUE(RIGHT(BH106,5))={11,12,13}),"th",IF(OR(VALUE(RIGHT(BH106))={1,2,3}),CHOOSE(RIGHT(BH106),"st","nd","rd"),"th"))</f>
        <v>th</v>
      </c>
      <c r="BJ106">
        <f t="shared" si="98"/>
        <v>56</v>
      </c>
      <c r="BK106" t="str" cm="1">
        <f t="array" ref="BK106">IF(OR(VALUE(RIGHT(BJ106,5))={11,12,13}),"th",IF(OR(VALUE(RIGHT(BJ106))={1,2,3}),CHOOSE(RIGHT(BJ106),"st","nd","rd"),"th"))</f>
        <v>th</v>
      </c>
      <c r="BL106">
        <f t="shared" si="99"/>
        <v>57</v>
      </c>
      <c r="BM106" t="str">
        <f>IF(OR(VALUE(RIGHT(BL106,5))={11,12,13}),"th",IF(OR(VALUE(RIGHT(BL106))={1,2,3}),CHOOSE(RIGHT(BL106),"st","nd","rd"),"th"))</f>
        <v>th</v>
      </c>
      <c r="BO106" s="30">
        <f t="shared" si="88"/>
        <v>0</v>
      </c>
      <c r="BP106">
        <f t="shared" si="100"/>
        <v>57</v>
      </c>
      <c r="BQ106" t="str">
        <f>IF(OR(VALUE(RIGHT(BP106,5))={11,12,13}),"th",IF(OR(VALUE(RIGHT(BP106))={1,2,3}),CHOOSE(RIGHT(BP106),"st","nd","rd"),"th"))</f>
        <v>th</v>
      </c>
      <c r="BS106" s="27">
        <f>ClassScore!M106</f>
        <v>0</v>
      </c>
      <c r="BT106" s="27">
        <f>ClassScore!N106</f>
        <v>0</v>
      </c>
      <c r="BU106" s="27">
        <f>ClassScore!O106</f>
        <v>0</v>
      </c>
      <c r="BV106" s="27">
        <f>ClassScore!P106</f>
        <v>0</v>
      </c>
      <c r="BW106" s="27">
        <f>ClassScore!Q106</f>
        <v>0</v>
      </c>
      <c r="BX106" s="27">
        <f>ClassScore!R106</f>
        <v>0</v>
      </c>
      <c r="BY106" s="27">
        <f>ClassScore!S106</f>
        <v>0</v>
      </c>
      <c r="BZ106" s="27">
        <f>ClassScore!T106</f>
        <v>0</v>
      </c>
      <c r="CA106" s="27">
        <f>ClassScore!U106</f>
        <v>0</v>
      </c>
      <c r="CB106" s="27">
        <f>ClassScore!V106</f>
        <v>0</v>
      </c>
      <c r="CD106" s="27">
        <f>Examscore!M106</f>
        <v>0</v>
      </c>
      <c r="CE106" s="27">
        <f>Examscore!N106</f>
        <v>0</v>
      </c>
      <c r="CF106" s="27">
        <f>Examscore!O106</f>
        <v>0</v>
      </c>
      <c r="CG106" s="27">
        <f>Examscore!P106</f>
        <v>0</v>
      </c>
      <c r="CH106" s="27">
        <f>Examscore!Q106</f>
        <v>0</v>
      </c>
      <c r="CI106" s="27">
        <f>Examscore!R106</f>
        <v>0</v>
      </c>
      <c r="CJ106" s="27">
        <f>Examscore!S106</f>
        <v>0</v>
      </c>
      <c r="CK106" s="27">
        <f>Examscore!T106</f>
        <v>0</v>
      </c>
      <c r="CL106" s="27">
        <f>Examscore!U106</f>
        <v>0</v>
      </c>
      <c r="CM106" s="27">
        <f>Examscore!V106</f>
        <v>0</v>
      </c>
    </row>
    <row r="107" spans="1:91" ht="15.75" x14ac:dyDescent="0.25">
      <c r="A107" s="5">
        <f>Student!A107</f>
        <v>0</v>
      </c>
      <c r="B107" s="21">
        <f>Student!B107</f>
        <v>0</v>
      </c>
      <c r="C107" s="28">
        <f>ClassScore!M107+Examscore!M107</f>
        <v>0</v>
      </c>
      <c r="D107" s="28">
        <f>ClassScore!N107+Examscore!N107</f>
        <v>0</v>
      </c>
      <c r="E107" s="28">
        <f>ClassScore!O107+Examscore!O107</f>
        <v>0</v>
      </c>
      <c r="F107" s="28">
        <f>ClassScore!P107+Examscore!P107</f>
        <v>0</v>
      </c>
      <c r="G107" s="28">
        <f>ClassScore!Q107+Examscore!Q107</f>
        <v>0</v>
      </c>
      <c r="H107" s="28">
        <f>ClassScore!R107+Examscore!R107</f>
        <v>0</v>
      </c>
      <c r="I107" s="28">
        <f>ClassScore!S107+Examscore!S107</f>
        <v>0</v>
      </c>
      <c r="J107" s="28">
        <f>ClassScore!T107+Examscore!T107</f>
        <v>0</v>
      </c>
      <c r="K107" s="28">
        <f>ClassScore!U107+Examscore!U107</f>
        <v>0</v>
      </c>
      <c r="L107" s="28">
        <f>ClassScore!V107+Examscore!V107</f>
        <v>0</v>
      </c>
      <c r="M107" s="5" t="str">
        <f t="shared" si="57"/>
        <v>--</v>
      </c>
      <c r="N107" s="5" t="str">
        <f t="shared" si="58"/>
        <v>--</v>
      </c>
      <c r="O107" s="5" t="str">
        <f t="shared" si="59"/>
        <v>--</v>
      </c>
      <c r="P107" s="5" t="str">
        <f t="shared" si="60"/>
        <v>--</v>
      </c>
      <c r="Q107" s="5" t="str">
        <f t="shared" si="61"/>
        <v>--</v>
      </c>
      <c r="R107" s="5" t="str">
        <f t="shared" si="62"/>
        <v>--</v>
      </c>
      <c r="S107" s="5" t="str">
        <f t="shared" si="63"/>
        <v>--</v>
      </c>
      <c r="T107" s="5" t="str">
        <f t="shared" si="64"/>
        <v>--</v>
      </c>
      <c r="U107" s="5" t="str">
        <f t="shared" si="65"/>
        <v>--</v>
      </c>
      <c r="V107" s="5" t="str">
        <f t="shared" si="66"/>
        <v>--</v>
      </c>
      <c r="W107" s="5" t="str">
        <f t="shared" si="67"/>
        <v>--</v>
      </c>
      <c r="X107" s="5" t="str">
        <f t="shared" si="68"/>
        <v>--</v>
      </c>
      <c r="Y107" s="5" t="str">
        <f t="shared" si="69"/>
        <v>--</v>
      </c>
      <c r="Z107" s="5" t="str">
        <f t="shared" si="70"/>
        <v>--</v>
      </c>
      <c r="AA107" s="5" t="str">
        <f t="shared" si="71"/>
        <v>--</v>
      </c>
      <c r="AB107" s="5" t="str">
        <f t="shared" si="72"/>
        <v>--</v>
      </c>
      <c r="AC107" s="5" t="str">
        <f t="shared" si="73"/>
        <v>--</v>
      </c>
      <c r="AD107" s="5" t="str">
        <f t="shared" si="74"/>
        <v>--</v>
      </c>
      <c r="AE107" s="5" t="str">
        <f t="shared" si="75"/>
        <v>--</v>
      </c>
      <c r="AF107" s="5" t="str">
        <f t="shared" si="76"/>
        <v>--</v>
      </c>
      <c r="AG107" s="34">
        <f>SUM(C107,D107,F107,G107)+LARGE((E107,H107,I107,J107,K107,L107),1)+LARGE((E107,H107,I107,J107,K107,L107),2)</f>
        <v>0</v>
      </c>
      <c r="AH107" s="5" t="e">
        <f>SUM(W107,X107,Z107,AA107)+SMALL((Y107,AB107,AC107,AD107,AE107,AF107),1)+SMALL((Y107,AB107,AC107,AD107,AE107,AF107),2)</f>
        <v>#NUM!</v>
      </c>
      <c r="AI107" s="15">
        <f>'Teacher''s Remarks'!M108</f>
        <v>0</v>
      </c>
      <c r="AJ107" s="15">
        <f>'Teacher''s Remarks'!N108</f>
        <v>0</v>
      </c>
      <c r="AK107" s="15">
        <f>'Teacher''s Remarks'!O108</f>
        <v>0</v>
      </c>
      <c r="AL107" s="15">
        <f>'Teacher''s Remarks'!P108</f>
        <v>0</v>
      </c>
      <c r="AM107" s="13">
        <f t="shared" si="56"/>
        <v>0</v>
      </c>
      <c r="AN107" s="14">
        <f>Attendance!B107</f>
        <v>0</v>
      </c>
      <c r="AO107" s="15"/>
      <c r="AP107" s="15"/>
      <c r="AQ107" s="22">
        <f t="shared" ca="1" si="77"/>
        <v>45764</v>
      </c>
      <c r="AR107" s="15"/>
      <c r="AT107" s="12">
        <f t="shared" si="90"/>
        <v>56</v>
      </c>
      <c r="AU107" t="str">
        <f>IF(OR(VALUE(RIGHT(AT107,5))={11,12,13}),"th",IF(OR(VALUE(RIGHT(AT107))={1,2,3}),CHOOSE(RIGHT(AT107),"st","nd","rd"),"th"))</f>
        <v>th</v>
      </c>
      <c r="AV107">
        <f t="shared" si="91"/>
        <v>56</v>
      </c>
      <c r="AW107" t="str">
        <f>IF(OR(VALUE(RIGHT(AV107,5))={11,12,13}),"th",IF(OR(VALUE(RIGHT(AV107))={1,2,3}),CHOOSE(RIGHT(AV107),"st","nd","rd"),"th"))</f>
        <v>th</v>
      </c>
      <c r="AX107">
        <f t="shared" si="92"/>
        <v>56</v>
      </c>
      <c r="AY107" t="str">
        <f>IF(OR(VALUE(RIGHT(AX107,5))={11,12,13}),"th",IF(OR(VALUE(RIGHT(AX107))={1,2,3}),CHOOSE(RIGHT(AX107),"st","nd","rd"),"th"))</f>
        <v>th</v>
      </c>
      <c r="AZ107">
        <f t="shared" si="93"/>
        <v>56</v>
      </c>
      <c r="BA107" t="str">
        <f>IF(OR(VALUE(RIGHT(AZ107,5))={11,12,13}),"th",IF(OR(VALUE(RIGHT(AZ107))={1,2,3}),CHOOSE(RIGHT(AZ107),"st","nd","rd"),"th"))</f>
        <v>th</v>
      </c>
      <c r="BB107">
        <f t="shared" si="94"/>
        <v>56</v>
      </c>
      <c r="BC107" t="str">
        <f>IF(OR(VALUE(RIGHT(BB107,5))={11,12,13}),"th",IF(OR(VALUE(RIGHT(BB107))={1,2,3}),CHOOSE(RIGHT(BB107),"st","nd","rd"),"th"))</f>
        <v>th</v>
      </c>
      <c r="BD107">
        <f t="shared" si="95"/>
        <v>56</v>
      </c>
      <c r="BE107" t="str">
        <f>IF(OR(VALUE(RIGHT(BD107,5))={11,12,13}),"th",IF(OR(VALUE(RIGHT(BD107))={1,2,3}),CHOOSE(RIGHT(BD107),"st","nd","rd"),"th"))</f>
        <v>th</v>
      </c>
      <c r="BF107">
        <f t="shared" si="96"/>
        <v>56</v>
      </c>
      <c r="BG107" t="str">
        <f>IF(OR(VALUE(RIGHT(BF107,5))={11,12,13}),"th",IF(OR(VALUE(RIGHT(BF107))={1,2,3}),CHOOSE(RIGHT(BF107),"st","nd","rd"),"th"))</f>
        <v>th</v>
      </c>
      <c r="BH107">
        <f t="shared" si="97"/>
        <v>56</v>
      </c>
      <c r="BI107" t="str">
        <f>IF(OR(VALUE(RIGHT(BH107,5))={11,12,13}),"th",IF(OR(VALUE(RIGHT(BH107))={1,2,3}),CHOOSE(RIGHT(BH107),"st","nd","rd"),"th"))</f>
        <v>th</v>
      </c>
      <c r="BJ107">
        <f t="shared" si="98"/>
        <v>56</v>
      </c>
      <c r="BK107" t="str" cm="1">
        <f t="array" ref="BK107">IF(OR(VALUE(RIGHT(BJ107,5))={11,12,13}),"th",IF(OR(VALUE(RIGHT(BJ107))={1,2,3}),CHOOSE(RIGHT(BJ107),"st","nd","rd"),"th"))</f>
        <v>th</v>
      </c>
      <c r="BL107">
        <f t="shared" si="99"/>
        <v>57</v>
      </c>
      <c r="BM107" t="str">
        <f>IF(OR(VALUE(RIGHT(BL107,5))={11,12,13}),"th",IF(OR(VALUE(RIGHT(BL107))={1,2,3}),CHOOSE(RIGHT(BL107),"st","nd","rd"),"th"))</f>
        <v>th</v>
      </c>
      <c r="BO107" s="30">
        <f t="shared" si="88"/>
        <v>0</v>
      </c>
      <c r="BP107">
        <f t="shared" si="100"/>
        <v>57</v>
      </c>
      <c r="BQ107" t="str">
        <f>IF(OR(VALUE(RIGHT(BP107,5))={11,12,13}),"th",IF(OR(VALUE(RIGHT(BP107))={1,2,3}),CHOOSE(RIGHT(BP107),"st","nd","rd"),"th"))</f>
        <v>th</v>
      </c>
      <c r="BS107" s="27">
        <f>ClassScore!M107</f>
        <v>0</v>
      </c>
      <c r="BT107" s="27">
        <f>ClassScore!N107</f>
        <v>0</v>
      </c>
      <c r="BU107" s="27">
        <f>ClassScore!O107</f>
        <v>0</v>
      </c>
      <c r="BV107" s="27">
        <f>ClassScore!P107</f>
        <v>0</v>
      </c>
      <c r="BW107" s="27">
        <f>ClassScore!Q107</f>
        <v>0</v>
      </c>
      <c r="BX107" s="27">
        <f>ClassScore!R107</f>
        <v>0</v>
      </c>
      <c r="BY107" s="27">
        <f>ClassScore!S107</f>
        <v>0</v>
      </c>
      <c r="BZ107" s="27">
        <f>ClassScore!T107</f>
        <v>0</v>
      </c>
      <c r="CA107" s="27">
        <f>ClassScore!U107</f>
        <v>0</v>
      </c>
      <c r="CB107" s="27">
        <f>ClassScore!V107</f>
        <v>0</v>
      </c>
      <c r="CD107" s="27">
        <f>Examscore!M107</f>
        <v>0</v>
      </c>
      <c r="CE107" s="27">
        <f>Examscore!N107</f>
        <v>0</v>
      </c>
      <c r="CF107" s="27">
        <f>Examscore!O107</f>
        <v>0</v>
      </c>
      <c r="CG107" s="27">
        <f>Examscore!P107</f>
        <v>0</v>
      </c>
      <c r="CH107" s="27">
        <f>Examscore!Q107</f>
        <v>0</v>
      </c>
      <c r="CI107" s="27">
        <f>Examscore!R107</f>
        <v>0</v>
      </c>
      <c r="CJ107" s="27">
        <f>Examscore!S107</f>
        <v>0</v>
      </c>
      <c r="CK107" s="27">
        <f>Examscore!T107</f>
        <v>0</v>
      </c>
      <c r="CL107" s="27">
        <f>Examscore!U107</f>
        <v>0</v>
      </c>
      <c r="CM107" s="27">
        <f>Examscore!V107</f>
        <v>0</v>
      </c>
    </row>
    <row r="108" spans="1:91" ht="15.75" x14ac:dyDescent="0.25">
      <c r="A108" s="5">
        <f>Student!A108</f>
        <v>0</v>
      </c>
      <c r="B108" s="21">
        <f>Student!B108</f>
        <v>0</v>
      </c>
      <c r="C108" s="28">
        <f>ClassScore!M108+Examscore!M108</f>
        <v>0</v>
      </c>
      <c r="D108" s="28">
        <f>ClassScore!N108+Examscore!N108</f>
        <v>0</v>
      </c>
      <c r="E108" s="28">
        <f>ClassScore!O108+Examscore!O108</f>
        <v>0</v>
      </c>
      <c r="F108" s="28">
        <f>ClassScore!P108+Examscore!P108</f>
        <v>0</v>
      </c>
      <c r="G108" s="28">
        <f>ClassScore!Q108+Examscore!Q108</f>
        <v>0</v>
      </c>
      <c r="H108" s="28">
        <f>ClassScore!R108+Examscore!R108</f>
        <v>0</v>
      </c>
      <c r="I108" s="28">
        <f>ClassScore!S108+Examscore!S108</f>
        <v>0</v>
      </c>
      <c r="J108" s="28">
        <f>ClassScore!T108+Examscore!T108</f>
        <v>0</v>
      </c>
      <c r="K108" s="28">
        <f>ClassScore!U108+Examscore!U108</f>
        <v>0</v>
      </c>
      <c r="L108" s="28">
        <f>ClassScore!V108+Examscore!V108</f>
        <v>0</v>
      </c>
      <c r="M108" s="5" t="str">
        <f t="shared" si="57"/>
        <v>--</v>
      </c>
      <c r="N108" s="5" t="str">
        <f t="shared" si="58"/>
        <v>--</v>
      </c>
      <c r="O108" s="5" t="str">
        <f t="shared" si="59"/>
        <v>--</v>
      </c>
      <c r="P108" s="5" t="str">
        <f t="shared" si="60"/>
        <v>--</v>
      </c>
      <c r="Q108" s="5" t="str">
        <f t="shared" si="61"/>
        <v>--</v>
      </c>
      <c r="R108" s="5" t="str">
        <f t="shared" si="62"/>
        <v>--</v>
      </c>
      <c r="S108" s="5" t="str">
        <f t="shared" si="63"/>
        <v>--</v>
      </c>
      <c r="T108" s="5" t="str">
        <f t="shared" si="64"/>
        <v>--</v>
      </c>
      <c r="U108" s="5" t="str">
        <f t="shared" si="65"/>
        <v>--</v>
      </c>
      <c r="V108" s="5" t="str">
        <f t="shared" si="66"/>
        <v>--</v>
      </c>
      <c r="W108" s="5" t="str">
        <f t="shared" si="67"/>
        <v>--</v>
      </c>
      <c r="X108" s="5" t="str">
        <f t="shared" si="68"/>
        <v>--</v>
      </c>
      <c r="Y108" s="5" t="str">
        <f t="shared" si="69"/>
        <v>--</v>
      </c>
      <c r="Z108" s="5" t="str">
        <f t="shared" si="70"/>
        <v>--</v>
      </c>
      <c r="AA108" s="5" t="str">
        <f t="shared" si="71"/>
        <v>--</v>
      </c>
      <c r="AB108" s="5" t="str">
        <f t="shared" si="72"/>
        <v>--</v>
      </c>
      <c r="AC108" s="5" t="str">
        <f t="shared" si="73"/>
        <v>--</v>
      </c>
      <c r="AD108" s="5" t="str">
        <f t="shared" si="74"/>
        <v>--</v>
      </c>
      <c r="AE108" s="5" t="str">
        <f t="shared" si="75"/>
        <v>--</v>
      </c>
      <c r="AF108" s="5" t="str">
        <f t="shared" si="76"/>
        <v>--</v>
      </c>
      <c r="AG108" s="34">
        <f>SUM(C108,D108,F108,G108)+LARGE((E108,H108,I108,J108,K108,L108),1)+LARGE((E108,H108,I108,J108,K108,L108),2)</f>
        <v>0</v>
      </c>
      <c r="AH108" s="5" t="e">
        <f>SUM(W108,X108,Z108,AA108)+SMALL((Y108,AB108,AC108,AD108,AE108,AF108),1)+SMALL((Y108,AB108,AC108,AD108,AE108,AF108),2)</f>
        <v>#NUM!</v>
      </c>
      <c r="AI108" s="15">
        <f>'Teacher''s Remarks'!M109</f>
        <v>0</v>
      </c>
      <c r="AJ108" s="15">
        <f>'Teacher''s Remarks'!N109</f>
        <v>0</v>
      </c>
      <c r="AK108" s="15">
        <f>'Teacher''s Remarks'!O109</f>
        <v>0</v>
      </c>
      <c r="AL108" s="15">
        <f>'Teacher''s Remarks'!P109</f>
        <v>0</v>
      </c>
      <c r="AM108" s="13">
        <f t="shared" si="56"/>
        <v>0</v>
      </c>
      <c r="AN108" s="14">
        <f>Attendance!B108</f>
        <v>0</v>
      </c>
      <c r="AO108" s="15"/>
      <c r="AP108" s="15"/>
      <c r="AQ108" s="22">
        <f t="shared" ca="1" si="77"/>
        <v>45764</v>
      </c>
      <c r="AR108" s="15"/>
      <c r="AT108" s="12">
        <f t="shared" si="90"/>
        <v>56</v>
      </c>
      <c r="AU108" t="str">
        <f>IF(OR(VALUE(RIGHT(AT108,5))={11,12,13}),"th",IF(OR(VALUE(RIGHT(AT108))={1,2,3}),CHOOSE(RIGHT(AT108),"st","nd","rd"),"th"))</f>
        <v>th</v>
      </c>
      <c r="AV108">
        <f t="shared" si="91"/>
        <v>56</v>
      </c>
      <c r="AW108" t="str">
        <f>IF(OR(VALUE(RIGHT(AV108,5))={11,12,13}),"th",IF(OR(VALUE(RIGHT(AV108))={1,2,3}),CHOOSE(RIGHT(AV108),"st","nd","rd"),"th"))</f>
        <v>th</v>
      </c>
      <c r="AX108">
        <f t="shared" si="92"/>
        <v>56</v>
      </c>
      <c r="AY108" t="str">
        <f>IF(OR(VALUE(RIGHT(AX108,5))={11,12,13}),"th",IF(OR(VALUE(RIGHT(AX108))={1,2,3}),CHOOSE(RIGHT(AX108),"st","nd","rd"),"th"))</f>
        <v>th</v>
      </c>
      <c r="AZ108">
        <f t="shared" si="93"/>
        <v>56</v>
      </c>
      <c r="BA108" t="str">
        <f>IF(OR(VALUE(RIGHT(AZ108,5))={11,12,13}),"th",IF(OR(VALUE(RIGHT(AZ108))={1,2,3}),CHOOSE(RIGHT(AZ108),"st","nd","rd"),"th"))</f>
        <v>th</v>
      </c>
      <c r="BB108">
        <f t="shared" si="94"/>
        <v>56</v>
      </c>
      <c r="BC108" t="str">
        <f>IF(OR(VALUE(RIGHT(BB108,5))={11,12,13}),"th",IF(OR(VALUE(RIGHT(BB108))={1,2,3}),CHOOSE(RIGHT(BB108),"st","nd","rd"),"th"))</f>
        <v>th</v>
      </c>
      <c r="BD108">
        <f t="shared" si="95"/>
        <v>56</v>
      </c>
      <c r="BE108" t="str">
        <f>IF(OR(VALUE(RIGHT(BD108,5))={11,12,13}),"th",IF(OR(VALUE(RIGHT(BD108))={1,2,3}),CHOOSE(RIGHT(BD108),"st","nd","rd"),"th"))</f>
        <v>th</v>
      </c>
      <c r="BF108">
        <f t="shared" si="96"/>
        <v>56</v>
      </c>
      <c r="BG108" t="str">
        <f>IF(OR(VALUE(RIGHT(BF108,5))={11,12,13}),"th",IF(OR(VALUE(RIGHT(BF108))={1,2,3}),CHOOSE(RIGHT(BF108),"st","nd","rd"),"th"))</f>
        <v>th</v>
      </c>
      <c r="BH108">
        <f t="shared" si="97"/>
        <v>56</v>
      </c>
      <c r="BI108" t="str">
        <f>IF(OR(VALUE(RIGHT(BH108,5))={11,12,13}),"th",IF(OR(VALUE(RIGHT(BH108))={1,2,3}),CHOOSE(RIGHT(BH108),"st","nd","rd"),"th"))</f>
        <v>th</v>
      </c>
      <c r="BJ108">
        <f t="shared" si="98"/>
        <v>56</v>
      </c>
      <c r="BK108" t="str" cm="1">
        <f t="array" ref="BK108">IF(OR(VALUE(RIGHT(BJ108,5))={11,12,13}),"th",IF(OR(VALUE(RIGHT(BJ108))={1,2,3}),CHOOSE(RIGHT(BJ108),"st","nd","rd"),"th"))</f>
        <v>th</v>
      </c>
      <c r="BL108">
        <f t="shared" si="99"/>
        <v>57</v>
      </c>
      <c r="BM108" t="str">
        <f>IF(OR(VALUE(RIGHT(BL108,5))={11,12,13}),"th",IF(OR(VALUE(RIGHT(BL108))={1,2,3}),CHOOSE(RIGHT(BL108),"st","nd","rd"),"th"))</f>
        <v>th</v>
      </c>
      <c r="BO108" s="30">
        <f t="shared" si="88"/>
        <v>0</v>
      </c>
      <c r="BP108">
        <f t="shared" si="100"/>
        <v>57</v>
      </c>
      <c r="BQ108" t="str">
        <f>IF(OR(VALUE(RIGHT(BP108,5))={11,12,13}),"th",IF(OR(VALUE(RIGHT(BP108))={1,2,3}),CHOOSE(RIGHT(BP108),"st","nd","rd"),"th"))</f>
        <v>th</v>
      </c>
      <c r="BS108" s="27">
        <f>ClassScore!M108</f>
        <v>0</v>
      </c>
      <c r="BT108" s="27">
        <f>ClassScore!N108</f>
        <v>0</v>
      </c>
      <c r="BU108" s="27">
        <f>ClassScore!O108</f>
        <v>0</v>
      </c>
      <c r="BV108" s="27">
        <f>ClassScore!P108</f>
        <v>0</v>
      </c>
      <c r="BW108" s="27">
        <f>ClassScore!Q108</f>
        <v>0</v>
      </c>
      <c r="BX108" s="27">
        <f>ClassScore!R108</f>
        <v>0</v>
      </c>
      <c r="BY108" s="27">
        <f>ClassScore!S108</f>
        <v>0</v>
      </c>
      <c r="BZ108" s="27">
        <f>ClassScore!T108</f>
        <v>0</v>
      </c>
      <c r="CA108" s="27">
        <f>ClassScore!U108</f>
        <v>0</v>
      </c>
      <c r="CB108" s="27">
        <f>ClassScore!V108</f>
        <v>0</v>
      </c>
      <c r="CD108" s="27">
        <f>Examscore!M108</f>
        <v>0</v>
      </c>
      <c r="CE108" s="27">
        <f>Examscore!N108</f>
        <v>0</v>
      </c>
      <c r="CF108" s="27">
        <f>Examscore!O108</f>
        <v>0</v>
      </c>
      <c r="CG108" s="27">
        <f>Examscore!P108</f>
        <v>0</v>
      </c>
      <c r="CH108" s="27">
        <f>Examscore!Q108</f>
        <v>0</v>
      </c>
      <c r="CI108" s="27">
        <f>Examscore!R108</f>
        <v>0</v>
      </c>
      <c r="CJ108" s="27">
        <f>Examscore!S108</f>
        <v>0</v>
      </c>
      <c r="CK108" s="27">
        <f>Examscore!T108</f>
        <v>0</v>
      </c>
      <c r="CL108" s="27">
        <f>Examscore!U108</f>
        <v>0</v>
      </c>
      <c r="CM108" s="27">
        <f>Examscore!V108</f>
        <v>0</v>
      </c>
    </row>
    <row r="109" spans="1:91" ht="15.75" x14ac:dyDescent="0.25">
      <c r="A109" s="5">
        <f>Student!A109</f>
        <v>0</v>
      </c>
      <c r="B109" s="21">
        <f>Student!B109</f>
        <v>0</v>
      </c>
      <c r="C109" s="28">
        <f>ClassScore!M109+Examscore!M109</f>
        <v>0</v>
      </c>
      <c r="D109" s="28">
        <f>ClassScore!N109+Examscore!N109</f>
        <v>0</v>
      </c>
      <c r="E109" s="28">
        <f>ClassScore!O109+Examscore!O109</f>
        <v>0</v>
      </c>
      <c r="F109" s="28">
        <f>ClassScore!P109+Examscore!P109</f>
        <v>0</v>
      </c>
      <c r="G109" s="28">
        <f>ClassScore!Q109+Examscore!Q109</f>
        <v>0</v>
      </c>
      <c r="H109" s="28">
        <f>ClassScore!R109+Examscore!R109</f>
        <v>0</v>
      </c>
      <c r="I109" s="28">
        <f>ClassScore!S109+Examscore!S109</f>
        <v>0</v>
      </c>
      <c r="J109" s="28">
        <f>ClassScore!T109+Examscore!T109</f>
        <v>0</v>
      </c>
      <c r="K109" s="28">
        <f>ClassScore!U109+Examscore!U109</f>
        <v>0</v>
      </c>
      <c r="L109" s="28">
        <f>ClassScore!V109+Examscore!V109</f>
        <v>0</v>
      </c>
      <c r="M109" s="5" t="str">
        <f t="shared" si="57"/>
        <v>--</v>
      </c>
      <c r="N109" s="5" t="str">
        <f t="shared" si="58"/>
        <v>--</v>
      </c>
      <c r="O109" s="5" t="str">
        <f t="shared" si="59"/>
        <v>--</v>
      </c>
      <c r="P109" s="5" t="str">
        <f t="shared" si="60"/>
        <v>--</v>
      </c>
      <c r="Q109" s="5" t="str">
        <f t="shared" si="61"/>
        <v>--</v>
      </c>
      <c r="R109" s="5" t="str">
        <f t="shared" si="62"/>
        <v>--</v>
      </c>
      <c r="S109" s="5" t="str">
        <f t="shared" si="63"/>
        <v>--</v>
      </c>
      <c r="T109" s="5" t="str">
        <f t="shared" si="64"/>
        <v>--</v>
      </c>
      <c r="U109" s="5" t="str">
        <f t="shared" si="65"/>
        <v>--</v>
      </c>
      <c r="V109" s="5" t="str">
        <f t="shared" si="66"/>
        <v>--</v>
      </c>
      <c r="W109" s="5" t="str">
        <f t="shared" si="67"/>
        <v>--</v>
      </c>
      <c r="X109" s="5" t="str">
        <f t="shared" si="68"/>
        <v>--</v>
      </c>
      <c r="Y109" s="5" t="str">
        <f t="shared" si="69"/>
        <v>--</v>
      </c>
      <c r="Z109" s="5" t="str">
        <f t="shared" si="70"/>
        <v>--</v>
      </c>
      <c r="AA109" s="5" t="str">
        <f t="shared" si="71"/>
        <v>--</v>
      </c>
      <c r="AB109" s="5" t="str">
        <f t="shared" si="72"/>
        <v>--</v>
      </c>
      <c r="AC109" s="5" t="str">
        <f t="shared" si="73"/>
        <v>--</v>
      </c>
      <c r="AD109" s="5" t="str">
        <f t="shared" si="74"/>
        <v>--</v>
      </c>
      <c r="AE109" s="5" t="str">
        <f t="shared" si="75"/>
        <v>--</v>
      </c>
      <c r="AF109" s="5" t="str">
        <f t="shared" si="76"/>
        <v>--</v>
      </c>
      <c r="AG109" s="34">
        <f>SUM(C109,D109,F109,G109)+LARGE((E109,H109,I109,J109,K109,L109),1)+LARGE((E109,H109,I109,J109,K109,L109),2)</f>
        <v>0</v>
      </c>
      <c r="AH109" s="5" t="e">
        <f>SUM(W109,X109,Z109,AA109)+SMALL((Y109,AB109,AC109,AD109,AE109,AF109),1)+SMALL((Y109,AB109,AC109,AD109,AE109,AF109),2)</f>
        <v>#NUM!</v>
      </c>
      <c r="AI109" s="15">
        <f>'Teacher''s Remarks'!M110</f>
        <v>0</v>
      </c>
      <c r="AJ109" s="15">
        <f>'Teacher''s Remarks'!N110</f>
        <v>0</v>
      </c>
      <c r="AK109" s="15">
        <f>'Teacher''s Remarks'!O110</f>
        <v>0</v>
      </c>
      <c r="AL109" s="15">
        <f>'Teacher''s Remarks'!P110</f>
        <v>0</v>
      </c>
      <c r="AM109" s="13">
        <f t="shared" si="56"/>
        <v>0</v>
      </c>
      <c r="AN109" s="14">
        <f>Attendance!B109</f>
        <v>0</v>
      </c>
      <c r="AO109" s="15"/>
      <c r="AP109" s="15"/>
      <c r="AQ109" s="22">
        <f t="shared" ca="1" si="77"/>
        <v>45764</v>
      </c>
      <c r="AR109" s="15"/>
      <c r="AT109" s="12">
        <f t="shared" si="90"/>
        <v>56</v>
      </c>
      <c r="AU109" t="str">
        <f>IF(OR(VALUE(RIGHT(AT109,5))={11,12,13}),"th",IF(OR(VALUE(RIGHT(AT109))={1,2,3}),CHOOSE(RIGHT(AT109),"st","nd","rd"),"th"))</f>
        <v>th</v>
      </c>
      <c r="AV109">
        <f t="shared" si="91"/>
        <v>56</v>
      </c>
      <c r="AW109" t="str">
        <f>IF(OR(VALUE(RIGHT(AV109,5))={11,12,13}),"th",IF(OR(VALUE(RIGHT(AV109))={1,2,3}),CHOOSE(RIGHT(AV109),"st","nd","rd"),"th"))</f>
        <v>th</v>
      </c>
      <c r="AX109">
        <f t="shared" si="92"/>
        <v>56</v>
      </c>
      <c r="AY109" t="str">
        <f>IF(OR(VALUE(RIGHT(AX109,5))={11,12,13}),"th",IF(OR(VALUE(RIGHT(AX109))={1,2,3}),CHOOSE(RIGHT(AX109),"st","nd","rd"),"th"))</f>
        <v>th</v>
      </c>
      <c r="AZ109">
        <f t="shared" si="93"/>
        <v>56</v>
      </c>
      <c r="BA109" t="str">
        <f>IF(OR(VALUE(RIGHT(AZ109,5))={11,12,13}),"th",IF(OR(VALUE(RIGHT(AZ109))={1,2,3}),CHOOSE(RIGHT(AZ109),"st","nd","rd"),"th"))</f>
        <v>th</v>
      </c>
      <c r="BB109">
        <f t="shared" si="94"/>
        <v>56</v>
      </c>
      <c r="BC109" t="str">
        <f>IF(OR(VALUE(RIGHT(BB109,5))={11,12,13}),"th",IF(OR(VALUE(RIGHT(BB109))={1,2,3}),CHOOSE(RIGHT(BB109),"st","nd","rd"),"th"))</f>
        <v>th</v>
      </c>
      <c r="BD109">
        <f t="shared" si="95"/>
        <v>56</v>
      </c>
      <c r="BE109" t="str">
        <f>IF(OR(VALUE(RIGHT(BD109,5))={11,12,13}),"th",IF(OR(VALUE(RIGHT(BD109))={1,2,3}),CHOOSE(RIGHT(BD109),"st","nd","rd"),"th"))</f>
        <v>th</v>
      </c>
      <c r="BF109">
        <f t="shared" si="96"/>
        <v>56</v>
      </c>
      <c r="BG109" t="str">
        <f>IF(OR(VALUE(RIGHT(BF109,5))={11,12,13}),"th",IF(OR(VALUE(RIGHT(BF109))={1,2,3}),CHOOSE(RIGHT(BF109),"st","nd","rd"),"th"))</f>
        <v>th</v>
      </c>
      <c r="BH109">
        <f t="shared" si="97"/>
        <v>56</v>
      </c>
      <c r="BI109" t="str">
        <f>IF(OR(VALUE(RIGHT(BH109,5))={11,12,13}),"th",IF(OR(VALUE(RIGHT(BH109))={1,2,3}),CHOOSE(RIGHT(BH109),"st","nd","rd"),"th"))</f>
        <v>th</v>
      </c>
      <c r="BJ109">
        <f t="shared" si="98"/>
        <v>56</v>
      </c>
      <c r="BK109" t="str" cm="1">
        <f t="array" ref="BK109">IF(OR(VALUE(RIGHT(BJ109,5))={11,12,13}),"th",IF(OR(VALUE(RIGHT(BJ109))={1,2,3}),CHOOSE(RIGHT(BJ109),"st","nd","rd"),"th"))</f>
        <v>th</v>
      </c>
      <c r="BL109">
        <f t="shared" si="99"/>
        <v>57</v>
      </c>
      <c r="BM109" t="str">
        <f>IF(OR(VALUE(RIGHT(BL109,5))={11,12,13}),"th",IF(OR(VALUE(RIGHT(BL109))={1,2,3}),CHOOSE(RIGHT(BL109),"st","nd","rd"),"th"))</f>
        <v>th</v>
      </c>
      <c r="BO109" s="30">
        <f t="shared" si="88"/>
        <v>0</v>
      </c>
      <c r="BP109">
        <f t="shared" si="100"/>
        <v>57</v>
      </c>
      <c r="BQ109" t="str">
        <f>IF(OR(VALUE(RIGHT(BP109,5))={11,12,13}),"th",IF(OR(VALUE(RIGHT(BP109))={1,2,3}),CHOOSE(RIGHT(BP109),"st","nd","rd"),"th"))</f>
        <v>th</v>
      </c>
      <c r="BS109" s="27">
        <f>ClassScore!M109</f>
        <v>0</v>
      </c>
      <c r="BT109" s="27">
        <f>ClassScore!N109</f>
        <v>0</v>
      </c>
      <c r="BU109" s="27">
        <f>ClassScore!O109</f>
        <v>0</v>
      </c>
      <c r="BV109" s="27">
        <f>ClassScore!P109</f>
        <v>0</v>
      </c>
      <c r="BW109" s="27">
        <f>ClassScore!Q109</f>
        <v>0</v>
      </c>
      <c r="BX109" s="27">
        <f>ClassScore!R109</f>
        <v>0</v>
      </c>
      <c r="BY109" s="27">
        <f>ClassScore!S109</f>
        <v>0</v>
      </c>
      <c r="BZ109" s="27">
        <f>ClassScore!T109</f>
        <v>0</v>
      </c>
      <c r="CA109" s="27">
        <f>ClassScore!U109</f>
        <v>0</v>
      </c>
      <c r="CB109" s="27">
        <f>ClassScore!V109</f>
        <v>0</v>
      </c>
      <c r="CD109" s="27">
        <f>Examscore!M109</f>
        <v>0</v>
      </c>
      <c r="CE109" s="27">
        <f>Examscore!N109</f>
        <v>0</v>
      </c>
      <c r="CF109" s="27">
        <f>Examscore!O109</f>
        <v>0</v>
      </c>
      <c r="CG109" s="27">
        <f>Examscore!P109</f>
        <v>0</v>
      </c>
      <c r="CH109" s="27">
        <f>Examscore!Q109</f>
        <v>0</v>
      </c>
      <c r="CI109" s="27">
        <f>Examscore!R109</f>
        <v>0</v>
      </c>
      <c r="CJ109" s="27">
        <f>Examscore!S109</f>
        <v>0</v>
      </c>
      <c r="CK109" s="27">
        <f>Examscore!T109</f>
        <v>0</v>
      </c>
      <c r="CL109" s="27">
        <f>Examscore!U109</f>
        <v>0</v>
      </c>
      <c r="CM109" s="27">
        <f>Examscore!V109</f>
        <v>0</v>
      </c>
    </row>
    <row r="110" spans="1:91" ht="15.75" x14ac:dyDescent="0.25">
      <c r="A110" s="5">
        <f>Student!A110</f>
        <v>0</v>
      </c>
      <c r="B110" s="21">
        <f>Student!B110</f>
        <v>0</v>
      </c>
      <c r="C110" s="28">
        <f>ClassScore!M110+Examscore!M110</f>
        <v>0</v>
      </c>
      <c r="D110" s="28">
        <f>ClassScore!N110+Examscore!N110</f>
        <v>0</v>
      </c>
      <c r="E110" s="28">
        <f>ClassScore!O110+Examscore!O110</f>
        <v>0</v>
      </c>
      <c r="F110" s="28">
        <f>ClassScore!P110+Examscore!P110</f>
        <v>0</v>
      </c>
      <c r="G110" s="28">
        <f>ClassScore!Q110+Examscore!Q110</f>
        <v>0</v>
      </c>
      <c r="H110" s="28">
        <f>ClassScore!R110+Examscore!R110</f>
        <v>0</v>
      </c>
      <c r="I110" s="28">
        <f>ClassScore!S110+Examscore!S110</f>
        <v>0</v>
      </c>
      <c r="J110" s="28">
        <f>ClassScore!T110+Examscore!T110</f>
        <v>0</v>
      </c>
      <c r="K110" s="28">
        <f>ClassScore!U110+Examscore!U110</f>
        <v>0</v>
      </c>
      <c r="L110" s="28">
        <f>ClassScore!V110+Examscore!V110</f>
        <v>0</v>
      </c>
      <c r="M110" s="5" t="str">
        <f t="shared" si="57"/>
        <v>--</v>
      </c>
      <c r="N110" s="5" t="str">
        <f t="shared" si="58"/>
        <v>--</v>
      </c>
      <c r="O110" s="5" t="str">
        <f t="shared" si="59"/>
        <v>--</v>
      </c>
      <c r="P110" s="5" t="str">
        <f t="shared" si="60"/>
        <v>--</v>
      </c>
      <c r="Q110" s="5" t="str">
        <f t="shared" si="61"/>
        <v>--</v>
      </c>
      <c r="R110" s="5" t="str">
        <f t="shared" si="62"/>
        <v>--</v>
      </c>
      <c r="S110" s="5" t="str">
        <f t="shared" si="63"/>
        <v>--</v>
      </c>
      <c r="T110" s="5" t="str">
        <f t="shared" si="64"/>
        <v>--</v>
      </c>
      <c r="U110" s="5" t="str">
        <f t="shared" si="65"/>
        <v>--</v>
      </c>
      <c r="V110" s="5" t="str">
        <f t="shared" si="66"/>
        <v>--</v>
      </c>
      <c r="W110" s="5" t="str">
        <f t="shared" si="67"/>
        <v>--</v>
      </c>
      <c r="X110" s="5" t="str">
        <f t="shared" si="68"/>
        <v>--</v>
      </c>
      <c r="Y110" s="5" t="str">
        <f t="shared" si="69"/>
        <v>--</v>
      </c>
      <c r="Z110" s="5" t="str">
        <f t="shared" si="70"/>
        <v>--</v>
      </c>
      <c r="AA110" s="5" t="str">
        <f t="shared" si="71"/>
        <v>--</v>
      </c>
      <c r="AB110" s="5" t="str">
        <f t="shared" si="72"/>
        <v>--</v>
      </c>
      <c r="AC110" s="5" t="str">
        <f t="shared" si="73"/>
        <v>--</v>
      </c>
      <c r="AD110" s="5" t="str">
        <f t="shared" si="74"/>
        <v>--</v>
      </c>
      <c r="AE110" s="5" t="str">
        <f t="shared" si="75"/>
        <v>--</v>
      </c>
      <c r="AF110" s="5" t="str">
        <f t="shared" si="76"/>
        <v>--</v>
      </c>
      <c r="AG110" s="34">
        <f>SUM(C110,D110,F110,G110)+LARGE((E110,H110,I110,J110,K110,L110),1)+LARGE((E110,H110,I110,J110,K110,L110),2)</f>
        <v>0</v>
      </c>
      <c r="AH110" s="5" t="e">
        <f>SUM(W110,X110,Z110,AA110)+SMALL((Y110,AB110,AC110,AD110,AE110,AF110),1)+SMALL((Y110,AB110,AC110,AD110,AE110,AF110),2)</f>
        <v>#NUM!</v>
      </c>
      <c r="AI110" s="15">
        <f>'Teacher''s Remarks'!M111</f>
        <v>0</v>
      </c>
      <c r="AJ110" s="15">
        <f>'Teacher''s Remarks'!N111</f>
        <v>0</v>
      </c>
      <c r="AK110" s="15">
        <f>'Teacher''s Remarks'!O111</f>
        <v>0</v>
      </c>
      <c r="AL110" s="15">
        <f>'Teacher''s Remarks'!P111</f>
        <v>0</v>
      </c>
      <c r="AM110" s="13">
        <f t="shared" si="56"/>
        <v>0</v>
      </c>
      <c r="AN110" s="14">
        <f>Attendance!B110</f>
        <v>0</v>
      </c>
      <c r="AO110" s="15"/>
      <c r="AP110" s="15"/>
      <c r="AQ110" s="22">
        <f t="shared" ca="1" si="77"/>
        <v>45764</v>
      </c>
      <c r="AR110" s="15"/>
      <c r="AT110" s="12">
        <f t="shared" si="90"/>
        <v>56</v>
      </c>
      <c r="AU110" t="str">
        <f>IF(OR(VALUE(RIGHT(AT110,5))={11,12,13}),"th",IF(OR(VALUE(RIGHT(AT110))={1,2,3}),CHOOSE(RIGHT(AT110),"st","nd","rd"),"th"))</f>
        <v>th</v>
      </c>
      <c r="AV110">
        <f t="shared" si="91"/>
        <v>56</v>
      </c>
      <c r="AW110" t="str">
        <f>IF(OR(VALUE(RIGHT(AV110,5))={11,12,13}),"th",IF(OR(VALUE(RIGHT(AV110))={1,2,3}),CHOOSE(RIGHT(AV110),"st","nd","rd"),"th"))</f>
        <v>th</v>
      </c>
      <c r="AX110">
        <f t="shared" si="92"/>
        <v>56</v>
      </c>
      <c r="AY110" t="str">
        <f>IF(OR(VALUE(RIGHT(AX110,5))={11,12,13}),"th",IF(OR(VALUE(RIGHT(AX110))={1,2,3}),CHOOSE(RIGHT(AX110),"st","nd","rd"),"th"))</f>
        <v>th</v>
      </c>
      <c r="AZ110">
        <f t="shared" si="93"/>
        <v>56</v>
      </c>
      <c r="BA110" t="str">
        <f>IF(OR(VALUE(RIGHT(AZ110,5))={11,12,13}),"th",IF(OR(VALUE(RIGHT(AZ110))={1,2,3}),CHOOSE(RIGHT(AZ110),"st","nd","rd"),"th"))</f>
        <v>th</v>
      </c>
      <c r="BB110">
        <f t="shared" si="94"/>
        <v>56</v>
      </c>
      <c r="BC110" t="str">
        <f>IF(OR(VALUE(RIGHT(BB110,5))={11,12,13}),"th",IF(OR(VALUE(RIGHT(BB110))={1,2,3}),CHOOSE(RIGHT(BB110),"st","nd","rd"),"th"))</f>
        <v>th</v>
      </c>
      <c r="BD110">
        <f t="shared" si="95"/>
        <v>56</v>
      </c>
      <c r="BE110" t="str">
        <f>IF(OR(VALUE(RIGHT(BD110,5))={11,12,13}),"th",IF(OR(VALUE(RIGHT(BD110))={1,2,3}),CHOOSE(RIGHT(BD110),"st","nd","rd"),"th"))</f>
        <v>th</v>
      </c>
      <c r="BF110">
        <f t="shared" si="96"/>
        <v>56</v>
      </c>
      <c r="BG110" t="str">
        <f>IF(OR(VALUE(RIGHT(BF110,5))={11,12,13}),"th",IF(OR(VALUE(RIGHT(BF110))={1,2,3}),CHOOSE(RIGHT(BF110),"st","nd","rd"),"th"))</f>
        <v>th</v>
      </c>
      <c r="BH110">
        <f t="shared" si="97"/>
        <v>56</v>
      </c>
      <c r="BI110" t="str">
        <f>IF(OR(VALUE(RIGHT(BH110,5))={11,12,13}),"th",IF(OR(VALUE(RIGHT(BH110))={1,2,3}),CHOOSE(RIGHT(BH110),"st","nd","rd"),"th"))</f>
        <v>th</v>
      </c>
      <c r="BJ110">
        <f t="shared" si="98"/>
        <v>56</v>
      </c>
      <c r="BK110" t="str" cm="1">
        <f t="array" ref="BK110">IF(OR(VALUE(RIGHT(BJ110,5))={11,12,13}),"th",IF(OR(VALUE(RIGHT(BJ110))={1,2,3}),CHOOSE(RIGHT(BJ110),"st","nd","rd"),"th"))</f>
        <v>th</v>
      </c>
      <c r="BL110">
        <f t="shared" si="99"/>
        <v>57</v>
      </c>
      <c r="BM110" t="str">
        <f>IF(OR(VALUE(RIGHT(BL110,5))={11,12,13}),"th",IF(OR(VALUE(RIGHT(BL110))={1,2,3}),CHOOSE(RIGHT(BL110),"st","nd","rd"),"th"))</f>
        <v>th</v>
      </c>
      <c r="BO110" s="30">
        <f t="shared" si="88"/>
        <v>0</v>
      </c>
      <c r="BP110">
        <f t="shared" si="100"/>
        <v>57</v>
      </c>
      <c r="BQ110" t="str">
        <f>IF(OR(VALUE(RIGHT(BP110,5))={11,12,13}),"th",IF(OR(VALUE(RIGHT(BP110))={1,2,3}),CHOOSE(RIGHT(BP110),"st","nd","rd"),"th"))</f>
        <v>th</v>
      </c>
      <c r="BS110" s="27">
        <f>ClassScore!M110</f>
        <v>0</v>
      </c>
      <c r="BT110" s="27">
        <f>ClassScore!N110</f>
        <v>0</v>
      </c>
      <c r="BU110" s="27">
        <f>ClassScore!O110</f>
        <v>0</v>
      </c>
      <c r="BV110" s="27">
        <f>ClassScore!P110</f>
        <v>0</v>
      </c>
      <c r="BW110" s="27">
        <f>ClassScore!Q110</f>
        <v>0</v>
      </c>
      <c r="BX110" s="27">
        <f>ClassScore!R110</f>
        <v>0</v>
      </c>
      <c r="BY110" s="27">
        <f>ClassScore!S110</f>
        <v>0</v>
      </c>
      <c r="BZ110" s="27">
        <f>ClassScore!T110</f>
        <v>0</v>
      </c>
      <c r="CA110" s="27">
        <f>ClassScore!U110</f>
        <v>0</v>
      </c>
      <c r="CB110" s="27">
        <f>ClassScore!V110</f>
        <v>0</v>
      </c>
      <c r="CD110" s="27">
        <f>Examscore!M110</f>
        <v>0</v>
      </c>
      <c r="CE110" s="27">
        <f>Examscore!N110</f>
        <v>0</v>
      </c>
      <c r="CF110" s="27">
        <f>Examscore!O110</f>
        <v>0</v>
      </c>
      <c r="CG110" s="27">
        <f>Examscore!P110</f>
        <v>0</v>
      </c>
      <c r="CH110" s="27">
        <f>Examscore!Q110</f>
        <v>0</v>
      </c>
      <c r="CI110" s="27">
        <f>Examscore!R110</f>
        <v>0</v>
      </c>
      <c r="CJ110" s="27">
        <f>Examscore!S110</f>
        <v>0</v>
      </c>
      <c r="CK110" s="27">
        <f>Examscore!T110</f>
        <v>0</v>
      </c>
      <c r="CL110" s="27">
        <f>Examscore!U110</f>
        <v>0</v>
      </c>
      <c r="CM110" s="27">
        <f>Examscore!V110</f>
        <v>0</v>
      </c>
    </row>
    <row r="111" spans="1:91" ht="15.75" x14ac:dyDescent="0.25">
      <c r="A111" s="5">
        <f>Student!A111</f>
        <v>0</v>
      </c>
      <c r="B111" s="21">
        <f>Student!B111</f>
        <v>0</v>
      </c>
      <c r="C111" s="28">
        <f>ClassScore!M111+Examscore!M111</f>
        <v>0</v>
      </c>
      <c r="D111" s="28">
        <f>ClassScore!N111+Examscore!N111</f>
        <v>0</v>
      </c>
      <c r="E111" s="28">
        <f>ClassScore!O111+Examscore!O111</f>
        <v>0</v>
      </c>
      <c r="F111" s="28">
        <f>ClassScore!P111+Examscore!P111</f>
        <v>0</v>
      </c>
      <c r="G111" s="28">
        <f>ClassScore!Q111+Examscore!Q111</f>
        <v>0</v>
      </c>
      <c r="H111" s="28">
        <f>ClassScore!R111+Examscore!R111</f>
        <v>0</v>
      </c>
      <c r="I111" s="28">
        <f>ClassScore!S111+Examscore!S111</f>
        <v>0</v>
      </c>
      <c r="J111" s="28">
        <f>ClassScore!T111+Examscore!T111</f>
        <v>0</v>
      </c>
      <c r="K111" s="28">
        <f>ClassScore!U111+Examscore!U111</f>
        <v>0</v>
      </c>
      <c r="L111" s="28">
        <f>ClassScore!V111+Examscore!V111</f>
        <v>0</v>
      </c>
      <c r="M111" s="5" t="str">
        <f t="shared" si="57"/>
        <v>--</v>
      </c>
      <c r="N111" s="5" t="str">
        <f t="shared" si="58"/>
        <v>--</v>
      </c>
      <c r="O111" s="5" t="str">
        <f t="shared" si="59"/>
        <v>--</v>
      </c>
      <c r="P111" s="5" t="str">
        <f t="shared" si="60"/>
        <v>--</v>
      </c>
      <c r="Q111" s="5" t="str">
        <f t="shared" si="61"/>
        <v>--</v>
      </c>
      <c r="R111" s="5" t="str">
        <f t="shared" si="62"/>
        <v>--</v>
      </c>
      <c r="S111" s="5" t="str">
        <f t="shared" si="63"/>
        <v>--</v>
      </c>
      <c r="T111" s="5" t="str">
        <f t="shared" si="64"/>
        <v>--</v>
      </c>
      <c r="U111" s="5" t="str">
        <f t="shared" si="65"/>
        <v>--</v>
      </c>
      <c r="V111" s="5" t="str">
        <f t="shared" si="66"/>
        <v>--</v>
      </c>
      <c r="W111" s="5" t="str">
        <f t="shared" si="67"/>
        <v>--</v>
      </c>
      <c r="X111" s="5" t="str">
        <f t="shared" si="68"/>
        <v>--</v>
      </c>
      <c r="Y111" s="5" t="str">
        <f t="shared" si="69"/>
        <v>--</v>
      </c>
      <c r="Z111" s="5" t="str">
        <f t="shared" si="70"/>
        <v>--</v>
      </c>
      <c r="AA111" s="5" t="str">
        <f t="shared" si="71"/>
        <v>--</v>
      </c>
      <c r="AB111" s="5" t="str">
        <f t="shared" si="72"/>
        <v>--</v>
      </c>
      <c r="AC111" s="5" t="str">
        <f t="shared" si="73"/>
        <v>--</v>
      </c>
      <c r="AD111" s="5" t="str">
        <f t="shared" si="74"/>
        <v>--</v>
      </c>
      <c r="AE111" s="5" t="str">
        <f t="shared" si="75"/>
        <v>--</v>
      </c>
      <c r="AF111" s="5" t="str">
        <f t="shared" si="76"/>
        <v>--</v>
      </c>
      <c r="AG111" s="34">
        <f>SUM(C111,D111,F111,G111)+LARGE((E111,H111,I111,J111,K111,L111),1)+LARGE((E111,H111,I111,J111,K111,L111),2)</f>
        <v>0</v>
      </c>
      <c r="AH111" s="5" t="e">
        <f>SUM(W111,X111,Z111,AA111)+SMALL((Y111,AB111,AC111,AD111,AE111,AF111),1)+SMALL((Y111,AB111,AC111,AD111,AE111,AF111),2)</f>
        <v>#NUM!</v>
      </c>
      <c r="AI111" s="15">
        <f>'Teacher''s Remarks'!M112</f>
        <v>0</v>
      </c>
      <c r="AJ111" s="15">
        <f>'Teacher''s Remarks'!N112</f>
        <v>0</v>
      </c>
      <c r="AK111" s="15">
        <f>'Teacher''s Remarks'!O112</f>
        <v>0</v>
      </c>
      <c r="AL111" s="15">
        <f>'Teacher''s Remarks'!P112</f>
        <v>0</v>
      </c>
      <c r="AM111" s="13">
        <f t="shared" si="56"/>
        <v>0</v>
      </c>
      <c r="AN111" s="14">
        <f>Attendance!B111</f>
        <v>0</v>
      </c>
      <c r="AO111" s="15"/>
      <c r="AP111" s="15"/>
      <c r="AQ111" s="22">
        <f t="shared" ca="1" si="77"/>
        <v>45764</v>
      </c>
      <c r="AR111" s="15"/>
      <c r="AT111" s="12">
        <f t="shared" si="90"/>
        <v>56</v>
      </c>
      <c r="AU111" t="str">
        <f>IF(OR(VALUE(RIGHT(AT111,5))={11,12,13}),"th",IF(OR(VALUE(RIGHT(AT111))={1,2,3}),CHOOSE(RIGHT(AT111),"st","nd","rd"),"th"))</f>
        <v>th</v>
      </c>
      <c r="AV111">
        <f t="shared" si="91"/>
        <v>56</v>
      </c>
      <c r="AW111" t="str">
        <f>IF(OR(VALUE(RIGHT(AV111,5))={11,12,13}),"th",IF(OR(VALUE(RIGHT(AV111))={1,2,3}),CHOOSE(RIGHT(AV111),"st","nd","rd"),"th"))</f>
        <v>th</v>
      </c>
      <c r="AX111">
        <f t="shared" si="92"/>
        <v>56</v>
      </c>
      <c r="AY111" t="str">
        <f>IF(OR(VALUE(RIGHT(AX111,5))={11,12,13}),"th",IF(OR(VALUE(RIGHT(AX111))={1,2,3}),CHOOSE(RIGHT(AX111),"st","nd","rd"),"th"))</f>
        <v>th</v>
      </c>
      <c r="AZ111">
        <f t="shared" si="93"/>
        <v>56</v>
      </c>
      <c r="BA111" t="str">
        <f>IF(OR(VALUE(RIGHT(AZ111,5))={11,12,13}),"th",IF(OR(VALUE(RIGHT(AZ111))={1,2,3}),CHOOSE(RIGHT(AZ111),"st","nd","rd"),"th"))</f>
        <v>th</v>
      </c>
      <c r="BB111">
        <f t="shared" si="94"/>
        <v>56</v>
      </c>
      <c r="BC111" t="str">
        <f>IF(OR(VALUE(RIGHT(BB111,5))={11,12,13}),"th",IF(OR(VALUE(RIGHT(BB111))={1,2,3}),CHOOSE(RIGHT(BB111),"st","nd","rd"),"th"))</f>
        <v>th</v>
      </c>
      <c r="BD111">
        <f t="shared" si="95"/>
        <v>56</v>
      </c>
      <c r="BE111" t="str">
        <f>IF(OR(VALUE(RIGHT(BD111,5))={11,12,13}),"th",IF(OR(VALUE(RIGHT(BD111))={1,2,3}),CHOOSE(RIGHT(BD111),"st","nd","rd"),"th"))</f>
        <v>th</v>
      </c>
      <c r="BF111">
        <f t="shared" si="96"/>
        <v>56</v>
      </c>
      <c r="BG111" t="str">
        <f>IF(OR(VALUE(RIGHT(BF111,5))={11,12,13}),"th",IF(OR(VALUE(RIGHT(BF111))={1,2,3}),CHOOSE(RIGHT(BF111),"st","nd","rd"),"th"))</f>
        <v>th</v>
      </c>
      <c r="BH111">
        <f t="shared" si="97"/>
        <v>56</v>
      </c>
      <c r="BI111" t="str">
        <f>IF(OR(VALUE(RIGHT(BH111,5))={11,12,13}),"th",IF(OR(VALUE(RIGHT(BH111))={1,2,3}),CHOOSE(RIGHT(BH111),"st","nd","rd"),"th"))</f>
        <v>th</v>
      </c>
      <c r="BJ111">
        <f t="shared" si="98"/>
        <v>56</v>
      </c>
      <c r="BK111" t="str" cm="1">
        <f t="array" ref="BK111">IF(OR(VALUE(RIGHT(BJ111,5))={11,12,13}),"th",IF(OR(VALUE(RIGHT(BJ111))={1,2,3}),CHOOSE(RIGHT(BJ111),"st","nd","rd"),"th"))</f>
        <v>th</v>
      </c>
      <c r="BL111">
        <f t="shared" si="99"/>
        <v>57</v>
      </c>
      <c r="BM111" t="str">
        <f>IF(OR(VALUE(RIGHT(BL111,5))={11,12,13}),"th",IF(OR(VALUE(RIGHT(BL111))={1,2,3}),CHOOSE(RIGHT(BL111),"st","nd","rd"),"th"))</f>
        <v>th</v>
      </c>
      <c r="BO111" s="30">
        <f t="shared" si="88"/>
        <v>0</v>
      </c>
      <c r="BP111">
        <f t="shared" si="100"/>
        <v>57</v>
      </c>
      <c r="BQ111" t="str">
        <f>IF(OR(VALUE(RIGHT(BP111,5))={11,12,13}),"th",IF(OR(VALUE(RIGHT(BP111))={1,2,3}),CHOOSE(RIGHT(BP111),"st","nd","rd"),"th"))</f>
        <v>th</v>
      </c>
      <c r="BS111" s="27">
        <f>ClassScore!M111</f>
        <v>0</v>
      </c>
      <c r="BT111" s="27">
        <f>ClassScore!N111</f>
        <v>0</v>
      </c>
      <c r="BU111" s="27">
        <f>ClassScore!O111</f>
        <v>0</v>
      </c>
      <c r="BV111" s="27">
        <f>ClassScore!P111</f>
        <v>0</v>
      </c>
      <c r="BW111" s="27">
        <f>ClassScore!Q111</f>
        <v>0</v>
      </c>
      <c r="BX111" s="27">
        <f>ClassScore!R111</f>
        <v>0</v>
      </c>
      <c r="BY111" s="27">
        <f>ClassScore!S111</f>
        <v>0</v>
      </c>
      <c r="BZ111" s="27">
        <f>ClassScore!T111</f>
        <v>0</v>
      </c>
      <c r="CA111" s="27">
        <f>ClassScore!U111</f>
        <v>0</v>
      </c>
      <c r="CB111" s="27">
        <f>ClassScore!V111</f>
        <v>0</v>
      </c>
      <c r="CD111" s="27">
        <f>Examscore!M111</f>
        <v>0</v>
      </c>
      <c r="CE111" s="27">
        <f>Examscore!N111</f>
        <v>0</v>
      </c>
      <c r="CF111" s="27">
        <f>Examscore!O111</f>
        <v>0</v>
      </c>
      <c r="CG111" s="27">
        <f>Examscore!P111</f>
        <v>0</v>
      </c>
      <c r="CH111" s="27">
        <f>Examscore!Q111</f>
        <v>0</v>
      </c>
      <c r="CI111" s="27">
        <f>Examscore!R111</f>
        <v>0</v>
      </c>
      <c r="CJ111" s="27">
        <f>Examscore!S111</f>
        <v>0</v>
      </c>
      <c r="CK111" s="27">
        <f>Examscore!T111</f>
        <v>0</v>
      </c>
      <c r="CL111" s="27">
        <f>Examscore!U111</f>
        <v>0</v>
      </c>
      <c r="CM111" s="27">
        <f>Examscore!V111</f>
        <v>0</v>
      </c>
    </row>
    <row r="112" spans="1:91" ht="15.75" x14ac:dyDescent="0.25">
      <c r="A112" s="5">
        <f>Student!A112</f>
        <v>0</v>
      </c>
      <c r="B112" s="21">
        <f>Student!B112</f>
        <v>0</v>
      </c>
      <c r="C112" s="28">
        <f>ClassScore!M112+Examscore!M112</f>
        <v>0</v>
      </c>
      <c r="D112" s="28">
        <f>ClassScore!N112+Examscore!N112</f>
        <v>0</v>
      </c>
      <c r="E112" s="28">
        <f>ClassScore!O112+Examscore!O112</f>
        <v>0</v>
      </c>
      <c r="F112" s="28">
        <f>ClassScore!P112+Examscore!P112</f>
        <v>0</v>
      </c>
      <c r="G112" s="28">
        <f>ClassScore!Q112+Examscore!Q112</f>
        <v>0</v>
      </c>
      <c r="H112" s="28">
        <f>ClassScore!R112+Examscore!R112</f>
        <v>0</v>
      </c>
      <c r="I112" s="28">
        <f>ClassScore!S112+Examscore!S112</f>
        <v>0</v>
      </c>
      <c r="J112" s="28">
        <f>ClassScore!T112+Examscore!T112</f>
        <v>0</v>
      </c>
      <c r="K112" s="28">
        <f>ClassScore!U112+Examscore!U112</f>
        <v>0</v>
      </c>
      <c r="L112" s="28">
        <f>ClassScore!V112+Examscore!V112</f>
        <v>0</v>
      </c>
      <c r="M112" s="5" t="str">
        <f t="shared" si="57"/>
        <v>--</v>
      </c>
      <c r="N112" s="5" t="str">
        <f t="shared" si="58"/>
        <v>--</v>
      </c>
      <c r="O112" s="5" t="str">
        <f t="shared" si="59"/>
        <v>--</v>
      </c>
      <c r="P112" s="5" t="str">
        <f t="shared" si="60"/>
        <v>--</v>
      </c>
      <c r="Q112" s="5" t="str">
        <f t="shared" si="61"/>
        <v>--</v>
      </c>
      <c r="R112" s="5" t="str">
        <f t="shared" si="62"/>
        <v>--</v>
      </c>
      <c r="S112" s="5" t="str">
        <f t="shared" si="63"/>
        <v>--</v>
      </c>
      <c r="T112" s="5" t="str">
        <f t="shared" si="64"/>
        <v>--</v>
      </c>
      <c r="U112" s="5" t="str">
        <f t="shared" si="65"/>
        <v>--</v>
      </c>
      <c r="V112" s="5" t="str">
        <f t="shared" si="66"/>
        <v>--</v>
      </c>
      <c r="W112" s="5" t="str">
        <f t="shared" si="67"/>
        <v>--</v>
      </c>
      <c r="X112" s="5" t="str">
        <f t="shared" si="68"/>
        <v>--</v>
      </c>
      <c r="Y112" s="5" t="str">
        <f t="shared" si="69"/>
        <v>--</v>
      </c>
      <c r="Z112" s="5" t="str">
        <f t="shared" si="70"/>
        <v>--</v>
      </c>
      <c r="AA112" s="5" t="str">
        <f t="shared" si="71"/>
        <v>--</v>
      </c>
      <c r="AB112" s="5" t="str">
        <f t="shared" si="72"/>
        <v>--</v>
      </c>
      <c r="AC112" s="5" t="str">
        <f t="shared" si="73"/>
        <v>--</v>
      </c>
      <c r="AD112" s="5" t="str">
        <f t="shared" si="74"/>
        <v>--</v>
      </c>
      <c r="AE112" s="5" t="str">
        <f t="shared" si="75"/>
        <v>--</v>
      </c>
      <c r="AF112" s="5" t="str">
        <f t="shared" si="76"/>
        <v>--</v>
      </c>
      <c r="AG112" s="34">
        <f>SUM(C112,D112,F112,G112)+LARGE((E112,H112,I112,J112,K112,L112),1)+LARGE((E112,H112,I112,J112,K112,L112),2)</f>
        <v>0</v>
      </c>
      <c r="AH112" s="5" t="e">
        <f>SUM(W112,X112,Z112,AA112)+SMALL((Y112,AB112,AC112,AD112,AE112,AF112),1)+SMALL((Y112,AB112,AC112,AD112,AE112,AF112),2)</f>
        <v>#NUM!</v>
      </c>
      <c r="AI112" s="15">
        <f>'Teacher''s Remarks'!M113</f>
        <v>0</v>
      </c>
      <c r="AJ112" s="15">
        <f>'Teacher''s Remarks'!N113</f>
        <v>0</v>
      </c>
      <c r="AK112" s="15">
        <f>'Teacher''s Remarks'!O113</f>
        <v>0</v>
      </c>
      <c r="AL112" s="15">
        <f>'Teacher''s Remarks'!P113</f>
        <v>0</v>
      </c>
      <c r="AM112" s="13">
        <f t="shared" si="56"/>
        <v>0</v>
      </c>
      <c r="AN112" s="14">
        <f>Attendance!B112</f>
        <v>0</v>
      </c>
      <c r="AO112" s="15"/>
      <c r="AP112" s="15"/>
      <c r="AQ112" s="22">
        <f t="shared" ca="1" si="77"/>
        <v>45764</v>
      </c>
      <c r="AR112" s="15"/>
      <c r="AT112" s="12">
        <f t="shared" si="90"/>
        <v>56</v>
      </c>
      <c r="AU112" t="str">
        <f>IF(OR(VALUE(RIGHT(AT112,5))={11,12,13}),"th",IF(OR(VALUE(RIGHT(AT112))={1,2,3}),CHOOSE(RIGHT(AT112),"st","nd","rd"),"th"))</f>
        <v>th</v>
      </c>
      <c r="AV112">
        <f t="shared" si="91"/>
        <v>56</v>
      </c>
      <c r="AW112" t="str">
        <f>IF(OR(VALUE(RIGHT(AV112,5))={11,12,13}),"th",IF(OR(VALUE(RIGHT(AV112))={1,2,3}),CHOOSE(RIGHT(AV112),"st","nd","rd"),"th"))</f>
        <v>th</v>
      </c>
      <c r="AX112">
        <f t="shared" si="92"/>
        <v>56</v>
      </c>
      <c r="AY112" t="str">
        <f>IF(OR(VALUE(RIGHT(AX112,5))={11,12,13}),"th",IF(OR(VALUE(RIGHT(AX112))={1,2,3}),CHOOSE(RIGHT(AX112),"st","nd","rd"),"th"))</f>
        <v>th</v>
      </c>
      <c r="AZ112">
        <f t="shared" si="93"/>
        <v>56</v>
      </c>
      <c r="BA112" t="str">
        <f>IF(OR(VALUE(RIGHT(AZ112,5))={11,12,13}),"th",IF(OR(VALUE(RIGHT(AZ112))={1,2,3}),CHOOSE(RIGHT(AZ112),"st","nd","rd"),"th"))</f>
        <v>th</v>
      </c>
      <c r="BB112">
        <f t="shared" si="94"/>
        <v>56</v>
      </c>
      <c r="BC112" t="str">
        <f>IF(OR(VALUE(RIGHT(BB112,5))={11,12,13}),"th",IF(OR(VALUE(RIGHT(BB112))={1,2,3}),CHOOSE(RIGHT(BB112),"st","nd","rd"),"th"))</f>
        <v>th</v>
      </c>
      <c r="BD112">
        <f t="shared" si="95"/>
        <v>56</v>
      </c>
      <c r="BE112" t="str">
        <f>IF(OR(VALUE(RIGHT(BD112,5))={11,12,13}),"th",IF(OR(VALUE(RIGHT(BD112))={1,2,3}),CHOOSE(RIGHT(BD112),"st","nd","rd"),"th"))</f>
        <v>th</v>
      </c>
      <c r="BF112">
        <f t="shared" si="96"/>
        <v>56</v>
      </c>
      <c r="BG112" t="str">
        <f>IF(OR(VALUE(RIGHT(BF112,5))={11,12,13}),"th",IF(OR(VALUE(RIGHT(BF112))={1,2,3}),CHOOSE(RIGHT(BF112),"st","nd","rd"),"th"))</f>
        <v>th</v>
      </c>
      <c r="BH112">
        <f t="shared" si="97"/>
        <v>56</v>
      </c>
      <c r="BI112" t="str">
        <f>IF(OR(VALUE(RIGHT(BH112,5))={11,12,13}),"th",IF(OR(VALUE(RIGHT(BH112))={1,2,3}),CHOOSE(RIGHT(BH112),"st","nd","rd"),"th"))</f>
        <v>th</v>
      </c>
      <c r="BJ112">
        <f t="shared" si="98"/>
        <v>56</v>
      </c>
      <c r="BK112" t="str" cm="1">
        <f t="array" ref="BK112">IF(OR(VALUE(RIGHT(BJ112,5))={11,12,13}),"th",IF(OR(VALUE(RIGHT(BJ112))={1,2,3}),CHOOSE(RIGHT(BJ112),"st","nd","rd"),"th"))</f>
        <v>th</v>
      </c>
      <c r="BL112">
        <f t="shared" si="99"/>
        <v>57</v>
      </c>
      <c r="BM112" t="str">
        <f>IF(OR(VALUE(RIGHT(BL112,5))={11,12,13}),"th",IF(OR(VALUE(RIGHT(BL112))={1,2,3}),CHOOSE(RIGHT(BL112),"st","nd","rd"),"th"))</f>
        <v>th</v>
      </c>
      <c r="BO112" s="30">
        <f t="shared" si="88"/>
        <v>0</v>
      </c>
      <c r="BP112">
        <f t="shared" si="100"/>
        <v>57</v>
      </c>
      <c r="BQ112" t="str">
        <f>IF(OR(VALUE(RIGHT(BP112,5))={11,12,13}),"th",IF(OR(VALUE(RIGHT(BP112))={1,2,3}),CHOOSE(RIGHT(BP112),"st","nd","rd"),"th"))</f>
        <v>th</v>
      </c>
      <c r="BS112" s="27">
        <f>ClassScore!M112</f>
        <v>0</v>
      </c>
      <c r="BT112" s="27">
        <f>ClassScore!N112</f>
        <v>0</v>
      </c>
      <c r="BU112" s="27">
        <f>ClassScore!O112</f>
        <v>0</v>
      </c>
      <c r="BV112" s="27">
        <f>ClassScore!P112</f>
        <v>0</v>
      </c>
      <c r="BW112" s="27">
        <f>ClassScore!Q112</f>
        <v>0</v>
      </c>
      <c r="BX112" s="27">
        <f>ClassScore!R112</f>
        <v>0</v>
      </c>
      <c r="BY112" s="27">
        <f>ClassScore!S112</f>
        <v>0</v>
      </c>
      <c r="BZ112" s="27">
        <f>ClassScore!T112</f>
        <v>0</v>
      </c>
      <c r="CA112" s="27">
        <f>ClassScore!U112</f>
        <v>0</v>
      </c>
      <c r="CB112" s="27">
        <f>ClassScore!V112</f>
        <v>0</v>
      </c>
      <c r="CD112" s="27">
        <f>Examscore!M112</f>
        <v>0</v>
      </c>
      <c r="CE112" s="27">
        <f>Examscore!N112</f>
        <v>0</v>
      </c>
      <c r="CF112" s="27">
        <f>Examscore!O112</f>
        <v>0</v>
      </c>
      <c r="CG112" s="27">
        <f>Examscore!P112</f>
        <v>0</v>
      </c>
      <c r="CH112" s="27">
        <f>Examscore!Q112</f>
        <v>0</v>
      </c>
      <c r="CI112" s="27">
        <f>Examscore!R112</f>
        <v>0</v>
      </c>
      <c r="CJ112" s="27">
        <f>Examscore!S112</f>
        <v>0</v>
      </c>
      <c r="CK112" s="27">
        <f>Examscore!T112</f>
        <v>0</v>
      </c>
      <c r="CL112" s="27">
        <f>Examscore!U112</f>
        <v>0</v>
      </c>
      <c r="CM112" s="27">
        <f>Examscore!V112</f>
        <v>0</v>
      </c>
    </row>
    <row r="113" spans="1:91" ht="15.75" x14ac:dyDescent="0.25">
      <c r="A113" s="5">
        <f>Student!A113</f>
        <v>0</v>
      </c>
      <c r="B113" s="21">
        <f>Student!B113</f>
        <v>0</v>
      </c>
      <c r="C113" s="28">
        <f>ClassScore!M113+Examscore!M113</f>
        <v>0</v>
      </c>
      <c r="D113" s="28">
        <f>ClassScore!N113+Examscore!N113</f>
        <v>0</v>
      </c>
      <c r="E113" s="28">
        <f>ClassScore!O113+Examscore!O113</f>
        <v>0</v>
      </c>
      <c r="F113" s="28">
        <f>ClassScore!P113+Examscore!P113</f>
        <v>0</v>
      </c>
      <c r="G113" s="28">
        <f>ClassScore!Q113+Examscore!Q113</f>
        <v>0</v>
      </c>
      <c r="H113" s="28">
        <f>ClassScore!R113+Examscore!R113</f>
        <v>0</v>
      </c>
      <c r="I113" s="28">
        <f>ClassScore!S113+Examscore!S113</f>
        <v>0</v>
      </c>
      <c r="J113" s="28">
        <f>ClassScore!T113+Examscore!T113</f>
        <v>0</v>
      </c>
      <c r="K113" s="28">
        <f>ClassScore!U113+Examscore!U113</f>
        <v>0</v>
      </c>
      <c r="L113" s="28">
        <f>ClassScore!V113+Examscore!V113</f>
        <v>0</v>
      </c>
      <c r="M113" s="5" t="str">
        <f t="shared" si="57"/>
        <v>--</v>
      </c>
      <c r="N113" s="5" t="str">
        <f t="shared" si="58"/>
        <v>--</v>
      </c>
      <c r="O113" s="5" t="str">
        <f t="shared" si="59"/>
        <v>--</v>
      </c>
      <c r="P113" s="5" t="str">
        <f t="shared" si="60"/>
        <v>--</v>
      </c>
      <c r="Q113" s="5" t="str">
        <f t="shared" si="61"/>
        <v>--</v>
      </c>
      <c r="R113" s="5" t="str">
        <f t="shared" si="62"/>
        <v>--</v>
      </c>
      <c r="S113" s="5" t="str">
        <f t="shared" si="63"/>
        <v>--</v>
      </c>
      <c r="T113" s="5" t="str">
        <f t="shared" si="64"/>
        <v>--</v>
      </c>
      <c r="U113" s="5" t="str">
        <f t="shared" si="65"/>
        <v>--</v>
      </c>
      <c r="V113" s="5" t="str">
        <f t="shared" si="66"/>
        <v>--</v>
      </c>
      <c r="W113" s="5" t="str">
        <f t="shared" si="67"/>
        <v>--</v>
      </c>
      <c r="X113" s="5" t="str">
        <f t="shared" si="68"/>
        <v>--</v>
      </c>
      <c r="Y113" s="5" t="str">
        <f t="shared" si="69"/>
        <v>--</v>
      </c>
      <c r="Z113" s="5" t="str">
        <f t="shared" si="70"/>
        <v>--</v>
      </c>
      <c r="AA113" s="5" t="str">
        <f t="shared" si="71"/>
        <v>--</v>
      </c>
      <c r="AB113" s="5" t="str">
        <f t="shared" si="72"/>
        <v>--</v>
      </c>
      <c r="AC113" s="5" t="str">
        <f t="shared" si="73"/>
        <v>--</v>
      </c>
      <c r="AD113" s="5" t="str">
        <f t="shared" si="74"/>
        <v>--</v>
      </c>
      <c r="AE113" s="5" t="str">
        <f t="shared" si="75"/>
        <v>--</v>
      </c>
      <c r="AF113" s="5" t="str">
        <f t="shared" si="76"/>
        <v>--</v>
      </c>
      <c r="AG113" s="34">
        <f>SUM(C113,D113,F113,G113)+LARGE((E113,H113,I113,J113,K113,L113),1)+LARGE((E113,H113,I113,J113,K113,L113),2)</f>
        <v>0</v>
      </c>
      <c r="AH113" s="5" t="e">
        <f>SUM(W113,X113,Z113,AA113)+SMALL((Y113,AB113,AC113,AD113,AE113,AF113),1)+SMALL((Y113,AB113,AC113,AD113,AE113,AF113),2)</f>
        <v>#NUM!</v>
      </c>
      <c r="AI113" s="15">
        <f>'Teacher''s Remarks'!M114</f>
        <v>0</v>
      </c>
      <c r="AJ113" s="15">
        <f>'Teacher''s Remarks'!N114</f>
        <v>0</v>
      </c>
      <c r="AK113" s="15">
        <f>'Teacher''s Remarks'!O114</f>
        <v>0</v>
      </c>
      <c r="AL113" s="15">
        <f>'Teacher''s Remarks'!P114</f>
        <v>0</v>
      </c>
      <c r="AM113" s="13">
        <f t="shared" si="56"/>
        <v>0</v>
      </c>
      <c r="AN113" s="14">
        <f>Attendance!B113</f>
        <v>0</v>
      </c>
      <c r="AO113" s="15"/>
      <c r="AP113" s="15"/>
      <c r="AQ113" s="22">
        <f t="shared" ca="1" si="77"/>
        <v>45764</v>
      </c>
      <c r="AR113" s="15"/>
      <c r="AT113" s="12">
        <f t="shared" si="90"/>
        <v>56</v>
      </c>
      <c r="AU113" t="str">
        <f>IF(OR(VALUE(RIGHT(AT113,5))={11,12,13}),"th",IF(OR(VALUE(RIGHT(AT113))={1,2,3}),CHOOSE(RIGHT(AT113),"st","nd","rd"),"th"))</f>
        <v>th</v>
      </c>
      <c r="AV113">
        <f t="shared" si="91"/>
        <v>56</v>
      </c>
      <c r="AW113" t="str">
        <f>IF(OR(VALUE(RIGHT(AV113,5))={11,12,13}),"th",IF(OR(VALUE(RIGHT(AV113))={1,2,3}),CHOOSE(RIGHT(AV113),"st","nd","rd"),"th"))</f>
        <v>th</v>
      </c>
      <c r="AX113">
        <f t="shared" si="92"/>
        <v>56</v>
      </c>
      <c r="AY113" t="str">
        <f>IF(OR(VALUE(RIGHT(AX113,5))={11,12,13}),"th",IF(OR(VALUE(RIGHT(AX113))={1,2,3}),CHOOSE(RIGHT(AX113),"st","nd","rd"),"th"))</f>
        <v>th</v>
      </c>
      <c r="AZ113">
        <f t="shared" si="93"/>
        <v>56</v>
      </c>
      <c r="BA113" t="str">
        <f>IF(OR(VALUE(RIGHT(AZ113,5))={11,12,13}),"th",IF(OR(VALUE(RIGHT(AZ113))={1,2,3}),CHOOSE(RIGHT(AZ113),"st","nd","rd"),"th"))</f>
        <v>th</v>
      </c>
      <c r="BB113">
        <f t="shared" si="94"/>
        <v>56</v>
      </c>
      <c r="BC113" t="str">
        <f>IF(OR(VALUE(RIGHT(BB113,5))={11,12,13}),"th",IF(OR(VALUE(RIGHT(BB113))={1,2,3}),CHOOSE(RIGHT(BB113),"st","nd","rd"),"th"))</f>
        <v>th</v>
      </c>
      <c r="BD113">
        <f t="shared" si="95"/>
        <v>56</v>
      </c>
      <c r="BE113" t="str">
        <f>IF(OR(VALUE(RIGHT(BD113,5))={11,12,13}),"th",IF(OR(VALUE(RIGHT(BD113))={1,2,3}),CHOOSE(RIGHT(BD113),"st","nd","rd"),"th"))</f>
        <v>th</v>
      </c>
      <c r="BF113">
        <f t="shared" si="96"/>
        <v>56</v>
      </c>
      <c r="BG113" t="str">
        <f>IF(OR(VALUE(RIGHT(BF113,5))={11,12,13}),"th",IF(OR(VALUE(RIGHT(BF113))={1,2,3}),CHOOSE(RIGHT(BF113),"st","nd","rd"),"th"))</f>
        <v>th</v>
      </c>
      <c r="BH113">
        <f t="shared" si="97"/>
        <v>56</v>
      </c>
      <c r="BI113" t="str">
        <f>IF(OR(VALUE(RIGHT(BH113,5))={11,12,13}),"th",IF(OR(VALUE(RIGHT(BH113))={1,2,3}),CHOOSE(RIGHT(BH113),"st","nd","rd"),"th"))</f>
        <v>th</v>
      </c>
      <c r="BJ113">
        <f t="shared" si="98"/>
        <v>56</v>
      </c>
      <c r="BK113" t="str" cm="1">
        <f t="array" ref="BK113">IF(OR(VALUE(RIGHT(BJ113,5))={11,12,13}),"th",IF(OR(VALUE(RIGHT(BJ113))={1,2,3}),CHOOSE(RIGHT(BJ113),"st","nd","rd"),"th"))</f>
        <v>th</v>
      </c>
      <c r="BL113">
        <f t="shared" si="99"/>
        <v>57</v>
      </c>
      <c r="BM113" t="str">
        <f>IF(OR(VALUE(RIGHT(BL113,5))={11,12,13}),"th",IF(OR(VALUE(RIGHT(BL113))={1,2,3}),CHOOSE(RIGHT(BL113),"st","nd","rd"),"th"))</f>
        <v>th</v>
      </c>
      <c r="BO113" s="30">
        <f t="shared" si="88"/>
        <v>0</v>
      </c>
      <c r="BP113">
        <f t="shared" si="100"/>
        <v>57</v>
      </c>
      <c r="BQ113" t="str">
        <f>IF(OR(VALUE(RIGHT(BP113,5))={11,12,13}),"th",IF(OR(VALUE(RIGHT(BP113))={1,2,3}),CHOOSE(RIGHT(BP113),"st","nd","rd"),"th"))</f>
        <v>th</v>
      </c>
      <c r="BS113" s="27">
        <f>ClassScore!M113</f>
        <v>0</v>
      </c>
      <c r="BT113" s="27">
        <f>ClassScore!N113</f>
        <v>0</v>
      </c>
      <c r="BU113" s="27">
        <f>ClassScore!O113</f>
        <v>0</v>
      </c>
      <c r="BV113" s="27">
        <f>ClassScore!P113</f>
        <v>0</v>
      </c>
      <c r="BW113" s="27">
        <f>ClassScore!Q113</f>
        <v>0</v>
      </c>
      <c r="BX113" s="27">
        <f>ClassScore!R113</f>
        <v>0</v>
      </c>
      <c r="BY113" s="27">
        <f>ClassScore!S113</f>
        <v>0</v>
      </c>
      <c r="BZ113" s="27">
        <f>ClassScore!T113</f>
        <v>0</v>
      </c>
      <c r="CA113" s="27">
        <f>ClassScore!U113</f>
        <v>0</v>
      </c>
      <c r="CB113" s="27">
        <f>ClassScore!V113</f>
        <v>0</v>
      </c>
      <c r="CD113" s="27">
        <f>Examscore!M113</f>
        <v>0</v>
      </c>
      <c r="CE113" s="27">
        <f>Examscore!N113</f>
        <v>0</v>
      </c>
      <c r="CF113" s="27">
        <f>Examscore!O113</f>
        <v>0</v>
      </c>
      <c r="CG113" s="27">
        <f>Examscore!P113</f>
        <v>0</v>
      </c>
      <c r="CH113" s="27">
        <f>Examscore!Q113</f>
        <v>0</v>
      </c>
      <c r="CI113" s="27">
        <f>Examscore!R113</f>
        <v>0</v>
      </c>
      <c r="CJ113" s="27">
        <f>Examscore!S113</f>
        <v>0</v>
      </c>
      <c r="CK113" s="27">
        <f>Examscore!T113</f>
        <v>0</v>
      </c>
      <c r="CL113" s="27">
        <f>Examscore!U113</f>
        <v>0</v>
      </c>
      <c r="CM113" s="27">
        <f>Examscore!V113</f>
        <v>0</v>
      </c>
    </row>
    <row r="114" spans="1:91" ht="15.75" x14ac:dyDescent="0.25">
      <c r="A114" s="5">
        <f>Student!A114</f>
        <v>0</v>
      </c>
      <c r="B114" s="21">
        <f>Student!B114</f>
        <v>0</v>
      </c>
      <c r="C114" s="28">
        <f>ClassScore!M114+Examscore!M114</f>
        <v>0</v>
      </c>
      <c r="D114" s="28">
        <f>ClassScore!N114+Examscore!N114</f>
        <v>0</v>
      </c>
      <c r="E114" s="28">
        <f>ClassScore!O114+Examscore!O114</f>
        <v>0</v>
      </c>
      <c r="F114" s="28">
        <f>ClassScore!P114+Examscore!P114</f>
        <v>0</v>
      </c>
      <c r="G114" s="28">
        <f>ClassScore!Q114+Examscore!Q114</f>
        <v>0</v>
      </c>
      <c r="H114" s="28">
        <f>ClassScore!R114+Examscore!R114</f>
        <v>0</v>
      </c>
      <c r="I114" s="28">
        <f>ClassScore!S114+Examscore!S114</f>
        <v>0</v>
      </c>
      <c r="J114" s="28">
        <f>ClassScore!T114+Examscore!T114</f>
        <v>0</v>
      </c>
      <c r="K114" s="28">
        <f>ClassScore!U114+Examscore!U114</f>
        <v>0</v>
      </c>
      <c r="L114" s="28">
        <f>ClassScore!V114+Examscore!V114</f>
        <v>0</v>
      </c>
      <c r="M114" s="5" t="str">
        <f t="shared" si="57"/>
        <v>--</v>
      </c>
      <c r="N114" s="5" t="str">
        <f t="shared" si="58"/>
        <v>--</v>
      </c>
      <c r="O114" s="5" t="str">
        <f t="shared" si="59"/>
        <v>--</v>
      </c>
      <c r="P114" s="5" t="str">
        <f t="shared" si="60"/>
        <v>--</v>
      </c>
      <c r="Q114" s="5" t="str">
        <f t="shared" si="61"/>
        <v>--</v>
      </c>
      <c r="R114" s="5" t="str">
        <f t="shared" si="62"/>
        <v>--</v>
      </c>
      <c r="S114" s="5" t="str">
        <f t="shared" si="63"/>
        <v>--</v>
      </c>
      <c r="T114" s="5" t="str">
        <f t="shared" si="64"/>
        <v>--</v>
      </c>
      <c r="U114" s="5" t="str">
        <f t="shared" si="65"/>
        <v>--</v>
      </c>
      <c r="V114" s="5" t="str">
        <f t="shared" si="66"/>
        <v>--</v>
      </c>
      <c r="W114" s="5" t="str">
        <f t="shared" si="67"/>
        <v>--</v>
      </c>
      <c r="X114" s="5" t="str">
        <f t="shared" si="68"/>
        <v>--</v>
      </c>
      <c r="Y114" s="5" t="str">
        <f t="shared" si="69"/>
        <v>--</v>
      </c>
      <c r="Z114" s="5" t="str">
        <f t="shared" si="70"/>
        <v>--</v>
      </c>
      <c r="AA114" s="5" t="str">
        <f t="shared" si="71"/>
        <v>--</v>
      </c>
      <c r="AB114" s="5" t="str">
        <f t="shared" si="72"/>
        <v>--</v>
      </c>
      <c r="AC114" s="5" t="str">
        <f t="shared" si="73"/>
        <v>--</v>
      </c>
      <c r="AD114" s="5" t="str">
        <f t="shared" si="74"/>
        <v>--</v>
      </c>
      <c r="AE114" s="5" t="str">
        <f t="shared" si="75"/>
        <v>--</v>
      </c>
      <c r="AF114" s="5" t="str">
        <f t="shared" si="76"/>
        <v>--</v>
      </c>
      <c r="AG114" s="34">
        <f>SUM(C114,D114,F114,G114)+LARGE((E114,H114,I114,J114,K114,L114),1)+LARGE((E114,H114,I114,J114,K114,L114),2)</f>
        <v>0</v>
      </c>
      <c r="AH114" s="5" t="e">
        <f>SUM(W114,X114,Z114,AA114)+SMALL((Y114,AB114,AC114,AD114,AE114,AF114),1)+SMALL((Y114,AB114,AC114,AD114,AE114,AF114),2)</f>
        <v>#NUM!</v>
      </c>
      <c r="AI114" s="15">
        <f>'Teacher''s Remarks'!M115</f>
        <v>0</v>
      </c>
      <c r="AJ114" s="15">
        <f>'Teacher''s Remarks'!N115</f>
        <v>0</v>
      </c>
      <c r="AK114" s="15">
        <f>'Teacher''s Remarks'!O115</f>
        <v>0</v>
      </c>
      <c r="AL114" s="15">
        <f>'Teacher''s Remarks'!P115</f>
        <v>0</v>
      </c>
      <c r="AM114" s="13">
        <f t="shared" si="56"/>
        <v>0</v>
      </c>
      <c r="AN114" s="14">
        <f>Attendance!B114</f>
        <v>0</v>
      </c>
      <c r="AO114" s="15"/>
      <c r="AP114" s="15"/>
      <c r="AQ114" s="22">
        <f t="shared" ca="1" si="77"/>
        <v>45764</v>
      </c>
      <c r="AR114" s="15"/>
      <c r="AT114" s="12">
        <f t="shared" si="90"/>
        <v>56</v>
      </c>
      <c r="AU114" t="str">
        <f>IF(OR(VALUE(RIGHT(AT114,5))={11,12,13}),"th",IF(OR(VALUE(RIGHT(AT114))={1,2,3}),CHOOSE(RIGHT(AT114),"st","nd","rd"),"th"))</f>
        <v>th</v>
      </c>
      <c r="AV114">
        <f t="shared" si="91"/>
        <v>56</v>
      </c>
      <c r="AW114" t="str">
        <f>IF(OR(VALUE(RIGHT(AV114,5))={11,12,13}),"th",IF(OR(VALUE(RIGHT(AV114))={1,2,3}),CHOOSE(RIGHT(AV114),"st","nd","rd"),"th"))</f>
        <v>th</v>
      </c>
      <c r="AX114">
        <f t="shared" si="92"/>
        <v>56</v>
      </c>
      <c r="AY114" t="str">
        <f>IF(OR(VALUE(RIGHT(AX114,5))={11,12,13}),"th",IF(OR(VALUE(RIGHT(AX114))={1,2,3}),CHOOSE(RIGHT(AX114),"st","nd","rd"),"th"))</f>
        <v>th</v>
      </c>
      <c r="AZ114">
        <f t="shared" si="93"/>
        <v>56</v>
      </c>
      <c r="BA114" t="str">
        <f>IF(OR(VALUE(RIGHT(AZ114,5))={11,12,13}),"th",IF(OR(VALUE(RIGHT(AZ114))={1,2,3}),CHOOSE(RIGHT(AZ114),"st","nd","rd"),"th"))</f>
        <v>th</v>
      </c>
      <c r="BB114">
        <f t="shared" si="94"/>
        <v>56</v>
      </c>
      <c r="BC114" t="str">
        <f>IF(OR(VALUE(RIGHT(BB114,5))={11,12,13}),"th",IF(OR(VALUE(RIGHT(BB114))={1,2,3}),CHOOSE(RIGHT(BB114),"st","nd","rd"),"th"))</f>
        <v>th</v>
      </c>
      <c r="BD114">
        <f t="shared" si="95"/>
        <v>56</v>
      </c>
      <c r="BE114" t="str">
        <f>IF(OR(VALUE(RIGHT(BD114,5))={11,12,13}),"th",IF(OR(VALUE(RIGHT(BD114))={1,2,3}),CHOOSE(RIGHT(BD114),"st","nd","rd"),"th"))</f>
        <v>th</v>
      </c>
      <c r="BF114">
        <f t="shared" si="96"/>
        <v>56</v>
      </c>
      <c r="BG114" t="str">
        <f>IF(OR(VALUE(RIGHT(BF114,5))={11,12,13}),"th",IF(OR(VALUE(RIGHT(BF114))={1,2,3}),CHOOSE(RIGHT(BF114),"st","nd","rd"),"th"))</f>
        <v>th</v>
      </c>
      <c r="BH114">
        <f t="shared" si="97"/>
        <v>56</v>
      </c>
      <c r="BI114" t="str">
        <f>IF(OR(VALUE(RIGHT(BH114,5))={11,12,13}),"th",IF(OR(VALUE(RIGHT(BH114))={1,2,3}),CHOOSE(RIGHT(BH114),"st","nd","rd"),"th"))</f>
        <v>th</v>
      </c>
      <c r="BJ114">
        <f t="shared" si="98"/>
        <v>56</v>
      </c>
      <c r="BK114" t="str" cm="1">
        <f t="array" ref="BK114">IF(OR(VALUE(RIGHT(BJ114,5))={11,12,13}),"th",IF(OR(VALUE(RIGHT(BJ114))={1,2,3}),CHOOSE(RIGHT(BJ114),"st","nd","rd"),"th"))</f>
        <v>th</v>
      </c>
      <c r="BL114">
        <f t="shared" si="99"/>
        <v>57</v>
      </c>
      <c r="BM114" t="str">
        <f>IF(OR(VALUE(RIGHT(BL114,5))={11,12,13}),"th",IF(OR(VALUE(RIGHT(BL114))={1,2,3}),CHOOSE(RIGHT(BL114),"st","nd","rd"),"th"))</f>
        <v>th</v>
      </c>
      <c r="BO114" s="30">
        <f t="shared" si="88"/>
        <v>0</v>
      </c>
      <c r="BP114">
        <f t="shared" si="100"/>
        <v>57</v>
      </c>
      <c r="BQ114" t="str">
        <f>IF(OR(VALUE(RIGHT(BP114,5))={11,12,13}),"th",IF(OR(VALUE(RIGHT(BP114))={1,2,3}),CHOOSE(RIGHT(BP114),"st","nd","rd"),"th"))</f>
        <v>th</v>
      </c>
      <c r="BS114" s="27">
        <f>ClassScore!M114</f>
        <v>0</v>
      </c>
      <c r="BT114" s="27">
        <f>ClassScore!N114</f>
        <v>0</v>
      </c>
      <c r="BU114" s="27">
        <f>ClassScore!O114</f>
        <v>0</v>
      </c>
      <c r="BV114" s="27">
        <f>ClassScore!P114</f>
        <v>0</v>
      </c>
      <c r="BW114" s="27">
        <f>ClassScore!Q114</f>
        <v>0</v>
      </c>
      <c r="BX114" s="27">
        <f>ClassScore!R114</f>
        <v>0</v>
      </c>
      <c r="BY114" s="27">
        <f>ClassScore!S114</f>
        <v>0</v>
      </c>
      <c r="BZ114" s="27">
        <f>ClassScore!T114</f>
        <v>0</v>
      </c>
      <c r="CA114" s="27">
        <f>ClassScore!U114</f>
        <v>0</v>
      </c>
      <c r="CB114" s="27">
        <f>ClassScore!V114</f>
        <v>0</v>
      </c>
      <c r="CD114" s="27">
        <f>Examscore!M114</f>
        <v>0</v>
      </c>
      <c r="CE114" s="27">
        <f>Examscore!N114</f>
        <v>0</v>
      </c>
      <c r="CF114" s="27">
        <f>Examscore!O114</f>
        <v>0</v>
      </c>
      <c r="CG114" s="27">
        <f>Examscore!P114</f>
        <v>0</v>
      </c>
      <c r="CH114" s="27">
        <f>Examscore!Q114</f>
        <v>0</v>
      </c>
      <c r="CI114" s="27">
        <f>Examscore!R114</f>
        <v>0</v>
      </c>
      <c r="CJ114" s="27">
        <f>Examscore!S114</f>
        <v>0</v>
      </c>
      <c r="CK114" s="27">
        <f>Examscore!T114</f>
        <v>0</v>
      </c>
      <c r="CL114" s="27">
        <f>Examscore!U114</f>
        <v>0</v>
      </c>
      <c r="CM114" s="27">
        <f>Examscore!V114</f>
        <v>0</v>
      </c>
    </row>
    <row r="115" spans="1:91" ht="15.75" x14ac:dyDescent="0.25">
      <c r="A115" s="5">
        <f>Student!A115</f>
        <v>0</v>
      </c>
      <c r="B115" s="21">
        <f>Student!B115</f>
        <v>0</v>
      </c>
      <c r="C115" s="28">
        <f>ClassScore!M115+Examscore!M115</f>
        <v>0</v>
      </c>
      <c r="D115" s="28">
        <f>ClassScore!N115+Examscore!N115</f>
        <v>0</v>
      </c>
      <c r="E115" s="28">
        <f>ClassScore!O115+Examscore!O115</f>
        <v>0</v>
      </c>
      <c r="F115" s="28">
        <f>ClassScore!P115+Examscore!P115</f>
        <v>0</v>
      </c>
      <c r="G115" s="28">
        <f>ClassScore!Q115+Examscore!Q115</f>
        <v>0</v>
      </c>
      <c r="H115" s="28">
        <f>ClassScore!R115+Examscore!R115</f>
        <v>0</v>
      </c>
      <c r="I115" s="28">
        <f>ClassScore!S115+Examscore!S115</f>
        <v>0</v>
      </c>
      <c r="J115" s="28">
        <f>ClassScore!T115+Examscore!T115</f>
        <v>0</v>
      </c>
      <c r="K115" s="28">
        <f>ClassScore!U115+Examscore!U115</f>
        <v>0</v>
      </c>
      <c r="L115" s="28">
        <f>ClassScore!V115+Examscore!V115</f>
        <v>0</v>
      </c>
      <c r="M115" s="5" t="str">
        <f t="shared" si="57"/>
        <v>--</v>
      </c>
      <c r="N115" s="5" t="str">
        <f t="shared" si="58"/>
        <v>--</v>
      </c>
      <c r="O115" s="5" t="str">
        <f t="shared" si="59"/>
        <v>--</v>
      </c>
      <c r="P115" s="5" t="str">
        <f t="shared" si="60"/>
        <v>--</v>
      </c>
      <c r="Q115" s="5" t="str">
        <f t="shared" si="61"/>
        <v>--</v>
      </c>
      <c r="R115" s="5" t="str">
        <f t="shared" si="62"/>
        <v>--</v>
      </c>
      <c r="S115" s="5" t="str">
        <f t="shared" si="63"/>
        <v>--</v>
      </c>
      <c r="T115" s="5" t="str">
        <f t="shared" si="64"/>
        <v>--</v>
      </c>
      <c r="U115" s="5" t="str">
        <f t="shared" si="65"/>
        <v>--</v>
      </c>
      <c r="V115" s="5" t="str">
        <f t="shared" si="66"/>
        <v>--</v>
      </c>
      <c r="W115" s="5" t="str">
        <f t="shared" si="67"/>
        <v>--</v>
      </c>
      <c r="X115" s="5" t="str">
        <f t="shared" si="68"/>
        <v>--</v>
      </c>
      <c r="Y115" s="5" t="str">
        <f t="shared" si="69"/>
        <v>--</v>
      </c>
      <c r="Z115" s="5" t="str">
        <f t="shared" si="70"/>
        <v>--</v>
      </c>
      <c r="AA115" s="5" t="str">
        <f t="shared" si="71"/>
        <v>--</v>
      </c>
      <c r="AB115" s="5" t="str">
        <f t="shared" si="72"/>
        <v>--</v>
      </c>
      <c r="AC115" s="5" t="str">
        <f t="shared" si="73"/>
        <v>--</v>
      </c>
      <c r="AD115" s="5" t="str">
        <f t="shared" si="74"/>
        <v>--</v>
      </c>
      <c r="AE115" s="5" t="str">
        <f t="shared" si="75"/>
        <v>--</v>
      </c>
      <c r="AF115" s="5" t="str">
        <f t="shared" si="76"/>
        <v>--</v>
      </c>
      <c r="AG115" s="34">
        <f>SUM(C115,D115,F115,G115)+LARGE((E115,H115,I115,J115,K115,L115),1)+LARGE((E115,H115,I115,J115,K115,L115),2)</f>
        <v>0</v>
      </c>
      <c r="AH115" s="5" t="e">
        <f>SUM(W115,X115,Z115,AA115)+SMALL((Y115,AB115,AC115,AD115,AE115,AF115),1)+SMALL((Y115,AB115,AC115,AD115,AE115,AF115),2)</f>
        <v>#NUM!</v>
      </c>
      <c r="AI115" s="15">
        <f>'Teacher''s Remarks'!M116</f>
        <v>0</v>
      </c>
      <c r="AJ115" s="15">
        <f>'Teacher''s Remarks'!N116</f>
        <v>0</v>
      </c>
      <c r="AK115" s="15">
        <f>'Teacher''s Remarks'!O116</f>
        <v>0</v>
      </c>
      <c r="AL115" s="15">
        <f>'Teacher''s Remarks'!P116</f>
        <v>0</v>
      </c>
      <c r="AM115" s="13">
        <f t="shared" si="56"/>
        <v>0</v>
      </c>
      <c r="AN115" s="14">
        <f>Attendance!B115</f>
        <v>0</v>
      </c>
      <c r="AO115" s="15"/>
      <c r="AP115" s="15"/>
      <c r="AQ115" s="22">
        <f t="shared" ca="1" si="77"/>
        <v>45764</v>
      </c>
      <c r="AR115" s="15"/>
      <c r="AT115" s="12">
        <f t="shared" si="90"/>
        <v>56</v>
      </c>
      <c r="AU115" t="str">
        <f>IF(OR(VALUE(RIGHT(AT115,5))={11,12,13}),"th",IF(OR(VALUE(RIGHT(AT115))={1,2,3}),CHOOSE(RIGHT(AT115),"st","nd","rd"),"th"))</f>
        <v>th</v>
      </c>
      <c r="AV115">
        <f t="shared" si="91"/>
        <v>56</v>
      </c>
      <c r="AW115" t="str">
        <f>IF(OR(VALUE(RIGHT(AV115,5))={11,12,13}),"th",IF(OR(VALUE(RIGHT(AV115))={1,2,3}),CHOOSE(RIGHT(AV115),"st","nd","rd"),"th"))</f>
        <v>th</v>
      </c>
      <c r="AX115">
        <f t="shared" si="92"/>
        <v>56</v>
      </c>
      <c r="AY115" t="str">
        <f>IF(OR(VALUE(RIGHT(AX115,5))={11,12,13}),"th",IF(OR(VALUE(RIGHT(AX115))={1,2,3}),CHOOSE(RIGHT(AX115),"st","nd","rd"),"th"))</f>
        <v>th</v>
      </c>
      <c r="AZ115">
        <f t="shared" si="93"/>
        <v>56</v>
      </c>
      <c r="BA115" t="str">
        <f>IF(OR(VALUE(RIGHT(AZ115,5))={11,12,13}),"th",IF(OR(VALUE(RIGHT(AZ115))={1,2,3}),CHOOSE(RIGHT(AZ115),"st","nd","rd"),"th"))</f>
        <v>th</v>
      </c>
      <c r="BB115">
        <f t="shared" si="94"/>
        <v>56</v>
      </c>
      <c r="BC115" t="str">
        <f>IF(OR(VALUE(RIGHT(BB115,5))={11,12,13}),"th",IF(OR(VALUE(RIGHT(BB115))={1,2,3}),CHOOSE(RIGHT(BB115),"st","nd","rd"),"th"))</f>
        <v>th</v>
      </c>
      <c r="BD115">
        <f t="shared" si="95"/>
        <v>56</v>
      </c>
      <c r="BE115" t="str">
        <f>IF(OR(VALUE(RIGHT(BD115,5))={11,12,13}),"th",IF(OR(VALUE(RIGHT(BD115))={1,2,3}),CHOOSE(RIGHT(BD115),"st","nd","rd"),"th"))</f>
        <v>th</v>
      </c>
      <c r="BF115">
        <f t="shared" si="96"/>
        <v>56</v>
      </c>
      <c r="BG115" t="str">
        <f>IF(OR(VALUE(RIGHT(BF115,5))={11,12,13}),"th",IF(OR(VALUE(RIGHT(BF115))={1,2,3}),CHOOSE(RIGHT(BF115),"st","nd","rd"),"th"))</f>
        <v>th</v>
      </c>
      <c r="BH115">
        <f t="shared" si="97"/>
        <v>56</v>
      </c>
      <c r="BI115" t="str">
        <f>IF(OR(VALUE(RIGHT(BH115,5))={11,12,13}),"th",IF(OR(VALUE(RIGHT(BH115))={1,2,3}),CHOOSE(RIGHT(BH115),"st","nd","rd"),"th"))</f>
        <v>th</v>
      </c>
      <c r="BJ115">
        <f t="shared" si="98"/>
        <v>56</v>
      </c>
      <c r="BK115" t="str" cm="1">
        <f t="array" ref="BK115">IF(OR(VALUE(RIGHT(BJ115,5))={11,12,13}),"th",IF(OR(VALUE(RIGHT(BJ115))={1,2,3}),CHOOSE(RIGHT(BJ115),"st","nd","rd"),"th"))</f>
        <v>th</v>
      </c>
      <c r="BL115">
        <f t="shared" si="99"/>
        <v>57</v>
      </c>
      <c r="BM115" t="str">
        <f>IF(OR(VALUE(RIGHT(BL115,5))={11,12,13}),"th",IF(OR(VALUE(RIGHT(BL115))={1,2,3}),CHOOSE(RIGHT(BL115),"st","nd","rd"),"th"))</f>
        <v>th</v>
      </c>
      <c r="BO115" s="30">
        <f t="shared" si="88"/>
        <v>0</v>
      </c>
      <c r="BP115">
        <f t="shared" si="100"/>
        <v>57</v>
      </c>
      <c r="BQ115" t="str">
        <f>IF(OR(VALUE(RIGHT(BP115,5))={11,12,13}),"th",IF(OR(VALUE(RIGHT(BP115))={1,2,3}),CHOOSE(RIGHT(BP115),"st","nd","rd"),"th"))</f>
        <v>th</v>
      </c>
      <c r="BS115" s="27">
        <f>ClassScore!M115</f>
        <v>0</v>
      </c>
      <c r="BT115" s="27">
        <f>ClassScore!N115</f>
        <v>0</v>
      </c>
      <c r="BU115" s="27">
        <f>ClassScore!O115</f>
        <v>0</v>
      </c>
      <c r="BV115" s="27">
        <f>ClassScore!P115</f>
        <v>0</v>
      </c>
      <c r="BW115" s="27">
        <f>ClassScore!Q115</f>
        <v>0</v>
      </c>
      <c r="BX115" s="27">
        <f>ClassScore!R115</f>
        <v>0</v>
      </c>
      <c r="BY115" s="27">
        <f>ClassScore!S115</f>
        <v>0</v>
      </c>
      <c r="BZ115" s="27">
        <f>ClassScore!T115</f>
        <v>0</v>
      </c>
      <c r="CA115" s="27">
        <f>ClassScore!U115</f>
        <v>0</v>
      </c>
      <c r="CB115" s="27">
        <f>ClassScore!V115</f>
        <v>0</v>
      </c>
      <c r="CD115" s="27">
        <f>Examscore!M115</f>
        <v>0</v>
      </c>
      <c r="CE115" s="27">
        <f>Examscore!N115</f>
        <v>0</v>
      </c>
      <c r="CF115" s="27">
        <f>Examscore!O115</f>
        <v>0</v>
      </c>
      <c r="CG115" s="27">
        <f>Examscore!P115</f>
        <v>0</v>
      </c>
      <c r="CH115" s="27">
        <f>Examscore!Q115</f>
        <v>0</v>
      </c>
      <c r="CI115" s="27">
        <f>Examscore!R115</f>
        <v>0</v>
      </c>
      <c r="CJ115" s="27">
        <f>Examscore!S115</f>
        <v>0</v>
      </c>
      <c r="CK115" s="27">
        <f>Examscore!T115</f>
        <v>0</v>
      </c>
      <c r="CL115" s="27">
        <f>Examscore!U115</f>
        <v>0</v>
      </c>
      <c r="CM115" s="27">
        <f>Examscore!V115</f>
        <v>0</v>
      </c>
    </row>
    <row r="116" spans="1:91" ht="15.75" x14ac:dyDescent="0.25">
      <c r="A116" s="5">
        <f>Student!A116</f>
        <v>0</v>
      </c>
      <c r="B116" s="21">
        <f>Student!B116</f>
        <v>0</v>
      </c>
      <c r="C116" s="28">
        <f>ClassScore!M116+Examscore!M116</f>
        <v>0</v>
      </c>
      <c r="D116" s="28">
        <f>ClassScore!N116+Examscore!N116</f>
        <v>0</v>
      </c>
      <c r="E116" s="28">
        <f>ClassScore!O116+Examscore!O116</f>
        <v>0</v>
      </c>
      <c r="F116" s="28">
        <f>ClassScore!P116+Examscore!P116</f>
        <v>0</v>
      </c>
      <c r="G116" s="28">
        <f>ClassScore!Q116+Examscore!Q116</f>
        <v>0</v>
      </c>
      <c r="H116" s="28">
        <f>ClassScore!R116+Examscore!R116</f>
        <v>0</v>
      </c>
      <c r="I116" s="28">
        <f>ClassScore!S116+Examscore!S116</f>
        <v>0</v>
      </c>
      <c r="J116" s="28">
        <f>ClassScore!T116+Examscore!T116</f>
        <v>0</v>
      </c>
      <c r="K116" s="28">
        <f>ClassScore!U116+Examscore!U116</f>
        <v>0</v>
      </c>
      <c r="L116" s="28">
        <f>ClassScore!V116+Examscore!V116</f>
        <v>0</v>
      </c>
      <c r="M116" s="5" t="str">
        <f t="shared" si="57"/>
        <v>--</v>
      </c>
      <c r="N116" s="5" t="str">
        <f t="shared" si="58"/>
        <v>--</v>
      </c>
      <c r="O116" s="5" t="str">
        <f t="shared" si="59"/>
        <v>--</v>
      </c>
      <c r="P116" s="5" t="str">
        <f t="shared" si="60"/>
        <v>--</v>
      </c>
      <c r="Q116" s="5" t="str">
        <f t="shared" si="61"/>
        <v>--</v>
      </c>
      <c r="R116" s="5" t="str">
        <f t="shared" si="62"/>
        <v>--</v>
      </c>
      <c r="S116" s="5" t="str">
        <f t="shared" si="63"/>
        <v>--</v>
      </c>
      <c r="T116" s="5" t="str">
        <f t="shared" si="64"/>
        <v>--</v>
      </c>
      <c r="U116" s="5" t="str">
        <f t="shared" si="65"/>
        <v>--</v>
      </c>
      <c r="V116" s="5" t="str">
        <f t="shared" si="66"/>
        <v>--</v>
      </c>
      <c r="W116" s="5" t="str">
        <f t="shared" si="67"/>
        <v>--</v>
      </c>
      <c r="X116" s="5" t="str">
        <f t="shared" si="68"/>
        <v>--</v>
      </c>
      <c r="Y116" s="5" t="str">
        <f t="shared" si="69"/>
        <v>--</v>
      </c>
      <c r="Z116" s="5" t="str">
        <f t="shared" si="70"/>
        <v>--</v>
      </c>
      <c r="AA116" s="5" t="str">
        <f t="shared" si="71"/>
        <v>--</v>
      </c>
      <c r="AB116" s="5" t="str">
        <f t="shared" si="72"/>
        <v>--</v>
      </c>
      <c r="AC116" s="5" t="str">
        <f t="shared" si="73"/>
        <v>--</v>
      </c>
      <c r="AD116" s="5" t="str">
        <f t="shared" si="74"/>
        <v>--</v>
      </c>
      <c r="AE116" s="5" t="str">
        <f t="shared" si="75"/>
        <v>--</v>
      </c>
      <c r="AF116" s="5" t="str">
        <f t="shared" si="76"/>
        <v>--</v>
      </c>
      <c r="AG116" s="34">
        <f>SUM(C116,D116,F116,G116)+LARGE((E116,H116,I116,J116,K116,L116),1)+LARGE((E116,H116,I116,J116,K116,L116),2)</f>
        <v>0</v>
      </c>
      <c r="AH116" s="5" t="e">
        <f>SUM(W116,X116,Z116,AA116)+SMALL((Y116,AB116,AC116,AD116,AE116,AF116),1)+SMALL((Y116,AB116,AC116,AD116,AE116,AF116),2)</f>
        <v>#NUM!</v>
      </c>
      <c r="AI116" s="15">
        <f>'Teacher''s Remarks'!M117</f>
        <v>0</v>
      </c>
      <c r="AJ116" s="15">
        <f>'Teacher''s Remarks'!N117</f>
        <v>0</v>
      </c>
      <c r="AK116" s="15">
        <f>'Teacher''s Remarks'!O117</f>
        <v>0</v>
      </c>
      <c r="AL116" s="15">
        <f>'Teacher''s Remarks'!P117</f>
        <v>0</v>
      </c>
      <c r="AM116" s="13">
        <f t="shared" si="56"/>
        <v>0</v>
      </c>
      <c r="AN116" s="14">
        <f>Attendance!B116</f>
        <v>0</v>
      </c>
      <c r="AO116" s="15"/>
      <c r="AP116" s="15"/>
      <c r="AQ116" s="22">
        <f t="shared" ca="1" si="77"/>
        <v>45764</v>
      </c>
      <c r="AR116" s="15"/>
      <c r="AT116" s="12">
        <f t="shared" si="90"/>
        <v>56</v>
      </c>
      <c r="AU116" t="str">
        <f>IF(OR(VALUE(RIGHT(AT116,5))={11,12,13}),"th",IF(OR(VALUE(RIGHT(AT116))={1,2,3}),CHOOSE(RIGHT(AT116),"st","nd","rd"),"th"))</f>
        <v>th</v>
      </c>
      <c r="AV116">
        <f t="shared" si="91"/>
        <v>56</v>
      </c>
      <c r="AW116" t="str">
        <f>IF(OR(VALUE(RIGHT(AV116,5))={11,12,13}),"th",IF(OR(VALUE(RIGHT(AV116))={1,2,3}),CHOOSE(RIGHT(AV116),"st","nd","rd"),"th"))</f>
        <v>th</v>
      </c>
      <c r="AX116">
        <f t="shared" si="92"/>
        <v>56</v>
      </c>
      <c r="AY116" t="str">
        <f>IF(OR(VALUE(RIGHT(AX116,5))={11,12,13}),"th",IF(OR(VALUE(RIGHT(AX116))={1,2,3}),CHOOSE(RIGHT(AX116),"st","nd","rd"),"th"))</f>
        <v>th</v>
      </c>
      <c r="AZ116">
        <f t="shared" si="93"/>
        <v>56</v>
      </c>
      <c r="BA116" t="str">
        <f>IF(OR(VALUE(RIGHT(AZ116,5))={11,12,13}),"th",IF(OR(VALUE(RIGHT(AZ116))={1,2,3}),CHOOSE(RIGHT(AZ116),"st","nd","rd"),"th"))</f>
        <v>th</v>
      </c>
      <c r="BB116">
        <f t="shared" si="94"/>
        <v>56</v>
      </c>
      <c r="BC116" t="str">
        <f>IF(OR(VALUE(RIGHT(BB116,5))={11,12,13}),"th",IF(OR(VALUE(RIGHT(BB116))={1,2,3}),CHOOSE(RIGHT(BB116),"st","nd","rd"),"th"))</f>
        <v>th</v>
      </c>
      <c r="BD116">
        <f t="shared" si="95"/>
        <v>56</v>
      </c>
      <c r="BE116" t="str">
        <f>IF(OR(VALUE(RIGHT(BD116,5))={11,12,13}),"th",IF(OR(VALUE(RIGHT(BD116))={1,2,3}),CHOOSE(RIGHT(BD116),"st","nd","rd"),"th"))</f>
        <v>th</v>
      </c>
      <c r="BF116">
        <f t="shared" si="96"/>
        <v>56</v>
      </c>
      <c r="BG116" t="str">
        <f>IF(OR(VALUE(RIGHT(BF116,5))={11,12,13}),"th",IF(OR(VALUE(RIGHT(BF116))={1,2,3}),CHOOSE(RIGHT(BF116),"st","nd","rd"),"th"))</f>
        <v>th</v>
      </c>
      <c r="BH116">
        <f t="shared" si="97"/>
        <v>56</v>
      </c>
      <c r="BI116" t="str">
        <f>IF(OR(VALUE(RIGHT(BH116,5))={11,12,13}),"th",IF(OR(VALUE(RIGHT(BH116))={1,2,3}),CHOOSE(RIGHT(BH116),"st","nd","rd"),"th"))</f>
        <v>th</v>
      </c>
      <c r="BJ116">
        <f t="shared" si="98"/>
        <v>56</v>
      </c>
      <c r="BK116" t="str" cm="1">
        <f t="array" ref="BK116">IF(OR(VALUE(RIGHT(BJ116,5))={11,12,13}),"th",IF(OR(VALUE(RIGHT(BJ116))={1,2,3}),CHOOSE(RIGHT(BJ116),"st","nd","rd"),"th"))</f>
        <v>th</v>
      </c>
      <c r="BL116">
        <f t="shared" si="99"/>
        <v>57</v>
      </c>
      <c r="BM116" t="str">
        <f>IF(OR(VALUE(RIGHT(BL116,5))={11,12,13}),"th",IF(OR(VALUE(RIGHT(BL116))={1,2,3}),CHOOSE(RIGHT(BL116),"st","nd","rd"),"th"))</f>
        <v>th</v>
      </c>
      <c r="BO116" s="30">
        <f t="shared" si="88"/>
        <v>0</v>
      </c>
      <c r="BP116">
        <f t="shared" si="100"/>
        <v>57</v>
      </c>
      <c r="BQ116" t="str">
        <f>IF(OR(VALUE(RIGHT(BP116,5))={11,12,13}),"th",IF(OR(VALUE(RIGHT(BP116))={1,2,3}),CHOOSE(RIGHT(BP116),"st","nd","rd"),"th"))</f>
        <v>th</v>
      </c>
      <c r="BS116" s="27">
        <f>ClassScore!M116</f>
        <v>0</v>
      </c>
      <c r="BT116" s="27">
        <f>ClassScore!N116</f>
        <v>0</v>
      </c>
      <c r="BU116" s="27">
        <f>ClassScore!O116</f>
        <v>0</v>
      </c>
      <c r="BV116" s="27">
        <f>ClassScore!P116</f>
        <v>0</v>
      </c>
      <c r="BW116" s="27">
        <f>ClassScore!Q116</f>
        <v>0</v>
      </c>
      <c r="BX116" s="27">
        <f>ClassScore!R116</f>
        <v>0</v>
      </c>
      <c r="BY116" s="27">
        <f>ClassScore!S116</f>
        <v>0</v>
      </c>
      <c r="BZ116" s="27">
        <f>ClassScore!T116</f>
        <v>0</v>
      </c>
      <c r="CA116" s="27">
        <f>ClassScore!U116</f>
        <v>0</v>
      </c>
      <c r="CB116" s="27">
        <f>ClassScore!V116</f>
        <v>0</v>
      </c>
      <c r="CD116" s="27">
        <f>Examscore!M116</f>
        <v>0</v>
      </c>
      <c r="CE116" s="27">
        <f>Examscore!N116</f>
        <v>0</v>
      </c>
      <c r="CF116" s="27">
        <f>Examscore!O116</f>
        <v>0</v>
      </c>
      <c r="CG116" s="27">
        <f>Examscore!P116</f>
        <v>0</v>
      </c>
      <c r="CH116" s="27">
        <f>Examscore!Q116</f>
        <v>0</v>
      </c>
      <c r="CI116" s="27">
        <f>Examscore!R116</f>
        <v>0</v>
      </c>
      <c r="CJ116" s="27">
        <f>Examscore!S116</f>
        <v>0</v>
      </c>
      <c r="CK116" s="27">
        <f>Examscore!T116</f>
        <v>0</v>
      </c>
      <c r="CL116" s="27">
        <f>Examscore!U116</f>
        <v>0</v>
      </c>
      <c r="CM116" s="27">
        <f>Examscore!V116</f>
        <v>0</v>
      </c>
    </row>
    <row r="117" spans="1:91" ht="15.75" x14ac:dyDescent="0.25">
      <c r="A117" s="5">
        <f>Student!A117</f>
        <v>0</v>
      </c>
      <c r="B117" s="21">
        <f>Student!B117</f>
        <v>0</v>
      </c>
      <c r="C117" s="28">
        <f>ClassScore!M117+Examscore!M117</f>
        <v>0</v>
      </c>
      <c r="D117" s="28">
        <f>ClassScore!N117+Examscore!N117</f>
        <v>0</v>
      </c>
      <c r="E117" s="28">
        <f>ClassScore!O117+Examscore!O117</f>
        <v>0</v>
      </c>
      <c r="F117" s="28">
        <f>ClassScore!P117+Examscore!P117</f>
        <v>0</v>
      </c>
      <c r="G117" s="28">
        <f>ClassScore!Q117+Examscore!Q117</f>
        <v>0</v>
      </c>
      <c r="H117" s="28">
        <f>ClassScore!R117+Examscore!R117</f>
        <v>0</v>
      </c>
      <c r="I117" s="28">
        <f>ClassScore!S117+Examscore!S117</f>
        <v>0</v>
      </c>
      <c r="J117" s="28">
        <f>ClassScore!T117+Examscore!T117</f>
        <v>0</v>
      </c>
      <c r="K117" s="28">
        <f>ClassScore!U117+Examscore!U117</f>
        <v>0</v>
      </c>
      <c r="L117" s="28">
        <f>ClassScore!V117+Examscore!V117</f>
        <v>0</v>
      </c>
      <c r="M117" s="5" t="str">
        <f t="shared" si="57"/>
        <v>--</v>
      </c>
      <c r="N117" s="5" t="str">
        <f t="shared" si="58"/>
        <v>--</v>
      </c>
      <c r="O117" s="5" t="str">
        <f t="shared" si="59"/>
        <v>--</v>
      </c>
      <c r="P117" s="5" t="str">
        <f t="shared" si="60"/>
        <v>--</v>
      </c>
      <c r="Q117" s="5" t="str">
        <f t="shared" si="61"/>
        <v>--</v>
      </c>
      <c r="R117" s="5" t="str">
        <f t="shared" si="62"/>
        <v>--</v>
      </c>
      <c r="S117" s="5" t="str">
        <f t="shared" si="63"/>
        <v>--</v>
      </c>
      <c r="T117" s="5" t="str">
        <f t="shared" si="64"/>
        <v>--</v>
      </c>
      <c r="U117" s="5" t="str">
        <f t="shared" si="65"/>
        <v>--</v>
      </c>
      <c r="V117" s="5" t="str">
        <f t="shared" si="66"/>
        <v>--</v>
      </c>
      <c r="W117" s="5" t="str">
        <f t="shared" si="67"/>
        <v>--</v>
      </c>
      <c r="X117" s="5" t="str">
        <f t="shared" si="68"/>
        <v>--</v>
      </c>
      <c r="Y117" s="5" t="str">
        <f t="shared" si="69"/>
        <v>--</v>
      </c>
      <c r="Z117" s="5" t="str">
        <f t="shared" si="70"/>
        <v>--</v>
      </c>
      <c r="AA117" s="5" t="str">
        <f t="shared" si="71"/>
        <v>--</v>
      </c>
      <c r="AB117" s="5" t="str">
        <f t="shared" si="72"/>
        <v>--</v>
      </c>
      <c r="AC117" s="5" t="str">
        <f t="shared" si="73"/>
        <v>--</v>
      </c>
      <c r="AD117" s="5" t="str">
        <f t="shared" si="74"/>
        <v>--</v>
      </c>
      <c r="AE117" s="5" t="str">
        <f t="shared" si="75"/>
        <v>--</v>
      </c>
      <c r="AF117" s="5" t="str">
        <f t="shared" si="76"/>
        <v>--</v>
      </c>
      <c r="AG117" s="34">
        <f>SUM(C117,D117,F117,G117)+LARGE((E117,H117,I117,J117,K117,L117),1)+LARGE((E117,H117,I117,J117,K117,L117),2)</f>
        <v>0</v>
      </c>
      <c r="AH117" s="5" t="e">
        <f>SUM(W117,X117,Z117,AA117)+SMALL((Y117,AB117,AC117,AD117,AE117,AF117),1)+SMALL((Y117,AB117,AC117,AD117,AE117,AF117),2)</f>
        <v>#NUM!</v>
      </c>
      <c r="AI117" s="15">
        <f>'Teacher''s Remarks'!M118</f>
        <v>0</v>
      </c>
      <c r="AJ117" s="15">
        <f>'Teacher''s Remarks'!N118</f>
        <v>0</v>
      </c>
      <c r="AK117" s="15">
        <f>'Teacher''s Remarks'!O118</f>
        <v>0</v>
      </c>
      <c r="AL117" s="15">
        <f>'Teacher''s Remarks'!P118</f>
        <v>0</v>
      </c>
      <c r="AM117" s="13">
        <f t="shared" si="56"/>
        <v>0</v>
      </c>
      <c r="AN117" s="14">
        <f>Attendance!B117</f>
        <v>0</v>
      </c>
      <c r="AO117" s="15"/>
      <c r="AP117" s="15"/>
      <c r="AQ117" s="22">
        <f t="shared" ca="1" si="77"/>
        <v>45764</v>
      </c>
      <c r="AR117" s="15"/>
      <c r="AT117" s="12">
        <f t="shared" si="90"/>
        <v>56</v>
      </c>
      <c r="AU117" t="str">
        <f>IF(OR(VALUE(RIGHT(AT117,5))={11,12,13}),"th",IF(OR(VALUE(RIGHT(AT117))={1,2,3}),CHOOSE(RIGHT(AT117),"st","nd","rd"),"th"))</f>
        <v>th</v>
      </c>
      <c r="AV117">
        <f t="shared" si="91"/>
        <v>56</v>
      </c>
      <c r="AW117" t="str">
        <f>IF(OR(VALUE(RIGHT(AV117,5))={11,12,13}),"th",IF(OR(VALUE(RIGHT(AV117))={1,2,3}),CHOOSE(RIGHT(AV117),"st","nd","rd"),"th"))</f>
        <v>th</v>
      </c>
      <c r="AX117">
        <f t="shared" si="92"/>
        <v>56</v>
      </c>
      <c r="AY117" t="str">
        <f>IF(OR(VALUE(RIGHT(AX117,5))={11,12,13}),"th",IF(OR(VALUE(RIGHT(AX117))={1,2,3}),CHOOSE(RIGHT(AX117),"st","nd","rd"),"th"))</f>
        <v>th</v>
      </c>
      <c r="AZ117">
        <f t="shared" si="93"/>
        <v>56</v>
      </c>
      <c r="BA117" t="str">
        <f>IF(OR(VALUE(RIGHT(AZ117,5))={11,12,13}),"th",IF(OR(VALUE(RIGHT(AZ117))={1,2,3}),CHOOSE(RIGHT(AZ117),"st","nd","rd"),"th"))</f>
        <v>th</v>
      </c>
      <c r="BB117">
        <f t="shared" si="94"/>
        <v>56</v>
      </c>
      <c r="BC117" t="str">
        <f>IF(OR(VALUE(RIGHT(BB117,5))={11,12,13}),"th",IF(OR(VALUE(RIGHT(BB117))={1,2,3}),CHOOSE(RIGHT(BB117),"st","nd","rd"),"th"))</f>
        <v>th</v>
      </c>
      <c r="BD117">
        <f t="shared" si="95"/>
        <v>56</v>
      </c>
      <c r="BE117" t="str">
        <f>IF(OR(VALUE(RIGHT(BD117,5))={11,12,13}),"th",IF(OR(VALUE(RIGHT(BD117))={1,2,3}),CHOOSE(RIGHT(BD117),"st","nd","rd"),"th"))</f>
        <v>th</v>
      </c>
      <c r="BF117">
        <f t="shared" si="96"/>
        <v>56</v>
      </c>
      <c r="BG117" t="str">
        <f>IF(OR(VALUE(RIGHT(BF117,5))={11,12,13}),"th",IF(OR(VALUE(RIGHT(BF117))={1,2,3}),CHOOSE(RIGHT(BF117),"st","nd","rd"),"th"))</f>
        <v>th</v>
      </c>
      <c r="BH117">
        <f t="shared" si="97"/>
        <v>56</v>
      </c>
      <c r="BI117" t="str">
        <f>IF(OR(VALUE(RIGHT(BH117,5))={11,12,13}),"th",IF(OR(VALUE(RIGHT(BH117))={1,2,3}),CHOOSE(RIGHT(BH117),"st","nd","rd"),"th"))</f>
        <v>th</v>
      </c>
      <c r="BJ117">
        <f t="shared" si="98"/>
        <v>56</v>
      </c>
      <c r="BK117" t="str" cm="1">
        <f t="array" ref="BK117">IF(OR(VALUE(RIGHT(BJ117,5))={11,12,13}),"th",IF(OR(VALUE(RIGHT(BJ117))={1,2,3}),CHOOSE(RIGHT(BJ117),"st","nd","rd"),"th"))</f>
        <v>th</v>
      </c>
      <c r="BL117">
        <f t="shared" si="99"/>
        <v>57</v>
      </c>
      <c r="BM117" t="str">
        <f>IF(OR(VALUE(RIGHT(BL117,5))={11,12,13}),"th",IF(OR(VALUE(RIGHT(BL117))={1,2,3}),CHOOSE(RIGHT(BL117),"st","nd","rd"),"th"))</f>
        <v>th</v>
      </c>
      <c r="BO117" s="30">
        <f t="shared" si="88"/>
        <v>0</v>
      </c>
      <c r="BP117">
        <f t="shared" si="100"/>
        <v>57</v>
      </c>
      <c r="BQ117" t="str">
        <f>IF(OR(VALUE(RIGHT(BP117,5))={11,12,13}),"th",IF(OR(VALUE(RIGHT(BP117))={1,2,3}),CHOOSE(RIGHT(BP117),"st","nd","rd"),"th"))</f>
        <v>th</v>
      </c>
      <c r="BS117" s="27">
        <f>ClassScore!M117</f>
        <v>0</v>
      </c>
      <c r="BT117" s="27">
        <f>ClassScore!N117</f>
        <v>0</v>
      </c>
      <c r="BU117" s="27">
        <f>ClassScore!O117</f>
        <v>0</v>
      </c>
      <c r="BV117" s="27">
        <f>ClassScore!P117</f>
        <v>0</v>
      </c>
      <c r="BW117" s="27">
        <f>ClassScore!Q117</f>
        <v>0</v>
      </c>
      <c r="BX117" s="27">
        <f>ClassScore!R117</f>
        <v>0</v>
      </c>
      <c r="BY117" s="27">
        <f>ClassScore!S117</f>
        <v>0</v>
      </c>
      <c r="BZ117" s="27">
        <f>ClassScore!T117</f>
        <v>0</v>
      </c>
      <c r="CA117" s="27">
        <f>ClassScore!U117</f>
        <v>0</v>
      </c>
      <c r="CB117" s="27">
        <f>ClassScore!V117</f>
        <v>0</v>
      </c>
      <c r="CD117" s="27">
        <f>Examscore!M117</f>
        <v>0</v>
      </c>
      <c r="CE117" s="27">
        <f>Examscore!N117</f>
        <v>0</v>
      </c>
      <c r="CF117" s="27">
        <f>Examscore!O117</f>
        <v>0</v>
      </c>
      <c r="CG117" s="27">
        <f>Examscore!P117</f>
        <v>0</v>
      </c>
      <c r="CH117" s="27">
        <f>Examscore!Q117</f>
        <v>0</v>
      </c>
      <c r="CI117" s="27">
        <f>Examscore!R117</f>
        <v>0</v>
      </c>
      <c r="CJ117" s="27">
        <f>Examscore!S117</f>
        <v>0</v>
      </c>
      <c r="CK117" s="27">
        <f>Examscore!T117</f>
        <v>0</v>
      </c>
      <c r="CL117" s="27">
        <f>Examscore!U117</f>
        <v>0</v>
      </c>
      <c r="CM117" s="27">
        <f>Examscore!V117</f>
        <v>0</v>
      </c>
    </row>
    <row r="121" spans="1:91" ht="15.75" x14ac:dyDescent="0.25">
      <c r="B121" s="23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12"/>
    </row>
    <row r="122" spans="1:91" ht="15.75" x14ac:dyDescent="0.25">
      <c r="B122" s="21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14"/>
      <c r="N122" s="14"/>
    </row>
    <row r="123" spans="1:91" ht="15.75" x14ac:dyDescent="0.25">
      <c r="B123" s="21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14"/>
      <c r="N123" s="14"/>
    </row>
    <row r="124" spans="1:91" ht="15.75" x14ac:dyDescent="0.25">
      <c r="B124" s="21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14"/>
      <c r="N124" s="14"/>
    </row>
    <row r="125" spans="1:91" ht="15.75" x14ac:dyDescent="0.25">
      <c r="B125" s="21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14"/>
      <c r="N125" s="14"/>
    </row>
    <row r="126" spans="1:91" ht="15.75" x14ac:dyDescent="0.25">
      <c r="B126" s="21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14"/>
      <c r="N126" s="14"/>
    </row>
    <row r="127" spans="1:91" ht="15.75" x14ac:dyDescent="0.25">
      <c r="B127" s="21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14"/>
      <c r="N127" s="14"/>
    </row>
    <row r="128" spans="1:91" ht="15.75" x14ac:dyDescent="0.25">
      <c r="B128" s="21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14"/>
      <c r="N128" s="14"/>
    </row>
    <row r="129" spans="2:14" ht="15.75" x14ac:dyDescent="0.25">
      <c r="B129" s="21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14"/>
      <c r="N129" s="14"/>
    </row>
    <row r="130" spans="2:14" ht="15.75" x14ac:dyDescent="0.25">
      <c r="B130" s="21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14"/>
      <c r="N130" s="14"/>
    </row>
    <row r="131" spans="2:14" ht="15.75" x14ac:dyDescent="0.25">
      <c r="B131" s="21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14"/>
      <c r="N131" s="14"/>
    </row>
    <row r="132" spans="2:14" ht="15.75" x14ac:dyDescent="0.25">
      <c r="B132" s="21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14"/>
      <c r="N132" s="14"/>
    </row>
    <row r="133" spans="2:14" ht="15.75" x14ac:dyDescent="0.25">
      <c r="B133" s="21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14"/>
      <c r="N133" s="14"/>
    </row>
    <row r="134" spans="2:14" ht="15.75" x14ac:dyDescent="0.25">
      <c r="B134" s="21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14"/>
      <c r="N134" s="14"/>
    </row>
    <row r="135" spans="2:14" ht="15.75" x14ac:dyDescent="0.25">
      <c r="B135" s="21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14"/>
      <c r="N135" s="14"/>
    </row>
    <row r="136" spans="2:14" ht="15.75" x14ac:dyDescent="0.25">
      <c r="B136" s="21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14"/>
      <c r="N136" s="14"/>
    </row>
    <row r="137" spans="2:14" ht="15.75" x14ac:dyDescent="0.25">
      <c r="B137" s="21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14"/>
      <c r="N137" s="14"/>
    </row>
    <row r="138" spans="2:14" ht="15.75" x14ac:dyDescent="0.25">
      <c r="B138" s="21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14"/>
      <c r="N138" s="14"/>
    </row>
    <row r="139" spans="2:14" ht="15.75" x14ac:dyDescent="0.25">
      <c r="B139" s="21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14"/>
      <c r="N139" s="14"/>
    </row>
    <row r="140" spans="2:14" ht="15.75" x14ac:dyDescent="0.25">
      <c r="B140" s="21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14"/>
      <c r="N140" s="14"/>
    </row>
    <row r="141" spans="2:14" ht="15.75" x14ac:dyDescent="0.25">
      <c r="B141" s="21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14"/>
      <c r="N141" s="14"/>
    </row>
    <row r="142" spans="2:14" ht="15.75" x14ac:dyDescent="0.25">
      <c r="B142" s="21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14"/>
      <c r="N142" s="14"/>
    </row>
    <row r="143" spans="2:14" ht="15.75" x14ac:dyDescent="0.25">
      <c r="B143" s="21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14"/>
      <c r="N143" s="14"/>
    </row>
    <row r="144" spans="2:14" ht="15.75" x14ac:dyDescent="0.25">
      <c r="B144" s="21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14"/>
      <c r="N144" s="14"/>
    </row>
    <row r="145" spans="2:14" ht="15.75" x14ac:dyDescent="0.25">
      <c r="B145" s="21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14"/>
      <c r="N145" s="14"/>
    </row>
    <row r="146" spans="2:14" ht="15.75" x14ac:dyDescent="0.25">
      <c r="B146" s="21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14"/>
      <c r="N146" s="14"/>
    </row>
    <row r="147" spans="2:14" ht="15.75" x14ac:dyDescent="0.25">
      <c r="B147" s="21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14"/>
      <c r="N147" s="14"/>
    </row>
    <row r="148" spans="2:14" ht="15.75" x14ac:dyDescent="0.25">
      <c r="B148" s="21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14"/>
      <c r="N148" s="14"/>
    </row>
    <row r="149" spans="2:14" ht="15.75" x14ac:dyDescent="0.25">
      <c r="B149" s="21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14"/>
      <c r="N149" s="14"/>
    </row>
    <row r="150" spans="2:14" ht="15.75" x14ac:dyDescent="0.25">
      <c r="B150" s="21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14"/>
      <c r="N150" s="14"/>
    </row>
    <row r="151" spans="2:14" ht="15.75" x14ac:dyDescent="0.25">
      <c r="B151" s="21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14"/>
      <c r="N151" s="14"/>
    </row>
    <row r="152" spans="2:14" ht="15.75" x14ac:dyDescent="0.25">
      <c r="B152" s="21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14"/>
      <c r="N152" s="14"/>
    </row>
    <row r="153" spans="2:14" ht="15.75" x14ac:dyDescent="0.25">
      <c r="B153" s="21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14"/>
      <c r="N153" s="14"/>
    </row>
    <row r="154" spans="2:14" ht="15.75" x14ac:dyDescent="0.25">
      <c r="B154" s="21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14"/>
      <c r="N154" s="14"/>
    </row>
    <row r="155" spans="2:14" ht="15.75" x14ac:dyDescent="0.25">
      <c r="B155" s="21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14"/>
      <c r="N155" s="14"/>
    </row>
    <row r="156" spans="2:14" ht="15.75" x14ac:dyDescent="0.25">
      <c r="B156" s="21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14"/>
      <c r="N156" s="14"/>
    </row>
    <row r="157" spans="2:14" ht="15.75" x14ac:dyDescent="0.25">
      <c r="B157" s="21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14"/>
      <c r="N157" s="14"/>
    </row>
    <row r="158" spans="2:14" ht="15.75" x14ac:dyDescent="0.25">
      <c r="B158" s="21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14"/>
      <c r="N158" s="14"/>
    </row>
    <row r="159" spans="2:14" ht="15.75" x14ac:dyDescent="0.25">
      <c r="B159" s="21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14"/>
      <c r="N159" s="14"/>
    </row>
    <row r="160" spans="2:14" ht="15.75" x14ac:dyDescent="0.25">
      <c r="B160" s="21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14"/>
      <c r="N160" s="14"/>
    </row>
    <row r="161" spans="2:14" ht="15.75" x14ac:dyDescent="0.25">
      <c r="B161" s="21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14"/>
      <c r="N161" s="14"/>
    </row>
    <row r="162" spans="2:14" ht="15.75" x14ac:dyDescent="0.25">
      <c r="B162" s="21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14"/>
      <c r="N162" s="14"/>
    </row>
    <row r="163" spans="2:14" ht="15.75" x14ac:dyDescent="0.25">
      <c r="B163" s="21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14"/>
      <c r="N163" s="14"/>
    </row>
    <row r="164" spans="2:14" ht="15.75" x14ac:dyDescent="0.25">
      <c r="B164" s="21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14"/>
      <c r="N164" s="14"/>
    </row>
    <row r="165" spans="2:14" ht="15.75" x14ac:dyDescent="0.25">
      <c r="B165" s="21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14"/>
      <c r="N165" s="14"/>
    </row>
    <row r="166" spans="2:14" ht="15.75" x14ac:dyDescent="0.25">
      <c r="B166" s="21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14"/>
      <c r="N166" s="14"/>
    </row>
    <row r="167" spans="2:14" ht="15.75" x14ac:dyDescent="0.25">
      <c r="B167" s="21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14"/>
      <c r="N167" s="14"/>
    </row>
    <row r="168" spans="2:14" ht="15.75" x14ac:dyDescent="0.25">
      <c r="B168" s="21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14"/>
      <c r="N168" s="14"/>
    </row>
    <row r="169" spans="2:14" ht="15.75" x14ac:dyDescent="0.25">
      <c r="B169" s="21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14"/>
      <c r="N169" s="14"/>
    </row>
    <row r="170" spans="2:14" ht="15.75" x14ac:dyDescent="0.25">
      <c r="B170" s="21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14"/>
      <c r="N170" s="14"/>
    </row>
    <row r="171" spans="2:14" ht="15.75" x14ac:dyDescent="0.25">
      <c r="B171" s="21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14"/>
      <c r="N171" s="14"/>
    </row>
    <row r="172" spans="2:14" ht="15.75" x14ac:dyDescent="0.25">
      <c r="B172" s="21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14"/>
      <c r="N172" s="14"/>
    </row>
    <row r="173" spans="2:14" ht="15.75" x14ac:dyDescent="0.25">
      <c r="B173" s="21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14"/>
      <c r="N173" s="14"/>
    </row>
    <row r="174" spans="2:14" ht="15.75" x14ac:dyDescent="0.25">
      <c r="B174" s="21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14"/>
      <c r="N174" s="14"/>
    </row>
    <row r="175" spans="2:14" ht="15.75" x14ac:dyDescent="0.25">
      <c r="B175" s="21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14"/>
      <c r="N175" s="14"/>
    </row>
    <row r="176" spans="2:14" ht="15.75" x14ac:dyDescent="0.25">
      <c r="B176" s="21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14"/>
      <c r="N176" s="14"/>
    </row>
    <row r="177" spans="2:14" ht="15.75" x14ac:dyDescent="0.25">
      <c r="B177" s="21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14"/>
      <c r="N177" s="14"/>
    </row>
    <row r="178" spans="2:14" ht="15.75" x14ac:dyDescent="0.25">
      <c r="B178" s="21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14"/>
      <c r="N178" s="14"/>
    </row>
    <row r="179" spans="2:14" ht="15.75" x14ac:dyDescent="0.25">
      <c r="B179" s="21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14"/>
      <c r="N179" s="14"/>
    </row>
  </sheetData>
  <sortState xmlns:xlrd2="http://schemas.microsoft.com/office/spreadsheetml/2017/richdata2" ref="B122:M179">
    <sortCondition descending="1" ref="M122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C10"/>
  <sheetViews>
    <sheetView workbookViewId="0"/>
  </sheetViews>
  <sheetFormatPr defaultRowHeight="15" x14ac:dyDescent="0.25"/>
  <cols>
    <col min="3" max="3" width="47.42578125" customWidth="1"/>
  </cols>
  <sheetData>
    <row r="1" spans="3:3" ht="15.75" x14ac:dyDescent="0.25">
      <c r="C1" s="23" t="s">
        <v>0</v>
      </c>
    </row>
    <row r="2" spans="3:3" ht="15.75" x14ac:dyDescent="0.25">
      <c r="C2" s="23" t="s">
        <v>1</v>
      </c>
    </row>
    <row r="3" spans="3:3" ht="15.75" x14ac:dyDescent="0.25">
      <c r="C3" s="23" t="s">
        <v>103</v>
      </c>
    </row>
    <row r="4" spans="3:3" ht="15.75" x14ac:dyDescent="0.25">
      <c r="C4" s="23" t="s">
        <v>2</v>
      </c>
    </row>
    <row r="5" spans="3:3" ht="15.75" x14ac:dyDescent="0.25">
      <c r="C5" s="23" t="s">
        <v>3</v>
      </c>
    </row>
    <row r="6" spans="3:3" ht="15.75" x14ac:dyDescent="0.25">
      <c r="C6" s="23" t="s">
        <v>64</v>
      </c>
    </row>
    <row r="7" spans="3:3" ht="15.75" x14ac:dyDescent="0.25">
      <c r="C7" s="23" t="s">
        <v>4</v>
      </c>
    </row>
    <row r="8" spans="3:3" ht="15.75" x14ac:dyDescent="0.25">
      <c r="C8" s="23" t="s">
        <v>102</v>
      </c>
    </row>
    <row r="9" spans="3:3" ht="15.75" x14ac:dyDescent="0.25">
      <c r="C9" s="23" t="s">
        <v>65</v>
      </c>
    </row>
    <row r="10" spans="3:3" ht="15.75" x14ac:dyDescent="0.25">
      <c r="C10" s="23" t="s">
        <v>66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6:C28"/>
  <sheetViews>
    <sheetView workbookViewId="0"/>
  </sheetViews>
  <sheetFormatPr defaultRowHeight="15" x14ac:dyDescent="0.25"/>
  <cols>
    <col min="3" max="3" width="73.140625" customWidth="1"/>
  </cols>
  <sheetData>
    <row r="6" spans="3:3" x14ac:dyDescent="0.25">
      <c r="C6" s="10" t="s">
        <v>190</v>
      </c>
    </row>
    <row r="7" spans="3:3" ht="20.25" customHeight="1" x14ac:dyDescent="0.25">
      <c r="C7" s="10" t="s">
        <v>191</v>
      </c>
    </row>
    <row r="8" spans="3:3" x14ac:dyDescent="0.25">
      <c r="C8" s="10" t="s">
        <v>15</v>
      </c>
    </row>
    <row r="9" spans="3:3" x14ac:dyDescent="0.25">
      <c r="C9" s="10" t="s">
        <v>192</v>
      </c>
    </row>
    <row r="10" spans="3:3" ht="15.75" x14ac:dyDescent="0.25">
      <c r="C10" s="9" t="s">
        <v>16</v>
      </c>
    </row>
    <row r="11" spans="3:3" ht="15.75" x14ac:dyDescent="0.25">
      <c r="C11" s="9" t="s">
        <v>17</v>
      </c>
    </row>
    <row r="12" spans="3:3" ht="15.75" x14ac:dyDescent="0.25">
      <c r="C12" s="9" t="s">
        <v>22</v>
      </c>
    </row>
    <row r="13" spans="3:3" ht="15.75" x14ac:dyDescent="0.25">
      <c r="C13" s="9" t="s">
        <v>23</v>
      </c>
    </row>
    <row r="14" spans="3:3" ht="15.75" x14ac:dyDescent="0.25">
      <c r="C14" s="9" t="s">
        <v>19</v>
      </c>
    </row>
    <row r="15" spans="3:3" ht="15.75" x14ac:dyDescent="0.25">
      <c r="C15" s="9" t="s">
        <v>18</v>
      </c>
    </row>
    <row r="16" spans="3:3" ht="15.75" x14ac:dyDescent="0.25">
      <c r="C16" s="9" t="s">
        <v>193</v>
      </c>
    </row>
    <row r="17" spans="3:3" ht="15.75" x14ac:dyDescent="0.25">
      <c r="C17" s="9" t="s">
        <v>20</v>
      </c>
    </row>
    <row r="18" spans="3:3" ht="15.75" x14ac:dyDescent="0.25">
      <c r="C18" s="9" t="s">
        <v>21</v>
      </c>
    </row>
    <row r="19" spans="3:3" ht="15.75" x14ac:dyDescent="0.25">
      <c r="C19" s="9" t="s">
        <v>26</v>
      </c>
    </row>
    <row r="20" spans="3:3" ht="15.75" x14ac:dyDescent="0.25">
      <c r="C20" s="9" t="s">
        <v>24</v>
      </c>
    </row>
    <row r="21" spans="3:3" ht="15.75" x14ac:dyDescent="0.25">
      <c r="C21" s="9" t="s">
        <v>194</v>
      </c>
    </row>
    <row r="22" spans="3:3" ht="15.75" x14ac:dyDescent="0.25">
      <c r="C22" s="9" t="s">
        <v>195</v>
      </c>
    </row>
    <row r="23" spans="3:3" ht="15.75" x14ac:dyDescent="0.25">
      <c r="C23" s="9" t="s">
        <v>196</v>
      </c>
    </row>
    <row r="24" spans="3:3" ht="15.75" x14ac:dyDescent="0.25">
      <c r="C24" s="9" t="s">
        <v>197</v>
      </c>
    </row>
    <row r="25" spans="3:3" ht="15.75" x14ac:dyDescent="0.25">
      <c r="C25" s="9" t="s">
        <v>198</v>
      </c>
    </row>
    <row r="26" spans="3:3" ht="15.75" x14ac:dyDescent="0.25">
      <c r="C26" s="9" t="s">
        <v>199</v>
      </c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Q115"/>
  <sheetViews>
    <sheetView topLeftCell="N1" zoomScale="110" zoomScaleNormal="110" workbookViewId="0">
      <selection activeCell="Q3" sqref="Q3"/>
    </sheetView>
  </sheetViews>
  <sheetFormatPr defaultRowHeight="15" x14ac:dyDescent="0.25"/>
  <cols>
    <col min="2" max="3" width="7.140625" customWidth="1"/>
    <col min="4" max="4" width="7.42578125" customWidth="1"/>
    <col min="5" max="5" width="7.85546875" customWidth="1"/>
    <col min="6" max="6" width="5.85546875" customWidth="1"/>
    <col min="7" max="7" width="7.28515625" customWidth="1"/>
    <col min="8" max="8" width="6.7109375" customWidth="1"/>
    <col min="10" max="10" width="6.28515625" customWidth="1"/>
    <col min="11" max="11" width="9.42578125" customWidth="1"/>
    <col min="12" max="12" width="8.7109375" customWidth="1"/>
    <col min="13" max="13" width="20.42578125" customWidth="1"/>
    <col min="14" max="14" width="41" style="37" customWidth="1"/>
    <col min="15" max="15" width="40.7109375" style="37" customWidth="1"/>
    <col min="16" max="16" width="40.85546875" style="37" customWidth="1"/>
    <col min="17" max="17" width="45.5703125" customWidth="1"/>
  </cols>
  <sheetData>
    <row r="2" spans="2:17" x14ac:dyDescent="0.25">
      <c r="B2" s="31" t="str">
        <f>'Grades Summary'!W1</f>
        <v>ENG</v>
      </c>
      <c r="C2" s="31" t="str">
        <f>'Grades Summary'!X1</f>
        <v>SOCIA</v>
      </c>
      <c r="D2" s="31" t="str">
        <f>'Grades Summary'!Y1</f>
        <v>RME</v>
      </c>
      <c r="E2" s="31" t="str">
        <f>'Grades Summary'!Z1</f>
        <v>MATHS</v>
      </c>
      <c r="F2" s="31" t="str">
        <f>'Grades Summary'!AA1</f>
        <v>SCI</v>
      </c>
      <c r="G2" s="31" t="str">
        <f>'Grades Summary'!AB1</f>
        <v>COM</v>
      </c>
      <c r="H2" s="31" t="str">
        <f>'Grades Summary'!AD1</f>
        <v>GAN</v>
      </c>
      <c r="I2" s="31" t="str">
        <f>'Grades Summary'!AE1</f>
        <v>CTECH</v>
      </c>
      <c r="J2" s="31" t="str">
        <f>'Grades Summary'!AF1</f>
        <v>CART</v>
      </c>
      <c r="K2" s="31" t="str">
        <f>'Grades Summary'!AG1</f>
        <v>TOTAL OF 4 CORE AND 2 BEST ELECTIVE</v>
      </c>
      <c r="L2" s="31" t="str">
        <f>'Grades Summary'!AH1</f>
        <v>AGGREGATE</v>
      </c>
      <c r="M2" s="31" t="str">
        <f>'Grades Summary'!AI1</f>
        <v>CLASS TEACHER</v>
      </c>
      <c r="N2" s="31" t="s">
        <v>100</v>
      </c>
      <c r="O2" s="31" t="s">
        <v>101</v>
      </c>
      <c r="P2" s="31" t="s">
        <v>99</v>
      </c>
      <c r="Q2" s="32" t="str">
        <f>'Grades Summary'!B1</f>
        <v>STUDENT NAME</v>
      </c>
    </row>
    <row r="3" spans="2:17" x14ac:dyDescent="0.25">
      <c r="B3" s="14">
        <f>'Grades Summary'!W2</f>
        <v>3</v>
      </c>
      <c r="C3" s="14">
        <f>'Grades Summary'!X2</f>
        <v>9</v>
      </c>
      <c r="D3" s="14">
        <f>'Grades Summary'!Y2</f>
        <v>3</v>
      </c>
      <c r="E3" s="14">
        <f>'Grades Summary'!Z2</f>
        <v>6</v>
      </c>
      <c r="F3" s="14">
        <f>'Grades Summary'!AA2</f>
        <v>5</v>
      </c>
      <c r="G3" s="14">
        <f>'Grades Summary'!AB2</f>
        <v>9</v>
      </c>
      <c r="H3" s="14">
        <f>'Grades Summary'!AD2</f>
        <v>7</v>
      </c>
      <c r="I3" s="14">
        <f>'Grades Summary'!AE2</f>
        <v>5</v>
      </c>
      <c r="J3" s="14">
        <f>'Grades Summary'!AF2</f>
        <v>3</v>
      </c>
      <c r="K3" s="14">
        <f>'Grades Summary'!AG2</f>
        <v>367</v>
      </c>
      <c r="L3" s="14">
        <f>'Grades Summary'!AH2</f>
        <v>29</v>
      </c>
      <c r="M3" s="14" t="s">
        <v>104</v>
      </c>
      <c r="N3" s="36" t="s">
        <v>177</v>
      </c>
      <c r="O3" s="36" t="s">
        <v>183</v>
      </c>
      <c r="P3" s="36" t="s">
        <v>199</v>
      </c>
      <c r="Q3" s="15" t="str">
        <f>Student!B2</f>
        <v xml:space="preserve">AGBENOR  ALFRED </v>
      </c>
    </row>
    <row r="4" spans="2:17" x14ac:dyDescent="0.25">
      <c r="B4" s="14">
        <f>'Grades Summary'!W3</f>
        <v>7</v>
      </c>
      <c r="C4" s="14">
        <f>'Grades Summary'!X3</f>
        <v>7</v>
      </c>
      <c r="D4" s="14">
        <f>'Grades Summary'!Y3</f>
        <v>6</v>
      </c>
      <c r="E4" s="14">
        <f>'Grades Summary'!Z3</f>
        <v>7</v>
      </c>
      <c r="F4" s="14">
        <f>'Grades Summary'!AA3</f>
        <v>8</v>
      </c>
      <c r="G4" s="14">
        <f>'Grades Summary'!AB3</f>
        <v>9</v>
      </c>
      <c r="H4" s="14">
        <f>'Grades Summary'!AD3</f>
        <v>9</v>
      </c>
      <c r="I4" s="14">
        <f>'Grades Summary'!AE3</f>
        <v>8</v>
      </c>
      <c r="J4" s="14">
        <f>'Grades Summary'!AF3</f>
        <v>4</v>
      </c>
      <c r="K4" s="14">
        <f>'Grades Summary'!AG3</f>
        <v>326</v>
      </c>
      <c r="L4" s="14">
        <f>'Grades Summary'!AH3</f>
        <v>39</v>
      </c>
      <c r="M4" s="14" t="s">
        <v>104</v>
      </c>
      <c r="N4" s="36" t="s">
        <v>171</v>
      </c>
      <c r="O4" s="36" t="s">
        <v>183</v>
      </c>
      <c r="P4" s="36" t="s">
        <v>194</v>
      </c>
      <c r="Q4" s="15" t="str">
        <f>Student!B3</f>
        <v xml:space="preserve">AGBENU JORDAN </v>
      </c>
    </row>
    <row r="5" spans="2:17" x14ac:dyDescent="0.25">
      <c r="B5" s="14">
        <f>'Grades Summary'!W4</f>
        <v>8</v>
      </c>
      <c r="C5" s="14">
        <f>'Grades Summary'!X4</f>
        <v>8</v>
      </c>
      <c r="D5" s="14">
        <f>'Grades Summary'!Y4</f>
        <v>3</v>
      </c>
      <c r="E5" s="14">
        <f>'Grades Summary'!Z4</f>
        <v>8</v>
      </c>
      <c r="F5" s="14">
        <f>'Grades Summary'!AA4</f>
        <v>6</v>
      </c>
      <c r="G5" s="14">
        <f>'Grades Summary'!AB4</f>
        <v>7</v>
      </c>
      <c r="H5" s="14">
        <f>'Grades Summary'!AD4</f>
        <v>8</v>
      </c>
      <c r="I5" s="14">
        <f>'Grades Summary'!AE4</f>
        <v>8</v>
      </c>
      <c r="J5" s="14">
        <f>'Grades Summary'!AF4</f>
        <v>6</v>
      </c>
      <c r="K5" s="14">
        <f>'Grades Summary'!AG4</f>
        <v>332</v>
      </c>
      <c r="L5" s="14">
        <f>'Grades Summary'!AH4</f>
        <v>39</v>
      </c>
      <c r="M5" s="14" t="s">
        <v>104</v>
      </c>
      <c r="N5" s="36" t="s">
        <v>173</v>
      </c>
      <c r="O5" s="36" t="s">
        <v>187</v>
      </c>
      <c r="P5" s="36" t="s">
        <v>194</v>
      </c>
      <c r="Q5" s="15" t="str">
        <f>Student!B4</f>
        <v>AGBO PRINCE</v>
      </c>
    </row>
    <row r="6" spans="2:17" x14ac:dyDescent="0.25">
      <c r="B6" s="14">
        <f>'Grades Summary'!W5</f>
        <v>7</v>
      </c>
      <c r="C6" s="14">
        <f>'Grades Summary'!X5</f>
        <v>5</v>
      </c>
      <c r="D6" s="14">
        <f>'Grades Summary'!Y5</f>
        <v>7</v>
      </c>
      <c r="E6" s="14">
        <f>'Grades Summary'!Z5</f>
        <v>7</v>
      </c>
      <c r="F6" s="14">
        <f>'Grades Summary'!AA5</f>
        <v>8</v>
      </c>
      <c r="G6" s="14">
        <f>'Grades Summary'!AB5</f>
        <v>9</v>
      </c>
      <c r="H6" s="14">
        <f>'Grades Summary'!AD5</f>
        <v>9</v>
      </c>
      <c r="I6" s="14">
        <f>'Grades Summary'!AE5</f>
        <v>8</v>
      </c>
      <c r="J6" s="14">
        <f>'Grades Summary'!AF5</f>
        <v>7</v>
      </c>
      <c r="K6" s="14">
        <f>'Grades Summary'!AG5</f>
        <v>323</v>
      </c>
      <c r="L6" s="14">
        <f>'Grades Summary'!AH5</f>
        <v>41</v>
      </c>
      <c r="M6" s="14" t="s">
        <v>104</v>
      </c>
      <c r="N6" s="36" t="s">
        <v>173</v>
      </c>
      <c r="O6" s="36" t="s">
        <v>183</v>
      </c>
      <c r="P6" s="36" t="s">
        <v>194</v>
      </c>
      <c r="Q6" s="15" t="str">
        <f>Student!B5</f>
        <v xml:space="preserve">AGBOTSE EBENEZER </v>
      </c>
    </row>
    <row r="7" spans="2:17" x14ac:dyDescent="0.25">
      <c r="B7" s="14">
        <f>'Grades Summary'!W6</f>
        <v>6</v>
      </c>
      <c r="C7" s="14">
        <f>'Grades Summary'!X6</f>
        <v>7</v>
      </c>
      <c r="D7" s="14">
        <f>'Grades Summary'!Y6</f>
        <v>6</v>
      </c>
      <c r="E7" s="14">
        <f>'Grades Summary'!Z6</f>
        <v>9</v>
      </c>
      <c r="F7" s="14">
        <f>'Grades Summary'!AA6</f>
        <v>8</v>
      </c>
      <c r="G7" s="14">
        <f>'Grades Summary'!AB6</f>
        <v>9</v>
      </c>
      <c r="H7" s="14">
        <f>'Grades Summary'!AD6</f>
        <v>9</v>
      </c>
      <c r="I7" s="14">
        <f>'Grades Summary'!AE6</f>
        <v>9</v>
      </c>
      <c r="J7" s="14">
        <f>'Grades Summary'!AF6</f>
        <v>6</v>
      </c>
      <c r="K7" s="14">
        <f>'Grades Summary'!AG6</f>
        <v>285.5</v>
      </c>
      <c r="L7" s="14">
        <f>'Grades Summary'!AH6</f>
        <v>42</v>
      </c>
      <c r="M7" s="14" t="s">
        <v>104</v>
      </c>
      <c r="N7" s="36" t="s">
        <v>171</v>
      </c>
      <c r="O7" s="36" t="s">
        <v>185</v>
      </c>
      <c r="P7" s="36" t="s">
        <v>194</v>
      </c>
      <c r="Q7" s="15" t="str">
        <f>Student!B6</f>
        <v xml:space="preserve">APPIAH EMMANUEL </v>
      </c>
    </row>
    <row r="8" spans="2:17" x14ac:dyDescent="0.25">
      <c r="B8" s="14">
        <f>'Grades Summary'!W7</f>
        <v>7</v>
      </c>
      <c r="C8" s="14">
        <f>'Grades Summary'!X7</f>
        <v>7</v>
      </c>
      <c r="D8" s="14">
        <f>'Grades Summary'!Y7</f>
        <v>5</v>
      </c>
      <c r="E8" s="14">
        <f>'Grades Summary'!Z7</f>
        <v>8</v>
      </c>
      <c r="F8" s="14">
        <f>'Grades Summary'!AA7</f>
        <v>8</v>
      </c>
      <c r="G8" s="14">
        <f>'Grades Summary'!AB7</f>
        <v>9</v>
      </c>
      <c r="H8" s="14">
        <f>'Grades Summary'!AD7</f>
        <v>9</v>
      </c>
      <c r="I8" s="14">
        <f>'Grades Summary'!AE7</f>
        <v>9</v>
      </c>
      <c r="J8" s="14">
        <f>'Grades Summary'!AF7</f>
        <v>6</v>
      </c>
      <c r="K8" s="14">
        <f>'Grades Summary'!AG7</f>
        <v>321.5</v>
      </c>
      <c r="L8" s="14">
        <f>'Grades Summary'!AH7</f>
        <v>41</v>
      </c>
      <c r="M8" s="14" t="s">
        <v>104</v>
      </c>
      <c r="N8" s="36" t="s">
        <v>174</v>
      </c>
      <c r="O8" s="36" t="s">
        <v>189</v>
      </c>
      <c r="P8" s="36" t="s">
        <v>194</v>
      </c>
      <c r="Q8" s="15" t="str">
        <f>Student!B7</f>
        <v xml:space="preserve">ASARE RICHMOND </v>
      </c>
    </row>
    <row r="9" spans="2:17" x14ac:dyDescent="0.25">
      <c r="B9" s="14">
        <f>'Grades Summary'!W8</f>
        <v>8</v>
      </c>
      <c r="C9" s="14">
        <f>'Grades Summary'!X8</f>
        <v>8</v>
      </c>
      <c r="D9" s="14">
        <f>'Grades Summary'!Y8</f>
        <v>8</v>
      </c>
      <c r="E9" s="14">
        <f>'Grades Summary'!Z8</f>
        <v>9</v>
      </c>
      <c r="F9" s="14">
        <f>'Grades Summary'!AA8</f>
        <v>8</v>
      </c>
      <c r="G9" s="14">
        <f>'Grades Summary'!AB8</f>
        <v>9</v>
      </c>
      <c r="H9" s="14">
        <f>'Grades Summary'!AD8</f>
        <v>9</v>
      </c>
      <c r="I9" s="14">
        <f>'Grades Summary'!AE8</f>
        <v>9</v>
      </c>
      <c r="J9" s="14">
        <f>'Grades Summary'!AF8</f>
        <v>9</v>
      </c>
      <c r="K9" s="14">
        <f>'Grades Summary'!AG8</f>
        <v>228</v>
      </c>
      <c r="L9" s="14">
        <f>'Grades Summary'!AH8</f>
        <v>50</v>
      </c>
      <c r="M9" s="14" t="s">
        <v>104</v>
      </c>
      <c r="N9" s="36" t="s">
        <v>174</v>
      </c>
      <c r="O9" s="36" t="s">
        <v>185</v>
      </c>
      <c r="P9" s="36" t="s">
        <v>194</v>
      </c>
      <c r="Q9" s="15" t="str">
        <f>Student!B8</f>
        <v xml:space="preserve">ASIAMAH JOSEPH </v>
      </c>
    </row>
    <row r="10" spans="2:17" x14ac:dyDescent="0.25">
      <c r="B10" s="14">
        <f>'Grades Summary'!W9</f>
        <v>7</v>
      </c>
      <c r="C10" s="14">
        <f>'Grades Summary'!X9</f>
        <v>7</v>
      </c>
      <c r="D10" s="14">
        <f>'Grades Summary'!Y9</f>
        <v>6</v>
      </c>
      <c r="E10" s="14">
        <f>'Grades Summary'!Z9</f>
        <v>7</v>
      </c>
      <c r="F10" s="14">
        <f>'Grades Summary'!AA9</f>
        <v>7</v>
      </c>
      <c r="G10" s="14">
        <f>'Grades Summary'!AB9</f>
        <v>9</v>
      </c>
      <c r="H10" s="14">
        <f>'Grades Summary'!AD9</f>
        <v>9</v>
      </c>
      <c r="I10" s="14">
        <f>'Grades Summary'!AE9</f>
        <v>9</v>
      </c>
      <c r="J10" s="14">
        <f>'Grades Summary'!AF9</f>
        <v>4</v>
      </c>
      <c r="K10" s="14">
        <f>'Grades Summary'!AG9</f>
        <v>331</v>
      </c>
      <c r="L10" s="14">
        <f>'Grades Summary'!AH9</f>
        <v>38</v>
      </c>
      <c r="M10" s="14" t="s">
        <v>104</v>
      </c>
      <c r="N10" s="36" t="s">
        <v>170</v>
      </c>
      <c r="O10" s="36" t="s">
        <v>181</v>
      </c>
      <c r="P10" s="36" t="s">
        <v>194</v>
      </c>
      <c r="Q10" s="15" t="str">
        <f>Student!B9</f>
        <v>AWUAH KEKELI JERRY</v>
      </c>
    </row>
    <row r="11" spans="2:17" x14ac:dyDescent="0.25">
      <c r="B11" s="14">
        <f>'Grades Summary'!W10</f>
        <v>7</v>
      </c>
      <c r="C11" s="14">
        <f>'Grades Summary'!X10</f>
        <v>6</v>
      </c>
      <c r="D11" s="14">
        <f>'Grades Summary'!Y10</f>
        <v>3</v>
      </c>
      <c r="E11" s="14">
        <f>'Grades Summary'!Z10</f>
        <v>8</v>
      </c>
      <c r="F11" s="14">
        <f>'Grades Summary'!AA10</f>
        <v>7</v>
      </c>
      <c r="G11" s="14">
        <f>'Grades Summary'!AB10</f>
        <v>8</v>
      </c>
      <c r="H11" s="14">
        <f>'Grades Summary'!AD10</f>
        <v>9</v>
      </c>
      <c r="I11" s="14">
        <f>'Grades Summary'!AE10</f>
        <v>8</v>
      </c>
      <c r="J11" s="14">
        <f>'Grades Summary'!AF10</f>
        <v>6</v>
      </c>
      <c r="K11" s="14">
        <f>'Grades Summary'!AG10</f>
        <v>342.5</v>
      </c>
      <c r="L11" s="14">
        <f>'Grades Summary'!AH10</f>
        <v>37</v>
      </c>
      <c r="M11" s="14" t="s">
        <v>104</v>
      </c>
      <c r="N11" s="36" t="s">
        <v>173</v>
      </c>
      <c r="O11" s="36" t="s">
        <v>181</v>
      </c>
      <c r="P11" s="36" t="s">
        <v>194</v>
      </c>
      <c r="Q11" s="15" t="str">
        <f>Student!B10</f>
        <v xml:space="preserve">BAWA BASSIT </v>
      </c>
    </row>
    <row r="12" spans="2:17" x14ac:dyDescent="0.25">
      <c r="B12" s="14">
        <f>'Grades Summary'!W11</f>
        <v>7</v>
      </c>
      <c r="C12" s="14">
        <f>'Grades Summary'!X11</f>
        <v>8</v>
      </c>
      <c r="D12" s="14">
        <f>'Grades Summary'!Y11</f>
        <v>6</v>
      </c>
      <c r="E12" s="14">
        <f>'Grades Summary'!Z11</f>
        <v>8</v>
      </c>
      <c r="F12" s="14">
        <f>'Grades Summary'!AA11</f>
        <v>8</v>
      </c>
      <c r="G12" s="14">
        <f>'Grades Summary'!AB11</f>
        <v>8</v>
      </c>
      <c r="H12" s="14">
        <f>'Grades Summary'!AD11</f>
        <v>9</v>
      </c>
      <c r="I12" s="14">
        <f>'Grades Summary'!AE11</f>
        <v>9</v>
      </c>
      <c r="J12" s="14">
        <f>'Grades Summary'!AF11</f>
        <v>7</v>
      </c>
      <c r="K12" s="14">
        <f>'Grades Summary'!AG11</f>
        <v>287.5</v>
      </c>
      <c r="L12" s="14">
        <f>'Grades Summary'!AH11</f>
        <v>44</v>
      </c>
      <c r="M12" s="14" t="s">
        <v>104</v>
      </c>
      <c r="N12" s="36" t="s">
        <v>175</v>
      </c>
      <c r="O12" s="36" t="s">
        <v>181</v>
      </c>
      <c r="P12" s="36" t="s">
        <v>194</v>
      </c>
      <c r="Q12" s="15" t="str">
        <f>Student!B11</f>
        <v xml:space="preserve">DANQWAH PHILIP </v>
      </c>
    </row>
    <row r="13" spans="2:17" x14ac:dyDescent="0.25">
      <c r="B13" s="14">
        <f>'Grades Summary'!W12</f>
        <v>7</v>
      </c>
      <c r="C13" s="14">
        <f>'Grades Summary'!X12</f>
        <v>6</v>
      </c>
      <c r="D13" s="14">
        <f>'Grades Summary'!Y12</f>
        <v>8</v>
      </c>
      <c r="E13" s="14">
        <f>'Grades Summary'!Z12</f>
        <v>9</v>
      </c>
      <c r="F13" s="14">
        <f>'Grades Summary'!AA12</f>
        <v>8</v>
      </c>
      <c r="G13" s="14">
        <f>'Grades Summary'!AB12</f>
        <v>8</v>
      </c>
      <c r="H13" s="14">
        <f>'Grades Summary'!AD12</f>
        <v>9</v>
      </c>
      <c r="I13" s="14">
        <f>'Grades Summary'!AE12</f>
        <v>8</v>
      </c>
      <c r="J13" s="14">
        <f>'Grades Summary'!AF12</f>
        <v>7</v>
      </c>
      <c r="K13" s="14">
        <f>'Grades Summary'!AG12</f>
        <v>264.5</v>
      </c>
      <c r="L13" s="14">
        <f>'Grades Summary'!AH12</f>
        <v>45</v>
      </c>
      <c r="M13" s="14" t="s">
        <v>104</v>
      </c>
      <c r="N13" s="36" t="s">
        <v>174</v>
      </c>
      <c r="O13" s="36" t="s">
        <v>181</v>
      </c>
      <c r="P13" s="36" t="s">
        <v>194</v>
      </c>
      <c r="Q13" s="15" t="str">
        <f>Student!B12</f>
        <v>DEDIHA GIDEON</v>
      </c>
    </row>
    <row r="14" spans="2:17" x14ac:dyDescent="0.25">
      <c r="B14" s="14">
        <f>'Grades Summary'!W13</f>
        <v>6</v>
      </c>
      <c r="C14" s="14">
        <f>'Grades Summary'!X13</f>
        <v>6</v>
      </c>
      <c r="D14" s="14">
        <f>'Grades Summary'!Y13</f>
        <v>7</v>
      </c>
      <c r="E14" s="14">
        <f>'Grades Summary'!Z13</f>
        <v>9</v>
      </c>
      <c r="F14" s="14">
        <f>'Grades Summary'!AA13</f>
        <v>9</v>
      </c>
      <c r="G14" s="14">
        <f>'Grades Summary'!AB13</f>
        <v>9</v>
      </c>
      <c r="H14" s="14">
        <f>'Grades Summary'!AD13</f>
        <v>9</v>
      </c>
      <c r="I14" s="14">
        <f>'Grades Summary'!AE13</f>
        <v>9</v>
      </c>
      <c r="J14" s="14">
        <f>'Grades Summary'!AF13</f>
        <v>8</v>
      </c>
      <c r="K14" s="14">
        <f>'Grades Summary'!AG13</f>
        <v>288.5</v>
      </c>
      <c r="L14" s="14">
        <f>'Grades Summary'!AH13</f>
        <v>45</v>
      </c>
      <c r="M14" s="14" t="s">
        <v>104</v>
      </c>
      <c r="N14" s="36" t="s">
        <v>170</v>
      </c>
      <c r="O14" s="36" t="s">
        <v>187</v>
      </c>
      <c r="P14" s="36" t="s">
        <v>194</v>
      </c>
      <c r="Q14" s="15" t="str">
        <f>Student!B13</f>
        <v xml:space="preserve">ENCHILL KENNETH  </v>
      </c>
    </row>
    <row r="15" spans="2:17" x14ac:dyDescent="0.25">
      <c r="B15" s="14">
        <f>'Grades Summary'!W14</f>
        <v>7</v>
      </c>
      <c r="C15" s="14">
        <f>'Grades Summary'!X14</f>
        <v>8</v>
      </c>
      <c r="D15" s="14">
        <f>'Grades Summary'!Y14</f>
        <v>3</v>
      </c>
      <c r="E15" s="14">
        <f>'Grades Summary'!Z14</f>
        <v>7</v>
      </c>
      <c r="F15" s="14">
        <f>'Grades Summary'!AA14</f>
        <v>7</v>
      </c>
      <c r="G15" s="14">
        <f>'Grades Summary'!AB14</f>
        <v>8</v>
      </c>
      <c r="H15" s="14">
        <f>'Grades Summary'!AD14</f>
        <v>9</v>
      </c>
      <c r="I15" s="14">
        <f>'Grades Summary'!AE14</f>
        <v>7</v>
      </c>
      <c r="J15" s="14">
        <f>'Grades Summary'!AF14</f>
        <v>6</v>
      </c>
      <c r="K15" s="14">
        <f>'Grades Summary'!AG14</f>
        <v>331</v>
      </c>
      <c r="L15" s="14">
        <f>'Grades Summary'!AH14</f>
        <v>38</v>
      </c>
      <c r="M15" s="14" t="s">
        <v>104</v>
      </c>
      <c r="N15" s="36" t="s">
        <v>170</v>
      </c>
      <c r="O15" s="36" t="s">
        <v>181</v>
      </c>
      <c r="P15" s="36" t="s">
        <v>194</v>
      </c>
      <c r="Q15" s="15" t="str">
        <f>Student!B14</f>
        <v xml:space="preserve">ENTSIE FRANCIS </v>
      </c>
    </row>
    <row r="16" spans="2:17" x14ac:dyDescent="0.25">
      <c r="B16" s="14">
        <f>'Grades Summary'!W15</f>
        <v>7</v>
      </c>
      <c r="C16" s="14">
        <f>'Grades Summary'!X15</f>
        <v>7</v>
      </c>
      <c r="D16" s="14">
        <f>'Grades Summary'!Y15</f>
        <v>4</v>
      </c>
      <c r="E16" s="14">
        <f>'Grades Summary'!Z15</f>
        <v>9</v>
      </c>
      <c r="F16" s="14">
        <f>'Grades Summary'!AA15</f>
        <v>8</v>
      </c>
      <c r="G16" s="14">
        <f>'Grades Summary'!AB15</f>
        <v>9</v>
      </c>
      <c r="H16" s="14">
        <f>'Grades Summary'!AD15</f>
        <v>9</v>
      </c>
      <c r="I16" s="14">
        <f>'Grades Summary'!AE15</f>
        <v>9</v>
      </c>
      <c r="J16" s="14">
        <f>'Grades Summary'!AF15</f>
        <v>7</v>
      </c>
      <c r="K16" s="14">
        <f>'Grades Summary'!AG15</f>
        <v>280.5</v>
      </c>
      <c r="L16" s="14">
        <f>'Grades Summary'!AH15</f>
        <v>42</v>
      </c>
      <c r="M16" s="14" t="s">
        <v>104</v>
      </c>
      <c r="N16" s="36" t="s">
        <v>170</v>
      </c>
      <c r="O16" s="36" t="s">
        <v>183</v>
      </c>
      <c r="P16" s="36" t="s">
        <v>194</v>
      </c>
      <c r="Q16" s="15" t="str">
        <f>Student!B15</f>
        <v xml:space="preserve">ESHUN EVANS </v>
      </c>
    </row>
    <row r="17" spans="2:17" x14ac:dyDescent="0.25">
      <c r="B17" s="14">
        <f>'Grades Summary'!W16</f>
        <v>4</v>
      </c>
      <c r="C17" s="14">
        <f>'Grades Summary'!X16</f>
        <v>7</v>
      </c>
      <c r="D17" s="14">
        <f>'Grades Summary'!Y16</f>
        <v>5</v>
      </c>
      <c r="E17" s="14">
        <f>'Grades Summary'!Z16</f>
        <v>9</v>
      </c>
      <c r="F17" s="14">
        <f>'Grades Summary'!AA16</f>
        <v>8</v>
      </c>
      <c r="G17" s="14">
        <f>'Grades Summary'!AB16</f>
        <v>8</v>
      </c>
      <c r="H17" s="14">
        <f>'Grades Summary'!AD16</f>
        <v>7</v>
      </c>
      <c r="I17" s="14">
        <f>'Grades Summary'!AE16</f>
        <v>8</v>
      </c>
      <c r="J17" s="14">
        <f>'Grades Summary'!AF16</f>
        <v>4</v>
      </c>
      <c r="K17" s="14">
        <f>'Grades Summary'!AG16</f>
        <v>338.5</v>
      </c>
      <c r="L17" s="14">
        <f>'Grades Summary'!AH16</f>
        <v>37</v>
      </c>
      <c r="M17" s="14" t="s">
        <v>104</v>
      </c>
      <c r="N17" s="36" t="s">
        <v>170</v>
      </c>
      <c r="O17" s="36" t="s">
        <v>181</v>
      </c>
      <c r="P17" s="36" t="s">
        <v>194</v>
      </c>
      <c r="Q17" s="15" t="str">
        <f>Student!B16</f>
        <v xml:space="preserve">GOMASHIE PRINCE </v>
      </c>
    </row>
    <row r="18" spans="2:17" x14ac:dyDescent="0.25">
      <c r="B18" s="14">
        <f>'Grades Summary'!W17</f>
        <v>7</v>
      </c>
      <c r="C18" s="14">
        <f>'Grades Summary'!X17</f>
        <v>7</v>
      </c>
      <c r="D18" s="14">
        <f>'Grades Summary'!Y17</f>
        <v>5</v>
      </c>
      <c r="E18" s="14">
        <f>'Grades Summary'!Z17</f>
        <v>9</v>
      </c>
      <c r="F18" s="14">
        <f>'Grades Summary'!AA17</f>
        <v>7</v>
      </c>
      <c r="G18" s="14">
        <f>'Grades Summary'!AB17</f>
        <v>9</v>
      </c>
      <c r="H18" s="14">
        <f>'Grades Summary'!AD17</f>
        <v>9</v>
      </c>
      <c r="I18" s="14">
        <f>'Grades Summary'!AE17</f>
        <v>9</v>
      </c>
      <c r="J18" s="14">
        <f>'Grades Summary'!AF17</f>
        <v>7</v>
      </c>
      <c r="K18" s="14">
        <f>'Grades Summary'!AG17</f>
        <v>288.5</v>
      </c>
      <c r="L18" s="14">
        <f>'Grades Summary'!AH17</f>
        <v>42</v>
      </c>
      <c r="M18" s="14" t="s">
        <v>104</v>
      </c>
      <c r="N18" s="36" t="s">
        <v>170</v>
      </c>
      <c r="O18" s="36" t="s">
        <v>187</v>
      </c>
      <c r="P18" s="36" t="s">
        <v>194</v>
      </c>
      <c r="Q18" s="15" t="str">
        <f>Student!B17</f>
        <v xml:space="preserve">NUMEGBOR WISDOM </v>
      </c>
    </row>
    <row r="19" spans="2:17" x14ac:dyDescent="0.25">
      <c r="B19" s="14">
        <f>'Grades Summary'!W18</f>
        <v>4</v>
      </c>
      <c r="C19" s="14">
        <f>'Grades Summary'!X18</f>
        <v>5</v>
      </c>
      <c r="D19" s="14">
        <f>'Grades Summary'!Y18</f>
        <v>3</v>
      </c>
      <c r="E19" s="14">
        <f>'Grades Summary'!Z18</f>
        <v>7</v>
      </c>
      <c r="F19" s="14">
        <f>'Grades Summary'!AA18</f>
        <v>7</v>
      </c>
      <c r="G19" s="14">
        <f>'Grades Summary'!AB18</f>
        <v>8</v>
      </c>
      <c r="H19" s="14">
        <f>'Grades Summary'!AD18</f>
        <v>7</v>
      </c>
      <c r="I19" s="14">
        <f>'Grades Summary'!AE18</f>
        <v>5</v>
      </c>
      <c r="J19" s="14">
        <f>'Grades Summary'!AF18</f>
        <v>6</v>
      </c>
      <c r="K19" s="14">
        <f>'Grades Summary'!AG18</f>
        <v>362</v>
      </c>
      <c r="L19" s="14">
        <f>'Grades Summary'!AH18</f>
        <v>31</v>
      </c>
      <c r="M19" s="14" t="s">
        <v>104</v>
      </c>
      <c r="N19" s="36" t="s">
        <v>170</v>
      </c>
      <c r="O19" s="36" t="s">
        <v>183</v>
      </c>
      <c r="P19" s="36" t="s">
        <v>194</v>
      </c>
      <c r="Q19" s="15" t="str">
        <f>Student!B18</f>
        <v xml:space="preserve">OFFEI JUSTICE </v>
      </c>
    </row>
    <row r="20" spans="2:17" x14ac:dyDescent="0.25">
      <c r="B20" s="14">
        <f>'Grades Summary'!W19</f>
        <v>4</v>
      </c>
      <c r="C20" s="14">
        <f>'Grades Summary'!X19</f>
        <v>5</v>
      </c>
      <c r="D20" s="14">
        <f>'Grades Summary'!Y19</f>
        <v>3</v>
      </c>
      <c r="E20" s="14">
        <f>'Grades Summary'!Z19</f>
        <v>7</v>
      </c>
      <c r="F20" s="14">
        <f>'Grades Summary'!AA19</f>
        <v>8</v>
      </c>
      <c r="G20" s="14">
        <f>'Grades Summary'!AB19</f>
        <v>9</v>
      </c>
      <c r="H20" s="14">
        <f>'Grades Summary'!AD19</f>
        <v>6</v>
      </c>
      <c r="I20" s="14">
        <f>'Grades Summary'!AE19</f>
        <v>8</v>
      </c>
      <c r="J20" s="14">
        <f>'Grades Summary'!AF19</f>
        <v>6</v>
      </c>
      <c r="K20" s="14">
        <f>'Grades Summary'!AG19</f>
        <v>355</v>
      </c>
      <c r="L20" s="14">
        <f>'Grades Summary'!AH19</f>
        <v>33</v>
      </c>
      <c r="M20" s="14" t="s">
        <v>104</v>
      </c>
      <c r="N20" s="36" t="s">
        <v>173</v>
      </c>
      <c r="O20" s="36" t="s">
        <v>186</v>
      </c>
      <c r="P20" s="36" t="s">
        <v>194</v>
      </c>
      <c r="Q20" s="15" t="str">
        <f>Student!B19</f>
        <v xml:space="preserve">OSEI BELVIS </v>
      </c>
    </row>
    <row r="21" spans="2:17" x14ac:dyDescent="0.25">
      <c r="B21" s="14">
        <f>'Grades Summary'!W20</f>
        <v>7</v>
      </c>
      <c r="C21" s="14">
        <f>'Grades Summary'!X20</f>
        <v>6</v>
      </c>
      <c r="D21" s="14">
        <f>'Grades Summary'!Y20</f>
        <v>6</v>
      </c>
      <c r="E21" s="14">
        <f>'Grades Summary'!Z20</f>
        <v>9</v>
      </c>
      <c r="F21" s="14">
        <f>'Grades Summary'!AA20</f>
        <v>7</v>
      </c>
      <c r="G21" s="14">
        <f>'Grades Summary'!AB20</f>
        <v>8</v>
      </c>
      <c r="H21" s="14">
        <f>'Grades Summary'!AD20</f>
        <v>9</v>
      </c>
      <c r="I21" s="14">
        <f>'Grades Summary'!AE20</f>
        <v>8</v>
      </c>
      <c r="J21" s="14">
        <f>'Grades Summary'!AF20</f>
        <v>4</v>
      </c>
      <c r="K21" s="14">
        <f>'Grades Summary'!AG20</f>
        <v>311.5</v>
      </c>
      <c r="L21" s="14">
        <f>'Grades Summary'!AH20</f>
        <v>39</v>
      </c>
      <c r="M21" s="14" t="s">
        <v>104</v>
      </c>
      <c r="N21" s="36" t="s">
        <v>174</v>
      </c>
      <c r="O21" s="36" t="s">
        <v>181</v>
      </c>
      <c r="P21" s="36" t="s">
        <v>194</v>
      </c>
      <c r="Q21" s="15" t="str">
        <f>Student!B20</f>
        <v xml:space="preserve">OTU KOFI SOLOMON  </v>
      </c>
    </row>
    <row r="22" spans="2:17" x14ac:dyDescent="0.25">
      <c r="B22" s="14">
        <f>'Grades Summary'!W21</f>
        <v>7</v>
      </c>
      <c r="C22" s="14">
        <f>'Grades Summary'!X21</f>
        <v>7</v>
      </c>
      <c r="D22" s="14">
        <f>'Grades Summary'!Y21</f>
        <v>8</v>
      </c>
      <c r="E22" s="14">
        <f>'Grades Summary'!Z21</f>
        <v>9</v>
      </c>
      <c r="F22" s="14">
        <f>'Grades Summary'!AA21</f>
        <v>8</v>
      </c>
      <c r="G22" s="14">
        <f>'Grades Summary'!AB21</f>
        <v>9</v>
      </c>
      <c r="H22" s="14">
        <f>'Grades Summary'!AD21</f>
        <v>9</v>
      </c>
      <c r="I22" s="14">
        <f>'Grades Summary'!AE21</f>
        <v>9</v>
      </c>
      <c r="J22" s="14">
        <f>'Grades Summary'!AF21</f>
        <v>8</v>
      </c>
      <c r="K22" s="14">
        <f>'Grades Summary'!AG21</f>
        <v>267.5</v>
      </c>
      <c r="L22" s="14">
        <f>'Grades Summary'!AH21</f>
        <v>47</v>
      </c>
      <c r="M22" s="14" t="s">
        <v>104</v>
      </c>
      <c r="N22" s="36" t="s">
        <v>174</v>
      </c>
      <c r="O22" s="36" t="s">
        <v>183</v>
      </c>
      <c r="P22" s="36" t="s">
        <v>194</v>
      </c>
      <c r="Q22" s="15" t="str">
        <f>Student!B21</f>
        <v xml:space="preserve">OWUSU RUBEN </v>
      </c>
    </row>
    <row r="23" spans="2:17" x14ac:dyDescent="0.25">
      <c r="B23" s="14">
        <f>'Grades Summary'!W22</f>
        <v>7</v>
      </c>
      <c r="C23" s="14">
        <f>'Grades Summary'!X22</f>
        <v>7</v>
      </c>
      <c r="D23" s="14">
        <f>'Grades Summary'!Y22</f>
        <v>8</v>
      </c>
      <c r="E23" s="14">
        <f>'Grades Summary'!Z22</f>
        <v>9</v>
      </c>
      <c r="F23" s="14">
        <f>'Grades Summary'!AA22</f>
        <v>8</v>
      </c>
      <c r="G23" s="14">
        <f>'Grades Summary'!AB22</f>
        <v>9</v>
      </c>
      <c r="H23" s="14">
        <f>'Grades Summary'!AD22</f>
        <v>9</v>
      </c>
      <c r="I23" s="14">
        <f>'Grades Summary'!AE22</f>
        <v>9</v>
      </c>
      <c r="J23" s="14">
        <f>'Grades Summary'!AF22</f>
        <v>7</v>
      </c>
      <c r="K23" s="14">
        <f>'Grades Summary'!AG22</f>
        <v>267</v>
      </c>
      <c r="L23" s="14">
        <f>'Grades Summary'!AH22</f>
        <v>46</v>
      </c>
      <c r="M23" s="14" t="s">
        <v>104</v>
      </c>
      <c r="N23" s="36" t="s">
        <v>175</v>
      </c>
      <c r="O23" s="36" t="s">
        <v>181</v>
      </c>
      <c r="P23" s="36" t="s">
        <v>194</v>
      </c>
      <c r="Q23" s="15" t="str">
        <f>Student!B22</f>
        <v xml:space="preserve">SEIDU IBRAHIM </v>
      </c>
    </row>
    <row r="24" spans="2:17" x14ac:dyDescent="0.25">
      <c r="B24" s="14">
        <f>'Grades Summary'!W23</f>
        <v>8</v>
      </c>
      <c r="C24" s="14">
        <f>'Grades Summary'!X23</f>
        <v>8</v>
      </c>
      <c r="D24" s="14">
        <f>'Grades Summary'!Y23</f>
        <v>7</v>
      </c>
      <c r="E24" s="14">
        <f>'Grades Summary'!Z23</f>
        <v>9</v>
      </c>
      <c r="F24" s="14">
        <f>'Grades Summary'!AA23</f>
        <v>8</v>
      </c>
      <c r="G24" s="14">
        <f>'Grades Summary'!AB23</f>
        <v>8</v>
      </c>
      <c r="H24" s="14">
        <f>'Grades Summary'!AD23</f>
        <v>9</v>
      </c>
      <c r="I24" s="14">
        <f>'Grades Summary'!AE23</f>
        <v>8</v>
      </c>
      <c r="J24" s="14">
        <f>'Grades Summary'!AF23</f>
        <v>6</v>
      </c>
      <c r="K24" s="14">
        <f>'Grades Summary'!AG23</f>
        <v>280</v>
      </c>
      <c r="L24" s="14">
        <f>'Grades Summary'!AH23</f>
        <v>46</v>
      </c>
      <c r="M24" s="14" t="s">
        <v>104</v>
      </c>
      <c r="N24" s="36" t="s">
        <v>172</v>
      </c>
      <c r="O24" s="36" t="s">
        <v>187</v>
      </c>
      <c r="P24" s="36" t="s">
        <v>194</v>
      </c>
      <c r="Q24" s="15" t="str">
        <f>Student!B23</f>
        <v xml:space="preserve">TAGBOR MICHAEL </v>
      </c>
    </row>
    <row r="25" spans="2:17" x14ac:dyDescent="0.25">
      <c r="B25" s="14">
        <f>'Grades Summary'!W24</f>
        <v>6</v>
      </c>
      <c r="C25" s="14">
        <f>'Grades Summary'!X24</f>
        <v>7</v>
      </c>
      <c r="D25" s="14">
        <f>'Grades Summary'!Y24</f>
        <v>6</v>
      </c>
      <c r="E25" s="14">
        <f>'Grades Summary'!Z24</f>
        <v>9</v>
      </c>
      <c r="F25" s="14">
        <f>'Grades Summary'!AA24</f>
        <v>5</v>
      </c>
      <c r="G25" s="14">
        <f>'Grades Summary'!AB24</f>
        <v>7</v>
      </c>
      <c r="H25" s="14">
        <f>'Grades Summary'!AD24</f>
        <v>9</v>
      </c>
      <c r="I25" s="14">
        <f>'Grades Summary'!AE24</f>
        <v>7</v>
      </c>
      <c r="J25" s="14">
        <f>'Grades Summary'!AF24</f>
        <v>6</v>
      </c>
      <c r="K25" s="14">
        <f>'Grades Summary'!AG24</f>
        <v>324.5</v>
      </c>
      <c r="L25" s="14">
        <f>'Grades Summary'!AH24</f>
        <v>39</v>
      </c>
      <c r="M25" s="14" t="s">
        <v>104</v>
      </c>
      <c r="N25" s="36" t="s">
        <v>171</v>
      </c>
      <c r="O25" s="36" t="s">
        <v>187</v>
      </c>
      <c r="P25" s="36" t="s">
        <v>197</v>
      </c>
      <c r="Q25" s="15" t="str">
        <f>Student!B24</f>
        <v xml:space="preserve">ACQUAH PRISCILLA  </v>
      </c>
    </row>
    <row r="26" spans="2:17" x14ac:dyDescent="0.25">
      <c r="B26" s="14">
        <f>'Grades Summary'!W25</f>
        <v>7</v>
      </c>
      <c r="C26" s="14">
        <f>'Grades Summary'!X25</f>
        <v>7</v>
      </c>
      <c r="D26" s="14">
        <f>'Grades Summary'!Y25</f>
        <v>8</v>
      </c>
      <c r="E26" s="14">
        <f>'Grades Summary'!Z25</f>
        <v>7</v>
      </c>
      <c r="F26" s="14">
        <f>'Grades Summary'!AA25</f>
        <v>5</v>
      </c>
      <c r="G26" s="14">
        <f>'Grades Summary'!AB25</f>
        <v>8</v>
      </c>
      <c r="H26" s="14">
        <f>'Grades Summary'!AD25</f>
        <v>8</v>
      </c>
      <c r="I26" s="14">
        <f>'Grades Summary'!AE25</f>
        <v>9</v>
      </c>
      <c r="J26" s="14">
        <f>'Grades Summary'!AF25</f>
        <v>6</v>
      </c>
      <c r="K26" s="14">
        <f>'Grades Summary'!AG25</f>
        <v>332.5</v>
      </c>
      <c r="L26" s="14">
        <f>'Grades Summary'!AH25</f>
        <v>38</v>
      </c>
      <c r="M26" s="14" t="s">
        <v>104</v>
      </c>
      <c r="N26" s="36" t="s">
        <v>174</v>
      </c>
      <c r="O26" s="36" t="s">
        <v>185</v>
      </c>
      <c r="P26" s="36" t="s">
        <v>199</v>
      </c>
      <c r="Q26" s="15" t="str">
        <f>Student!B25</f>
        <v xml:space="preserve">ADI ROSE  </v>
      </c>
    </row>
    <row r="27" spans="2:17" x14ac:dyDescent="0.25">
      <c r="B27" s="14">
        <f>'Grades Summary'!W26</f>
        <v>8</v>
      </c>
      <c r="C27" s="14">
        <f>'Grades Summary'!X26</f>
        <v>8</v>
      </c>
      <c r="D27" s="14">
        <f>'Grades Summary'!Y26</f>
        <v>7</v>
      </c>
      <c r="E27" s="14">
        <f>'Grades Summary'!Z26</f>
        <v>6</v>
      </c>
      <c r="F27" s="14">
        <f>'Grades Summary'!AA26</f>
        <v>5</v>
      </c>
      <c r="G27" s="14">
        <f>'Grades Summary'!AB26</f>
        <v>8</v>
      </c>
      <c r="H27" s="14">
        <f>'Grades Summary'!AD26</f>
        <v>9</v>
      </c>
      <c r="I27" s="14">
        <f>'Grades Summary'!AE26</f>
        <v>8</v>
      </c>
      <c r="J27" s="14">
        <f>'Grades Summary'!AF26</f>
        <v>5</v>
      </c>
      <c r="K27" s="14">
        <f>'Grades Summary'!AG26</f>
        <v>326.5</v>
      </c>
      <c r="L27" s="14">
        <f>'Grades Summary'!AH26</f>
        <v>39</v>
      </c>
      <c r="M27" s="14" t="s">
        <v>104</v>
      </c>
      <c r="N27" s="36" t="s">
        <v>176</v>
      </c>
      <c r="O27" s="36" t="s">
        <v>183</v>
      </c>
      <c r="P27" s="36" t="s">
        <v>20</v>
      </c>
      <c r="Q27" s="15" t="str">
        <f>Student!B26</f>
        <v xml:space="preserve">ADOMAKO PRISCILLA  </v>
      </c>
    </row>
    <row r="28" spans="2:17" x14ac:dyDescent="0.25">
      <c r="B28" s="14">
        <f>'Grades Summary'!W27</f>
        <v>6</v>
      </c>
      <c r="C28" s="14">
        <f>'Grades Summary'!X27</f>
        <v>6</v>
      </c>
      <c r="D28" s="14">
        <f>'Grades Summary'!Y27</f>
        <v>8</v>
      </c>
      <c r="E28" s="14">
        <f>'Grades Summary'!Z27</f>
        <v>8</v>
      </c>
      <c r="F28" s="14">
        <f>'Grades Summary'!AA27</f>
        <v>8</v>
      </c>
      <c r="G28" s="14">
        <f>'Grades Summary'!AB27</f>
        <v>8</v>
      </c>
      <c r="H28" s="14">
        <f>'Grades Summary'!AD27</f>
        <v>6</v>
      </c>
      <c r="I28" s="14">
        <f>'Grades Summary'!AE27</f>
        <v>7</v>
      </c>
      <c r="J28" s="14">
        <f>'Grades Summary'!AF27</f>
        <v>6</v>
      </c>
      <c r="K28" s="14">
        <f>'Grades Summary'!AG27</f>
        <v>327</v>
      </c>
      <c r="L28" s="14">
        <f>'Grades Summary'!AH27</f>
        <v>40</v>
      </c>
      <c r="M28" s="14" t="s">
        <v>104</v>
      </c>
      <c r="N28" s="36" t="s">
        <v>171</v>
      </c>
      <c r="O28" s="36" t="s">
        <v>183</v>
      </c>
      <c r="P28" s="36" t="s">
        <v>199</v>
      </c>
      <c r="Q28" s="15" t="str">
        <f>Student!B27</f>
        <v xml:space="preserve">AGBEMAZI PRECIOUS  </v>
      </c>
    </row>
    <row r="29" spans="2:17" x14ac:dyDescent="0.25">
      <c r="B29" s="14">
        <f>'Grades Summary'!W28</f>
        <v>8</v>
      </c>
      <c r="C29" s="14">
        <f>'Grades Summary'!X28</f>
        <v>8</v>
      </c>
      <c r="D29" s="14">
        <f>'Grades Summary'!Y28</f>
        <v>6</v>
      </c>
      <c r="E29" s="14">
        <f>'Grades Summary'!Z28</f>
        <v>9</v>
      </c>
      <c r="F29" s="14">
        <f>'Grades Summary'!AA28</f>
        <v>8</v>
      </c>
      <c r="G29" s="14">
        <f>'Grades Summary'!AB28</f>
        <v>9</v>
      </c>
      <c r="H29" s="14">
        <f>'Grades Summary'!AD28</f>
        <v>8</v>
      </c>
      <c r="I29" s="14">
        <f>'Grades Summary'!AE28</f>
        <v>9</v>
      </c>
      <c r="J29" s="14">
        <f>'Grades Summary'!AF28</f>
        <v>5</v>
      </c>
      <c r="K29" s="14">
        <f>'Grades Summary'!AG28</f>
        <v>292</v>
      </c>
      <c r="L29" s="14">
        <f>'Grades Summary'!AH28</f>
        <v>44</v>
      </c>
      <c r="M29" s="14" t="s">
        <v>104</v>
      </c>
      <c r="N29" s="36" t="s">
        <v>170</v>
      </c>
      <c r="O29" s="36" t="s">
        <v>182</v>
      </c>
      <c r="P29" s="36" t="s">
        <v>20</v>
      </c>
      <c r="Q29" s="15" t="str">
        <f>Student!B28</f>
        <v xml:space="preserve">AGBENYEFIA BRIDGET </v>
      </c>
    </row>
    <row r="30" spans="2:17" x14ac:dyDescent="0.25">
      <c r="B30" s="14">
        <f>'Grades Summary'!W29</f>
        <v>7</v>
      </c>
      <c r="C30" s="14">
        <f>'Grades Summary'!X29</f>
        <v>7</v>
      </c>
      <c r="D30" s="14">
        <f>'Grades Summary'!Y29</f>
        <v>8</v>
      </c>
      <c r="E30" s="14">
        <f>'Grades Summary'!Z29</f>
        <v>9</v>
      </c>
      <c r="F30" s="14">
        <f>'Grades Summary'!AA29</f>
        <v>8</v>
      </c>
      <c r="G30" s="14">
        <f>'Grades Summary'!AB29</f>
        <v>9</v>
      </c>
      <c r="H30" s="14">
        <f>'Grades Summary'!AD29</f>
        <v>8</v>
      </c>
      <c r="I30" s="14">
        <f>'Grades Summary'!AE29</f>
        <v>9</v>
      </c>
      <c r="J30" s="14">
        <f>'Grades Summary'!AF29</f>
        <v>8</v>
      </c>
      <c r="K30" s="14">
        <f>'Grades Summary'!AG29</f>
        <v>270.5</v>
      </c>
      <c r="L30" s="14">
        <f>'Grades Summary'!AH29</f>
        <v>47</v>
      </c>
      <c r="M30" s="14" t="s">
        <v>104</v>
      </c>
      <c r="N30" s="36" t="s">
        <v>173</v>
      </c>
      <c r="O30" s="36" t="s">
        <v>182</v>
      </c>
      <c r="P30" s="36" t="s">
        <v>17</v>
      </c>
      <c r="Q30" s="15" t="str">
        <f>Student!B29</f>
        <v xml:space="preserve">AKATAYURE REGINA  </v>
      </c>
    </row>
    <row r="31" spans="2:17" x14ac:dyDescent="0.25">
      <c r="B31" s="14">
        <f>'Grades Summary'!W30</f>
        <v>8</v>
      </c>
      <c r="C31" s="14">
        <f>'Grades Summary'!X30</f>
        <v>6</v>
      </c>
      <c r="D31" s="14">
        <f>'Grades Summary'!Y30</f>
        <v>7</v>
      </c>
      <c r="E31" s="14">
        <f>'Grades Summary'!Z30</f>
        <v>9</v>
      </c>
      <c r="F31" s="14">
        <f>'Grades Summary'!AA30</f>
        <v>8</v>
      </c>
      <c r="G31" s="14">
        <f>'Grades Summary'!AB30</f>
        <v>9</v>
      </c>
      <c r="H31" s="14">
        <f>'Grades Summary'!AD30</f>
        <v>8</v>
      </c>
      <c r="I31" s="14">
        <f>'Grades Summary'!AE30</f>
        <v>8</v>
      </c>
      <c r="J31" s="14">
        <f>'Grades Summary'!AF30</f>
        <v>8</v>
      </c>
      <c r="K31" s="14">
        <f>'Grades Summary'!AG30</f>
        <v>278</v>
      </c>
      <c r="L31" s="14">
        <f>'Grades Summary'!AH30</f>
        <v>46</v>
      </c>
      <c r="M31" s="14" t="s">
        <v>104</v>
      </c>
      <c r="N31" s="36" t="s">
        <v>177</v>
      </c>
      <c r="O31" s="36" t="s">
        <v>184</v>
      </c>
      <c r="P31" s="36" t="s">
        <v>20</v>
      </c>
      <c r="Q31" s="15" t="str">
        <f>Student!B30</f>
        <v>AKROFI DORCAS</v>
      </c>
    </row>
    <row r="32" spans="2:17" x14ac:dyDescent="0.25">
      <c r="B32" s="14">
        <f>'Grades Summary'!W31</f>
        <v>4</v>
      </c>
      <c r="C32" s="14">
        <f>'Grades Summary'!X31</f>
        <v>4</v>
      </c>
      <c r="D32" s="14">
        <f>'Grades Summary'!Y31</f>
        <v>4</v>
      </c>
      <c r="E32" s="14">
        <f>'Grades Summary'!Z31</f>
        <v>7</v>
      </c>
      <c r="F32" s="14">
        <f>'Grades Summary'!AA31</f>
        <v>6</v>
      </c>
      <c r="G32" s="14">
        <f>'Grades Summary'!AB31</f>
        <v>8</v>
      </c>
      <c r="H32" s="14">
        <f>'Grades Summary'!AD31</f>
        <v>9</v>
      </c>
      <c r="I32" s="14">
        <f>'Grades Summary'!AE31</f>
        <v>8</v>
      </c>
      <c r="J32" s="14">
        <f>'Grades Summary'!AF31</f>
        <v>7</v>
      </c>
      <c r="K32" s="14">
        <f>'Grades Summary'!AG31</f>
        <v>371</v>
      </c>
      <c r="L32" s="14">
        <f>'Grades Summary'!AH31</f>
        <v>32</v>
      </c>
      <c r="M32" s="14" t="s">
        <v>104</v>
      </c>
      <c r="N32" s="36" t="s">
        <v>172</v>
      </c>
      <c r="O32" s="36" t="s">
        <v>184</v>
      </c>
      <c r="P32" s="36" t="s">
        <v>20</v>
      </c>
      <c r="Q32" s="15" t="str">
        <f>Student!B31</f>
        <v xml:space="preserve">AMOAH SAFOA </v>
      </c>
    </row>
    <row r="33" spans="2:17" x14ac:dyDescent="0.25">
      <c r="B33" s="14">
        <f>'Grades Summary'!W32</f>
        <v>6</v>
      </c>
      <c r="C33" s="14">
        <f>'Grades Summary'!X32</f>
        <v>7</v>
      </c>
      <c r="D33" s="14">
        <f>'Grades Summary'!Y32</f>
        <v>4</v>
      </c>
      <c r="E33" s="14">
        <f>'Grades Summary'!Z32</f>
        <v>9</v>
      </c>
      <c r="F33" s="14">
        <f>'Grades Summary'!AA32</f>
        <v>5</v>
      </c>
      <c r="G33" s="14">
        <f>'Grades Summary'!AB32</f>
        <v>8</v>
      </c>
      <c r="H33" s="14">
        <f>'Grades Summary'!AD32</f>
        <v>9</v>
      </c>
      <c r="I33" s="14">
        <f>'Grades Summary'!AE32</f>
        <v>8</v>
      </c>
      <c r="J33" s="14">
        <f>'Grades Summary'!AF32</f>
        <v>5</v>
      </c>
      <c r="K33" s="14">
        <f>'Grades Summary'!AG32</f>
        <v>334.5</v>
      </c>
      <c r="L33" s="14">
        <f>'Grades Summary'!AH32</f>
        <v>36</v>
      </c>
      <c r="M33" s="14" t="s">
        <v>104</v>
      </c>
      <c r="N33" s="36" t="s">
        <v>177</v>
      </c>
      <c r="O33" s="36" t="s">
        <v>184</v>
      </c>
      <c r="P33" s="36" t="s">
        <v>20</v>
      </c>
      <c r="Q33" s="15" t="str">
        <f>Student!B32</f>
        <v>ANIM AMOAH NHYIRABA</v>
      </c>
    </row>
    <row r="34" spans="2:17" x14ac:dyDescent="0.25">
      <c r="B34" s="14">
        <f>'Grades Summary'!W33</f>
        <v>4</v>
      </c>
      <c r="C34" s="14">
        <f>'Grades Summary'!X33</f>
        <v>5</v>
      </c>
      <c r="D34" s="14">
        <f>'Grades Summary'!Y33</f>
        <v>3</v>
      </c>
      <c r="E34" s="14">
        <f>'Grades Summary'!Z33</f>
        <v>7</v>
      </c>
      <c r="F34" s="14">
        <f>'Grades Summary'!AA33</f>
        <v>5</v>
      </c>
      <c r="G34" s="14">
        <f>'Grades Summary'!AB33</f>
        <v>8</v>
      </c>
      <c r="H34" s="14">
        <f>'Grades Summary'!AD33</f>
        <v>6</v>
      </c>
      <c r="I34" s="14">
        <f>'Grades Summary'!AE33</f>
        <v>8</v>
      </c>
      <c r="J34" s="14">
        <f>'Grades Summary'!AF33</f>
        <v>6</v>
      </c>
      <c r="K34" s="14">
        <f>'Grades Summary'!AG33</f>
        <v>368.5</v>
      </c>
      <c r="L34" s="14">
        <f>'Grades Summary'!AH33</f>
        <v>30</v>
      </c>
      <c r="M34" s="14" t="s">
        <v>104</v>
      </c>
      <c r="N34" s="36" t="s">
        <v>173</v>
      </c>
      <c r="O34" s="36" t="s">
        <v>184</v>
      </c>
      <c r="P34" s="36" t="s">
        <v>197</v>
      </c>
      <c r="Q34" s="15" t="str">
        <f>Student!B33</f>
        <v xml:space="preserve">APPIAH GLADYS  </v>
      </c>
    </row>
    <row r="35" spans="2:17" x14ac:dyDescent="0.25">
      <c r="B35" s="14">
        <f>'Grades Summary'!W34</f>
        <v>5</v>
      </c>
      <c r="C35" s="14">
        <f>'Grades Summary'!X34</f>
        <v>5</v>
      </c>
      <c r="D35" s="14">
        <f>'Grades Summary'!Y34</f>
        <v>8</v>
      </c>
      <c r="E35" s="14">
        <f>'Grades Summary'!Z34</f>
        <v>8</v>
      </c>
      <c r="F35" s="14">
        <f>'Grades Summary'!AA34</f>
        <v>8</v>
      </c>
      <c r="G35" s="14">
        <f>'Grades Summary'!AB34</f>
        <v>8</v>
      </c>
      <c r="H35" s="14">
        <f>'Grades Summary'!AD34</f>
        <v>9</v>
      </c>
      <c r="I35" s="14">
        <f>'Grades Summary'!AE34</f>
        <v>9</v>
      </c>
      <c r="J35" s="14">
        <f>'Grades Summary'!AF34</f>
        <v>7</v>
      </c>
      <c r="K35" s="14">
        <f>'Grades Summary'!AG34</f>
        <v>307.5</v>
      </c>
      <c r="L35" s="14">
        <f>'Grades Summary'!AH34</f>
        <v>41</v>
      </c>
      <c r="M35" s="14" t="s">
        <v>104</v>
      </c>
      <c r="N35" s="36" t="s">
        <v>176</v>
      </c>
      <c r="O35" s="36" t="s">
        <v>184</v>
      </c>
      <c r="P35" s="36" t="s">
        <v>197</v>
      </c>
      <c r="Q35" s="15" t="str">
        <f>Student!B34</f>
        <v xml:space="preserve">ASAMOAH STELLA  </v>
      </c>
    </row>
    <row r="36" spans="2:17" x14ac:dyDescent="0.25">
      <c r="B36" s="14">
        <f>'Grades Summary'!W35</f>
        <v>7</v>
      </c>
      <c r="C36" s="14">
        <f>'Grades Summary'!X35</f>
        <v>6</v>
      </c>
      <c r="D36" s="14">
        <f>'Grades Summary'!Y35</f>
        <v>6</v>
      </c>
      <c r="E36" s="14">
        <f>'Grades Summary'!Z35</f>
        <v>7</v>
      </c>
      <c r="F36" s="14">
        <f>'Grades Summary'!AA35</f>
        <v>8</v>
      </c>
      <c r="G36" s="14">
        <f>'Grades Summary'!AB35</f>
        <v>9</v>
      </c>
      <c r="H36" s="14">
        <f>'Grades Summary'!AD35</f>
        <v>9</v>
      </c>
      <c r="I36" s="14">
        <f>'Grades Summary'!AE35</f>
        <v>8</v>
      </c>
      <c r="J36" s="14">
        <f>'Grades Summary'!AF35</f>
        <v>8</v>
      </c>
      <c r="K36" s="14">
        <f>'Grades Summary'!AG35</f>
        <v>311</v>
      </c>
      <c r="L36" s="14">
        <f>'Grades Summary'!AH35</f>
        <v>42</v>
      </c>
      <c r="M36" s="14" t="s">
        <v>104</v>
      </c>
      <c r="N36" s="36" t="s">
        <v>173</v>
      </c>
      <c r="O36" s="36" t="s">
        <v>184</v>
      </c>
      <c r="P36" s="36" t="s">
        <v>20</v>
      </c>
      <c r="Q36" s="15" t="str">
        <f>Student!B35</f>
        <v xml:space="preserve">ASHANGBOR ABIGAIL  </v>
      </c>
    </row>
    <row r="37" spans="2:17" x14ac:dyDescent="0.25">
      <c r="B37" s="14">
        <f>'Grades Summary'!W36</f>
        <v>4</v>
      </c>
      <c r="C37" s="14">
        <f>'Grades Summary'!X36</f>
        <v>5</v>
      </c>
      <c r="D37" s="14">
        <f>'Grades Summary'!Y36</f>
        <v>7</v>
      </c>
      <c r="E37" s="14">
        <f>'Grades Summary'!Z36</f>
        <v>9</v>
      </c>
      <c r="F37" s="14">
        <f>'Grades Summary'!AA36</f>
        <v>8</v>
      </c>
      <c r="G37" s="14">
        <f>'Grades Summary'!AB36</f>
        <v>9</v>
      </c>
      <c r="H37" s="14">
        <f>'Grades Summary'!AD36</f>
        <v>9</v>
      </c>
      <c r="I37" s="14">
        <f>'Grades Summary'!AE36</f>
        <v>8</v>
      </c>
      <c r="J37" s="14">
        <f>'Grades Summary'!AF36</f>
        <v>8</v>
      </c>
      <c r="K37" s="14">
        <f>'Grades Summary'!AG36</f>
        <v>296.5</v>
      </c>
      <c r="L37" s="14">
        <f>'Grades Summary'!AH36</f>
        <v>41</v>
      </c>
      <c r="M37" s="14" t="s">
        <v>104</v>
      </c>
      <c r="N37" s="36" t="s">
        <v>170</v>
      </c>
      <c r="O37" s="36" t="s">
        <v>184</v>
      </c>
      <c r="P37" s="36" t="s">
        <v>20</v>
      </c>
      <c r="Q37" s="15" t="str">
        <f>Student!B36</f>
        <v xml:space="preserve">ASIGBEY JOYCE  </v>
      </c>
    </row>
    <row r="38" spans="2:17" x14ac:dyDescent="0.25">
      <c r="B38" s="14">
        <f>'Grades Summary'!W37</f>
        <v>3</v>
      </c>
      <c r="C38" s="14">
        <f>'Grades Summary'!X37</f>
        <v>4</v>
      </c>
      <c r="D38" s="14">
        <f>'Grades Summary'!Y37</f>
        <v>3</v>
      </c>
      <c r="E38" s="14">
        <f>'Grades Summary'!Z37</f>
        <v>3</v>
      </c>
      <c r="F38" s="14">
        <f>'Grades Summary'!AA37</f>
        <v>4</v>
      </c>
      <c r="G38" s="14">
        <f>'Grades Summary'!AB37</f>
        <v>8</v>
      </c>
      <c r="H38" s="14">
        <f>'Grades Summary'!AD37</f>
        <v>6</v>
      </c>
      <c r="I38" s="14">
        <f>'Grades Summary'!AE37</f>
        <v>7</v>
      </c>
      <c r="J38" s="14">
        <f>'Grades Summary'!AF37</f>
        <v>3</v>
      </c>
      <c r="K38" s="14">
        <f>'Grades Summary'!AG37</f>
        <v>429</v>
      </c>
      <c r="L38" s="14">
        <f>'Grades Summary'!AH37</f>
        <v>20</v>
      </c>
      <c r="M38" s="14" t="s">
        <v>104</v>
      </c>
      <c r="N38" s="36" t="s">
        <v>178</v>
      </c>
      <c r="O38" s="36" t="s">
        <v>184</v>
      </c>
      <c r="P38" s="36" t="s">
        <v>20</v>
      </c>
      <c r="Q38" s="15" t="str">
        <f>Student!B37</f>
        <v xml:space="preserve">ATTIPOE EUNICE </v>
      </c>
    </row>
    <row r="39" spans="2:17" x14ac:dyDescent="0.25">
      <c r="B39" s="14">
        <f>'Grades Summary'!W38</f>
        <v>7</v>
      </c>
      <c r="C39" s="14">
        <f>'Grades Summary'!X38</f>
        <v>8</v>
      </c>
      <c r="D39" s="14">
        <f>'Grades Summary'!Y38</f>
        <v>9</v>
      </c>
      <c r="E39" s="14">
        <f>'Grades Summary'!Z38</f>
        <v>9</v>
      </c>
      <c r="F39" s="14">
        <f>'Grades Summary'!AA38</f>
        <v>8</v>
      </c>
      <c r="G39" s="14">
        <f>'Grades Summary'!AB38</f>
        <v>9</v>
      </c>
      <c r="H39" s="14">
        <f>'Grades Summary'!AD38</f>
        <v>9</v>
      </c>
      <c r="I39" s="14">
        <f>'Grades Summary'!AE38</f>
        <v>9</v>
      </c>
      <c r="J39" s="14">
        <f>'Grades Summary'!AF38</f>
        <v>9</v>
      </c>
      <c r="K39" s="14">
        <f>'Grades Summary'!AG38</f>
        <v>264</v>
      </c>
      <c r="L39" s="14">
        <f>'Grades Summary'!AH38</f>
        <v>48</v>
      </c>
      <c r="M39" s="14" t="s">
        <v>104</v>
      </c>
      <c r="N39" s="36" t="s">
        <v>176</v>
      </c>
      <c r="O39" s="36" t="s">
        <v>184</v>
      </c>
      <c r="P39" s="36" t="s">
        <v>20</v>
      </c>
      <c r="Q39" s="15" t="str">
        <f>Student!B38</f>
        <v xml:space="preserve">BAAH COMFORT  </v>
      </c>
    </row>
    <row r="40" spans="2:17" x14ac:dyDescent="0.25">
      <c r="B40" s="14">
        <f>'Grades Summary'!W39</f>
        <v>6</v>
      </c>
      <c r="C40" s="14">
        <f>'Grades Summary'!X39</f>
        <v>6</v>
      </c>
      <c r="D40" s="14">
        <f>'Grades Summary'!Y39</f>
        <v>4</v>
      </c>
      <c r="E40" s="14">
        <f>'Grades Summary'!Z39</f>
        <v>8</v>
      </c>
      <c r="F40" s="14">
        <f>'Grades Summary'!AA39</f>
        <v>5</v>
      </c>
      <c r="G40" s="14">
        <f>'Grades Summary'!AB39</f>
        <v>9</v>
      </c>
      <c r="H40" s="14">
        <f>'Grades Summary'!AD39</f>
        <v>9</v>
      </c>
      <c r="I40" s="14">
        <f>'Grades Summary'!AE39</f>
        <v>9</v>
      </c>
      <c r="J40" s="14">
        <f>'Grades Summary'!AF39</f>
        <v>6</v>
      </c>
      <c r="K40" s="14">
        <f>'Grades Summary'!AG39</f>
        <v>354</v>
      </c>
      <c r="L40" s="14">
        <f>'Grades Summary'!AH39</f>
        <v>35</v>
      </c>
      <c r="M40" s="14" t="s">
        <v>104</v>
      </c>
      <c r="N40" s="36" t="s">
        <v>177</v>
      </c>
      <c r="O40" s="36" t="s">
        <v>184</v>
      </c>
      <c r="P40" s="36" t="s">
        <v>20</v>
      </c>
      <c r="Q40" s="15" t="str">
        <f>Student!B39</f>
        <v xml:space="preserve">BOATENG AGNES  </v>
      </c>
    </row>
    <row r="41" spans="2:17" x14ac:dyDescent="0.25">
      <c r="B41" s="14" t="str">
        <f>'Grades Summary'!W40</f>
        <v>--</v>
      </c>
      <c r="C41" s="14" t="str">
        <f>'Grades Summary'!X40</f>
        <v>--</v>
      </c>
      <c r="D41" s="14" t="str">
        <f>'Grades Summary'!Y40</f>
        <v>--</v>
      </c>
      <c r="E41" s="14" t="str">
        <f>'Grades Summary'!Z40</f>
        <v>--</v>
      </c>
      <c r="F41" s="14" t="str">
        <f>'Grades Summary'!AA40</f>
        <v>--</v>
      </c>
      <c r="G41" s="14" t="str">
        <f>'Grades Summary'!AB40</f>
        <v>--</v>
      </c>
      <c r="H41" s="14" t="str">
        <f>'Grades Summary'!AD40</f>
        <v>--</v>
      </c>
      <c r="I41" s="14" t="str">
        <f>'Grades Summary'!AE40</f>
        <v>--</v>
      </c>
      <c r="J41" s="14">
        <f>'Grades Summary'!AF40</f>
        <v>9</v>
      </c>
      <c r="K41" s="14">
        <f>'Grades Summary'!AG40</f>
        <v>10</v>
      </c>
      <c r="L41" s="14" t="e">
        <f>'Grades Summary'!AH40</f>
        <v>#NUM!</v>
      </c>
      <c r="M41" s="14" t="s">
        <v>104</v>
      </c>
      <c r="N41" s="36" t="s">
        <v>176</v>
      </c>
      <c r="O41" s="36" t="s">
        <v>184</v>
      </c>
      <c r="P41" s="36" t="s">
        <v>197</v>
      </c>
      <c r="Q41" s="15" t="str">
        <f>Student!B40</f>
        <v xml:space="preserve">BONNEY CHARITY  </v>
      </c>
    </row>
    <row r="42" spans="2:17" x14ac:dyDescent="0.25">
      <c r="B42" s="14">
        <f>'Grades Summary'!W41</f>
        <v>4</v>
      </c>
      <c r="C42" s="14">
        <f>'Grades Summary'!X41</f>
        <v>4</v>
      </c>
      <c r="D42" s="14">
        <f>'Grades Summary'!Y41</f>
        <v>3</v>
      </c>
      <c r="E42" s="14">
        <f>'Grades Summary'!Z41</f>
        <v>7</v>
      </c>
      <c r="F42" s="14">
        <f>'Grades Summary'!AA41</f>
        <v>3</v>
      </c>
      <c r="G42" s="14">
        <f>'Grades Summary'!AB41</f>
        <v>8</v>
      </c>
      <c r="H42" s="14">
        <f>'Grades Summary'!AD41</f>
        <v>5</v>
      </c>
      <c r="I42" s="14">
        <f>'Grades Summary'!AE41</f>
        <v>8</v>
      </c>
      <c r="J42" s="14">
        <f>'Grades Summary'!AF41</f>
        <v>4</v>
      </c>
      <c r="K42" s="14">
        <f>'Grades Summary'!AG41</f>
        <v>403</v>
      </c>
      <c r="L42" s="14">
        <f>'Grades Summary'!AH41</f>
        <v>25</v>
      </c>
      <c r="M42" s="14" t="s">
        <v>104</v>
      </c>
      <c r="N42" s="36" t="s">
        <v>173</v>
      </c>
      <c r="O42" s="36" t="s">
        <v>184</v>
      </c>
      <c r="P42" s="36" t="s">
        <v>20</v>
      </c>
      <c r="Q42" s="15" t="str">
        <f>Student!B41</f>
        <v xml:space="preserve">DIXON HARRIET  </v>
      </c>
    </row>
    <row r="43" spans="2:17" x14ac:dyDescent="0.25">
      <c r="B43" s="14">
        <f>'Grades Summary'!W42</f>
        <v>6</v>
      </c>
      <c r="C43" s="14">
        <f>'Grades Summary'!X42</f>
        <v>8</v>
      </c>
      <c r="D43" s="14">
        <f>'Grades Summary'!Y42</f>
        <v>7</v>
      </c>
      <c r="E43" s="14">
        <f>'Grades Summary'!Z42</f>
        <v>9</v>
      </c>
      <c r="F43" s="14">
        <f>'Grades Summary'!AA42</f>
        <v>7</v>
      </c>
      <c r="G43" s="14">
        <f>'Grades Summary'!AB42</f>
        <v>9</v>
      </c>
      <c r="H43" s="14">
        <f>'Grades Summary'!AD42</f>
        <v>9</v>
      </c>
      <c r="I43" s="14">
        <f>'Grades Summary'!AE42</f>
        <v>9</v>
      </c>
      <c r="J43" s="14">
        <f>'Grades Summary'!AF42</f>
        <v>8</v>
      </c>
      <c r="K43" s="14">
        <f>'Grades Summary'!AG42</f>
        <v>284</v>
      </c>
      <c r="L43" s="14">
        <f>'Grades Summary'!AH42</f>
        <v>45</v>
      </c>
      <c r="M43" s="14" t="s">
        <v>104</v>
      </c>
      <c r="N43" s="36" t="s">
        <v>170</v>
      </c>
      <c r="O43" s="36" t="s">
        <v>184</v>
      </c>
      <c r="P43" s="36" t="s">
        <v>199</v>
      </c>
      <c r="Q43" s="15" t="str">
        <f>Student!B42</f>
        <v xml:space="preserve">DJABA BELINDA  </v>
      </c>
    </row>
    <row r="44" spans="2:17" x14ac:dyDescent="0.25">
      <c r="B44" s="14">
        <f>'Grades Summary'!W43</f>
        <v>5</v>
      </c>
      <c r="C44" s="14">
        <f>'Grades Summary'!X43</f>
        <v>6</v>
      </c>
      <c r="D44" s="14">
        <f>'Grades Summary'!Y43</f>
        <v>7</v>
      </c>
      <c r="E44" s="14">
        <f>'Grades Summary'!Z43</f>
        <v>8</v>
      </c>
      <c r="F44" s="14">
        <f>'Grades Summary'!AA43</f>
        <v>7</v>
      </c>
      <c r="G44" s="14">
        <f>'Grades Summary'!AB43</f>
        <v>9</v>
      </c>
      <c r="H44" s="14">
        <f>'Grades Summary'!AD43</f>
        <v>9</v>
      </c>
      <c r="I44" s="14">
        <f>'Grades Summary'!AE43</f>
        <v>8</v>
      </c>
      <c r="J44" s="14">
        <f>'Grades Summary'!AF43</f>
        <v>6</v>
      </c>
      <c r="K44" s="14">
        <f>'Grades Summary'!AG43</f>
        <v>324</v>
      </c>
      <c r="L44" s="14">
        <f>'Grades Summary'!AH43</f>
        <v>39</v>
      </c>
      <c r="M44" s="14" t="s">
        <v>104</v>
      </c>
      <c r="N44" s="36" t="s">
        <v>174</v>
      </c>
      <c r="O44" s="36" t="s">
        <v>184</v>
      </c>
      <c r="P44" s="36" t="s">
        <v>199</v>
      </c>
      <c r="Q44" s="15" t="str">
        <f>Student!B43</f>
        <v xml:space="preserve">ESSEL EMMANUELLA  </v>
      </c>
    </row>
    <row r="45" spans="2:17" x14ac:dyDescent="0.25">
      <c r="B45" s="14">
        <f>'Grades Summary'!W44</f>
        <v>3</v>
      </c>
      <c r="C45" s="14">
        <f>'Grades Summary'!X44</f>
        <v>4</v>
      </c>
      <c r="D45" s="14">
        <f>'Grades Summary'!Y44</f>
        <v>3</v>
      </c>
      <c r="E45" s="14">
        <f>'Grades Summary'!Z44</f>
        <v>6</v>
      </c>
      <c r="F45" s="14">
        <f>'Grades Summary'!AA44</f>
        <v>2</v>
      </c>
      <c r="G45" s="14">
        <f>'Grades Summary'!AB44</f>
        <v>8</v>
      </c>
      <c r="H45" s="14">
        <f>'Grades Summary'!AD44</f>
        <v>6</v>
      </c>
      <c r="I45" s="14">
        <f>'Grades Summary'!AE44</f>
        <v>3</v>
      </c>
      <c r="J45" s="14">
        <f>'Grades Summary'!AF44</f>
        <v>2</v>
      </c>
      <c r="K45" s="14">
        <f>'Grades Summary'!AG44</f>
        <v>436</v>
      </c>
      <c r="L45" s="14">
        <f>'Grades Summary'!AH44</f>
        <v>20</v>
      </c>
      <c r="M45" s="14" t="s">
        <v>104</v>
      </c>
      <c r="N45" s="36" t="s">
        <v>176</v>
      </c>
      <c r="O45" s="36" t="s">
        <v>184</v>
      </c>
      <c r="P45" s="36" t="s">
        <v>199</v>
      </c>
      <c r="Q45" s="15" t="str">
        <f>Student!B44</f>
        <v xml:space="preserve">GAMAH ANGELA  </v>
      </c>
    </row>
    <row r="46" spans="2:17" x14ac:dyDescent="0.25">
      <c r="B46" s="14">
        <f>'Grades Summary'!W45</f>
        <v>4</v>
      </c>
      <c r="C46" s="14">
        <f>'Grades Summary'!X45</f>
        <v>4</v>
      </c>
      <c r="D46" s="14">
        <f>'Grades Summary'!Y45</f>
        <v>6</v>
      </c>
      <c r="E46" s="14">
        <f>'Grades Summary'!Z45</f>
        <v>9</v>
      </c>
      <c r="F46" s="14">
        <f>'Grades Summary'!AA45</f>
        <v>8</v>
      </c>
      <c r="G46" s="14">
        <f>'Grades Summary'!AB45</f>
        <v>9</v>
      </c>
      <c r="H46" s="14">
        <f>'Grades Summary'!AD45</f>
        <v>6</v>
      </c>
      <c r="I46" s="14">
        <f>'Grades Summary'!AE45</f>
        <v>6</v>
      </c>
      <c r="J46" s="14">
        <f>'Grades Summary'!AF45</f>
        <v>7</v>
      </c>
      <c r="K46" s="14">
        <f>'Grades Summary'!AG45</f>
        <v>326</v>
      </c>
      <c r="L46" s="14">
        <f>'Grades Summary'!AH45</f>
        <v>37</v>
      </c>
      <c r="M46" s="14" t="s">
        <v>104</v>
      </c>
      <c r="N46" s="36" t="s">
        <v>177</v>
      </c>
      <c r="O46" s="36" t="s">
        <v>184</v>
      </c>
      <c r="P46" s="36" t="s">
        <v>199</v>
      </c>
      <c r="Q46" s="15" t="str">
        <f>Student!B45</f>
        <v xml:space="preserve">GAMOR ESTHER  </v>
      </c>
    </row>
    <row r="47" spans="2:17" x14ac:dyDescent="0.25">
      <c r="B47" s="14">
        <f>'Grades Summary'!W46</f>
        <v>6</v>
      </c>
      <c r="C47" s="14">
        <f>'Grades Summary'!X46</f>
        <v>6</v>
      </c>
      <c r="D47" s="14">
        <f>'Grades Summary'!Y46</f>
        <v>5</v>
      </c>
      <c r="E47" s="14">
        <f>'Grades Summary'!Z46</f>
        <v>9</v>
      </c>
      <c r="F47" s="14">
        <f>'Grades Summary'!AA46</f>
        <v>6</v>
      </c>
      <c r="G47" s="14">
        <f>'Grades Summary'!AB46</f>
        <v>9</v>
      </c>
      <c r="H47" s="14">
        <f>'Grades Summary'!AD46</f>
        <v>8</v>
      </c>
      <c r="I47" s="14">
        <f>'Grades Summary'!AE46</f>
        <v>8</v>
      </c>
      <c r="J47" s="14">
        <f>'Grades Summary'!AF46</f>
        <v>8</v>
      </c>
      <c r="K47" s="14">
        <f>'Grades Summary'!AG46</f>
        <v>326.5</v>
      </c>
      <c r="L47" s="14">
        <f>'Grades Summary'!AH46</f>
        <v>40</v>
      </c>
      <c r="M47" s="14" t="s">
        <v>104</v>
      </c>
      <c r="N47" s="36" t="s">
        <v>172</v>
      </c>
      <c r="O47" s="36" t="s">
        <v>184</v>
      </c>
      <c r="P47" s="36" t="s">
        <v>199</v>
      </c>
      <c r="Q47" s="15" t="str">
        <f>Student!B46</f>
        <v xml:space="preserve">GYEMENA SERWAH  </v>
      </c>
    </row>
    <row r="48" spans="2:17" x14ac:dyDescent="0.25">
      <c r="B48" s="14">
        <f>'Grades Summary'!W47</f>
        <v>6</v>
      </c>
      <c r="C48" s="14">
        <f>'Grades Summary'!X47</f>
        <v>7</v>
      </c>
      <c r="D48" s="14">
        <f>'Grades Summary'!Y47</f>
        <v>8</v>
      </c>
      <c r="E48" s="14">
        <f>'Grades Summary'!Z47</f>
        <v>9</v>
      </c>
      <c r="F48" s="14">
        <f>'Grades Summary'!AA47</f>
        <v>6</v>
      </c>
      <c r="G48" s="14">
        <f>'Grades Summary'!AB47</f>
        <v>8</v>
      </c>
      <c r="H48" s="14">
        <f>'Grades Summary'!AD47</f>
        <v>8</v>
      </c>
      <c r="I48" s="14">
        <f>'Grades Summary'!AE47</f>
        <v>7</v>
      </c>
      <c r="J48" s="14">
        <f>'Grades Summary'!AF47</f>
        <v>8</v>
      </c>
      <c r="K48" s="14">
        <f>'Grades Summary'!AG47</f>
        <v>300.5</v>
      </c>
      <c r="L48" s="14">
        <f>'Grades Summary'!AH47</f>
        <v>43</v>
      </c>
      <c r="M48" s="14" t="s">
        <v>104</v>
      </c>
      <c r="N48" s="36" t="s">
        <v>174</v>
      </c>
      <c r="O48" s="36" t="s">
        <v>184</v>
      </c>
      <c r="P48" s="36" t="s">
        <v>199</v>
      </c>
      <c r="Q48" s="15" t="str">
        <f>Student!B47</f>
        <v xml:space="preserve">HABLEAME SHILLA  </v>
      </c>
    </row>
    <row r="49" spans="2:17" x14ac:dyDescent="0.25">
      <c r="B49" s="14">
        <f>'Grades Summary'!W48</f>
        <v>7</v>
      </c>
      <c r="C49" s="14">
        <f>'Grades Summary'!X48</f>
        <v>8</v>
      </c>
      <c r="D49" s="14">
        <f>'Grades Summary'!Y48</f>
        <v>3</v>
      </c>
      <c r="E49" s="14">
        <f>'Grades Summary'!Z48</f>
        <v>8</v>
      </c>
      <c r="F49" s="14">
        <f>'Grades Summary'!AA48</f>
        <v>6</v>
      </c>
      <c r="G49" s="14">
        <f>'Grades Summary'!AB48</f>
        <v>9</v>
      </c>
      <c r="H49" s="14">
        <f>'Grades Summary'!AD48</f>
        <v>9</v>
      </c>
      <c r="I49" s="14">
        <f>'Grades Summary'!AE48</f>
        <v>7</v>
      </c>
      <c r="J49" s="14">
        <f>'Grades Summary'!AF48</f>
        <v>4</v>
      </c>
      <c r="K49" s="14">
        <f>'Grades Summary'!AG48</f>
        <v>339</v>
      </c>
      <c r="L49" s="14">
        <f>'Grades Summary'!AH48</f>
        <v>36</v>
      </c>
      <c r="M49" s="14" t="s">
        <v>104</v>
      </c>
      <c r="N49" s="36" t="s">
        <v>172</v>
      </c>
      <c r="O49" s="36" t="s">
        <v>184</v>
      </c>
      <c r="P49" s="36" t="s">
        <v>199</v>
      </c>
      <c r="Q49" s="15" t="str">
        <f>Student!B48</f>
        <v xml:space="preserve">MENSAH FLORENCE  </v>
      </c>
    </row>
    <row r="50" spans="2:17" x14ac:dyDescent="0.25">
      <c r="B50" s="14" t="str">
        <f>'Grades Summary'!W49</f>
        <v>--</v>
      </c>
      <c r="C50" s="14" t="str">
        <f>'Grades Summary'!X49</f>
        <v>--</v>
      </c>
      <c r="D50" s="14" t="str">
        <f>'Grades Summary'!Y49</f>
        <v>--</v>
      </c>
      <c r="E50" s="14" t="str">
        <f>'Grades Summary'!Z49</f>
        <v>--</v>
      </c>
      <c r="F50" s="14" t="str">
        <f>'Grades Summary'!AA49</f>
        <v>--</v>
      </c>
      <c r="G50" s="14" t="str">
        <f>'Grades Summary'!AB49</f>
        <v>--</v>
      </c>
      <c r="H50" s="14" t="str">
        <f>'Grades Summary'!AD49</f>
        <v>--</v>
      </c>
      <c r="I50" s="14" t="str">
        <f>'Grades Summary'!AE49</f>
        <v>--</v>
      </c>
      <c r="J50" s="14" t="str">
        <f>'Grades Summary'!AF49</f>
        <v>--</v>
      </c>
      <c r="K50" s="14">
        <f>'Grades Summary'!AG49</f>
        <v>0</v>
      </c>
      <c r="L50" s="14" t="e">
        <f>'Grades Summary'!AH49</f>
        <v>#NUM!</v>
      </c>
      <c r="M50" s="14" t="s">
        <v>104</v>
      </c>
      <c r="N50" s="36" t="s">
        <v>173</v>
      </c>
      <c r="O50" s="36" t="s">
        <v>184</v>
      </c>
      <c r="P50" s="36" t="s">
        <v>24</v>
      </c>
      <c r="Q50" s="15" t="str">
        <f>Student!B49</f>
        <v xml:space="preserve">MENSAH VANESSA  </v>
      </c>
    </row>
    <row r="51" spans="2:17" x14ac:dyDescent="0.25">
      <c r="B51" s="14">
        <f>'Grades Summary'!W50</f>
        <v>6</v>
      </c>
      <c r="C51" s="14">
        <f>'Grades Summary'!X50</f>
        <v>5</v>
      </c>
      <c r="D51" s="14">
        <f>'Grades Summary'!Y50</f>
        <v>3</v>
      </c>
      <c r="E51" s="14">
        <f>'Grades Summary'!Z50</f>
        <v>7</v>
      </c>
      <c r="F51" s="14">
        <f>'Grades Summary'!AA50</f>
        <v>7</v>
      </c>
      <c r="G51" s="14">
        <f>'Grades Summary'!AB50</f>
        <v>8</v>
      </c>
      <c r="H51" s="14">
        <f>'Grades Summary'!AD50</f>
        <v>6</v>
      </c>
      <c r="I51" s="14">
        <f>'Grades Summary'!AE50</f>
        <v>7</v>
      </c>
      <c r="J51" s="14">
        <f>'Grades Summary'!AF50</f>
        <v>5</v>
      </c>
      <c r="K51" s="14">
        <f>'Grades Summary'!AG50</f>
        <v>354.5</v>
      </c>
      <c r="L51" s="14">
        <f>'Grades Summary'!AH50</f>
        <v>33</v>
      </c>
      <c r="M51" s="14" t="s">
        <v>104</v>
      </c>
      <c r="N51" s="36" t="s">
        <v>178</v>
      </c>
      <c r="O51" s="36" t="s">
        <v>184</v>
      </c>
      <c r="P51" s="36" t="s">
        <v>24</v>
      </c>
      <c r="Q51" s="15" t="str">
        <f>Student!B50</f>
        <v xml:space="preserve">NKETIA POKUAA CECELIA  </v>
      </c>
    </row>
    <row r="52" spans="2:17" x14ac:dyDescent="0.25">
      <c r="B52" s="14" t="e">
        <f>'Grades Summary'!#REF!</f>
        <v>#REF!</v>
      </c>
      <c r="C52" s="14">
        <f>'Grades Summary'!X51</f>
        <v>8</v>
      </c>
      <c r="D52" s="14">
        <f>'Grades Summary'!Y51</f>
        <v>5</v>
      </c>
      <c r="E52" s="14">
        <f>'Grades Summary'!Z51</f>
        <v>9</v>
      </c>
      <c r="F52" s="14">
        <f>'Grades Summary'!AA51</f>
        <v>9</v>
      </c>
      <c r="G52" s="14">
        <f>'Grades Summary'!AB51</f>
        <v>9</v>
      </c>
      <c r="H52" s="14">
        <f>'Grades Summary'!AD51</f>
        <v>9</v>
      </c>
      <c r="I52" s="14">
        <f>'Grades Summary'!AE51</f>
        <v>9</v>
      </c>
      <c r="J52" s="14">
        <f>'Grades Summary'!AF51</f>
        <v>8</v>
      </c>
      <c r="K52" s="14">
        <f>'Grades Summary'!AG51</f>
        <v>268.5</v>
      </c>
      <c r="L52" s="14">
        <f>'Grades Summary'!AH51</f>
        <v>46</v>
      </c>
      <c r="M52" s="14" t="s">
        <v>104</v>
      </c>
      <c r="N52" s="36" t="s">
        <v>176</v>
      </c>
      <c r="O52" s="36" t="s">
        <v>184</v>
      </c>
      <c r="P52" s="36" t="s">
        <v>24</v>
      </c>
      <c r="Q52" s="15" t="str">
        <f>Student!B51</f>
        <v xml:space="preserve">ODOI MARGARET  </v>
      </c>
    </row>
    <row r="53" spans="2:17" x14ac:dyDescent="0.25">
      <c r="B53" s="14">
        <f>'Grades Summary'!W52</f>
        <v>3</v>
      </c>
      <c r="C53" s="14">
        <f>'Grades Summary'!X52</f>
        <v>3</v>
      </c>
      <c r="D53" s="14">
        <f>'Grades Summary'!Y52</f>
        <v>3</v>
      </c>
      <c r="E53" s="14">
        <f>'Grades Summary'!Z52</f>
        <v>7</v>
      </c>
      <c r="F53" s="14">
        <f>'Grades Summary'!AA52</f>
        <v>3</v>
      </c>
      <c r="G53" s="14">
        <f>'Grades Summary'!AB52</f>
        <v>6</v>
      </c>
      <c r="H53" s="14">
        <f>'Grades Summary'!AD52</f>
        <v>4</v>
      </c>
      <c r="I53" s="14">
        <f>'Grades Summary'!AE52</f>
        <v>6</v>
      </c>
      <c r="J53" s="14">
        <f>'Grades Summary'!AF52</f>
        <v>6</v>
      </c>
      <c r="K53" s="14">
        <f>'Grades Summary'!AG52</f>
        <v>418</v>
      </c>
      <c r="L53" s="14">
        <f>'Grades Summary'!AH52</f>
        <v>23</v>
      </c>
      <c r="M53" s="14" t="s">
        <v>104</v>
      </c>
      <c r="N53" s="36" t="s">
        <v>174</v>
      </c>
      <c r="O53" s="36" t="s">
        <v>184</v>
      </c>
      <c r="P53" s="36" t="s">
        <v>24</v>
      </c>
      <c r="Q53" s="15" t="str">
        <f>Student!B52</f>
        <v xml:space="preserve">OKYERE PRISCILLA  </v>
      </c>
    </row>
    <row r="54" spans="2:17" x14ac:dyDescent="0.25">
      <c r="B54" s="14">
        <f>'Grades Summary'!W53</f>
        <v>7</v>
      </c>
      <c r="C54" s="14">
        <f>'Grades Summary'!X53</f>
        <v>7</v>
      </c>
      <c r="D54" s="14">
        <f>'Grades Summary'!Y53</f>
        <v>8</v>
      </c>
      <c r="E54" s="14">
        <f>'Grades Summary'!Z53</f>
        <v>8</v>
      </c>
      <c r="F54" s="14">
        <f>'Grades Summary'!AA53</f>
        <v>7</v>
      </c>
      <c r="G54" s="14">
        <f>'Grades Summary'!AB53</f>
        <v>9</v>
      </c>
      <c r="H54" s="14">
        <f>'Grades Summary'!AD53</f>
        <v>9</v>
      </c>
      <c r="I54" s="14">
        <f>'Grades Summary'!AE53</f>
        <v>9</v>
      </c>
      <c r="J54" s="14">
        <f>'Grades Summary'!AF53</f>
        <v>6</v>
      </c>
      <c r="K54" s="14">
        <f>'Grades Summary'!AG53</f>
        <v>300</v>
      </c>
      <c r="L54" s="14">
        <f>'Grades Summary'!AH53</f>
        <v>43</v>
      </c>
      <c r="M54" s="14" t="s">
        <v>104</v>
      </c>
      <c r="N54" s="36" t="s">
        <v>172</v>
      </c>
      <c r="O54" s="36" t="s">
        <v>183</v>
      </c>
      <c r="P54" s="36" t="s">
        <v>24</v>
      </c>
      <c r="Q54" s="15" t="str">
        <f>Student!B53</f>
        <v xml:space="preserve">SALIFU ZULAIHA  </v>
      </c>
    </row>
    <row r="55" spans="2:17" x14ac:dyDescent="0.25">
      <c r="B55" s="14">
        <f>'Grades Summary'!W54</f>
        <v>6</v>
      </c>
      <c r="C55" s="14">
        <f>'Grades Summary'!X54</f>
        <v>6</v>
      </c>
      <c r="D55" s="14">
        <f>'Grades Summary'!Y54</f>
        <v>6</v>
      </c>
      <c r="E55" s="14">
        <f>'Grades Summary'!Z54</f>
        <v>9</v>
      </c>
      <c r="F55" s="14">
        <f>'Grades Summary'!AA54</f>
        <v>9</v>
      </c>
      <c r="G55" s="14">
        <f>'Grades Summary'!AB54</f>
        <v>9</v>
      </c>
      <c r="H55" s="14">
        <f>'Grades Summary'!AD54</f>
        <v>9</v>
      </c>
      <c r="I55" s="14">
        <f>'Grades Summary'!AE54</f>
        <v>6</v>
      </c>
      <c r="J55" s="14">
        <f>'Grades Summary'!AF54</f>
        <v>8</v>
      </c>
      <c r="K55" s="14">
        <f>'Grades Summary'!AG54</f>
        <v>302.5</v>
      </c>
      <c r="L55" s="14">
        <f>'Grades Summary'!AH54</f>
        <v>42</v>
      </c>
      <c r="M55" s="14" t="s">
        <v>104</v>
      </c>
      <c r="N55" s="36" t="s">
        <v>177</v>
      </c>
      <c r="O55" s="36" t="s">
        <v>185</v>
      </c>
      <c r="P55" s="36" t="s">
        <v>24</v>
      </c>
      <c r="Q55" s="15" t="str">
        <f>Student!B54</f>
        <v>SEFA AMA OWUSUWAA</v>
      </c>
    </row>
    <row r="56" spans="2:17" x14ac:dyDescent="0.25">
      <c r="B56" s="14">
        <f>'Grades Summary'!W55</f>
        <v>4</v>
      </c>
      <c r="C56" s="14">
        <f>'Grades Summary'!X55</f>
        <v>5</v>
      </c>
      <c r="D56" s="14">
        <f>'Grades Summary'!Y55</f>
        <v>5</v>
      </c>
      <c r="E56" s="14">
        <f>'Grades Summary'!Z55</f>
        <v>9</v>
      </c>
      <c r="F56" s="14">
        <f>'Grades Summary'!AA55</f>
        <v>7</v>
      </c>
      <c r="G56" s="14">
        <f>'Grades Summary'!AB55</f>
        <v>9</v>
      </c>
      <c r="H56" s="14">
        <f>'Grades Summary'!AD55</f>
        <v>9</v>
      </c>
      <c r="I56" s="14">
        <f>'Grades Summary'!AE55</f>
        <v>8</v>
      </c>
      <c r="J56" s="14">
        <f>'Grades Summary'!AF55</f>
        <v>7</v>
      </c>
      <c r="K56" s="14">
        <f>'Grades Summary'!AG55</f>
        <v>329.5</v>
      </c>
      <c r="L56" s="14">
        <f>'Grades Summary'!AH55</f>
        <v>37</v>
      </c>
      <c r="M56" s="14" t="s">
        <v>104</v>
      </c>
      <c r="N56" s="36" t="s">
        <v>174</v>
      </c>
      <c r="O56" s="36" t="s">
        <v>187</v>
      </c>
      <c r="P56" s="36" t="s">
        <v>24</v>
      </c>
      <c r="Q56" s="15" t="str">
        <f>Student!B55</f>
        <v xml:space="preserve">TETTEH MAVIS  </v>
      </c>
    </row>
    <row r="57" spans="2:17" x14ac:dyDescent="0.25">
      <c r="B57" s="14">
        <f>'Grades Summary'!W56</f>
        <v>4</v>
      </c>
      <c r="C57" s="14">
        <f>'Grades Summary'!X56</f>
        <v>4</v>
      </c>
      <c r="D57" s="14">
        <f>'Grades Summary'!Y56</f>
        <v>3</v>
      </c>
      <c r="E57" s="14">
        <f>'Grades Summary'!Z56</f>
        <v>8</v>
      </c>
      <c r="F57" s="14">
        <f>'Grades Summary'!AA56</f>
        <v>5</v>
      </c>
      <c r="G57" s="14">
        <f>'Grades Summary'!AB56</f>
        <v>9</v>
      </c>
      <c r="H57" s="14">
        <f>'Grades Summary'!AD56</f>
        <v>5</v>
      </c>
      <c r="I57" s="14">
        <f>'Grades Summary'!AE56</f>
        <v>4</v>
      </c>
      <c r="J57" s="14">
        <f>'Grades Summary'!AF56</f>
        <v>6</v>
      </c>
      <c r="K57" s="14">
        <f>'Grades Summary'!AG56</f>
        <v>386.5</v>
      </c>
      <c r="L57" s="14">
        <f>'Grades Summary'!AH56</f>
        <v>28</v>
      </c>
      <c r="M57" s="14" t="s">
        <v>104</v>
      </c>
      <c r="N57" s="36" t="s">
        <v>176</v>
      </c>
      <c r="O57" s="36" t="s">
        <v>184</v>
      </c>
      <c r="P57" s="36" t="s">
        <v>24</v>
      </c>
      <c r="Q57" s="15" t="str">
        <f>Student!B56</f>
        <v xml:space="preserve">TWUMASI VERA  </v>
      </c>
    </row>
    <row r="58" spans="2:17" x14ac:dyDescent="0.25">
      <c r="B58" s="14">
        <f>'Grades Summary'!W57</f>
        <v>2</v>
      </c>
      <c r="C58" s="14">
        <f>'Grades Summary'!X57</f>
        <v>3</v>
      </c>
      <c r="D58" s="14">
        <f>'Grades Summary'!Y57</f>
        <v>2</v>
      </c>
      <c r="E58" s="14">
        <f>'Grades Summary'!Z57</f>
        <v>4</v>
      </c>
      <c r="F58" s="14">
        <f>'Grades Summary'!AA57</f>
        <v>2</v>
      </c>
      <c r="G58" s="14">
        <f>'Grades Summary'!AB57</f>
        <v>8</v>
      </c>
      <c r="H58" s="14">
        <f>'Grades Summary'!AD57</f>
        <v>3</v>
      </c>
      <c r="I58" s="14">
        <f>'Grades Summary'!AE57</f>
        <v>3</v>
      </c>
      <c r="J58" s="14">
        <f>'Grades Summary'!AF57</f>
        <v>2</v>
      </c>
      <c r="K58" s="14">
        <f>'Grades Summary'!AG57</f>
        <v>476.5</v>
      </c>
      <c r="L58" s="14">
        <f>'Grades Summary'!AH57</f>
        <v>15</v>
      </c>
      <c r="M58" s="14" t="s">
        <v>104</v>
      </c>
      <c r="N58" s="36" t="s">
        <v>173</v>
      </c>
      <c r="O58" s="36" t="s">
        <v>184</v>
      </c>
      <c r="P58" s="36" t="s">
        <v>24</v>
      </c>
      <c r="Q58" s="15" t="str">
        <f>Student!B57</f>
        <v xml:space="preserve">WORMENOR JULIA  </v>
      </c>
    </row>
    <row r="59" spans="2:17" x14ac:dyDescent="0.25">
      <c r="B59" s="14">
        <f>'Grades Summary'!W58</f>
        <v>5</v>
      </c>
      <c r="C59" s="14">
        <f>'Grades Summary'!X58</f>
        <v>5</v>
      </c>
      <c r="D59" s="14">
        <f>'Grades Summary'!Y58</f>
        <v>4</v>
      </c>
      <c r="E59" s="14">
        <f>'Grades Summary'!Z58</f>
        <v>9</v>
      </c>
      <c r="F59" s="14">
        <f>'Grades Summary'!AA58</f>
        <v>8</v>
      </c>
      <c r="G59" s="14">
        <f>'Grades Summary'!AB58</f>
        <v>8</v>
      </c>
      <c r="H59" s="14">
        <f>'Grades Summary'!AD58</f>
        <v>8</v>
      </c>
      <c r="I59" s="14">
        <f>'Grades Summary'!AE58</f>
        <v>8</v>
      </c>
      <c r="J59" s="14">
        <f>'Grades Summary'!AF58</f>
        <v>7</v>
      </c>
      <c r="K59" s="14">
        <f>'Grades Summary'!AG58</f>
        <v>329.5</v>
      </c>
      <c r="L59" s="14">
        <f>'Grades Summary'!AH58</f>
        <v>38</v>
      </c>
      <c r="M59" s="14" t="s">
        <v>104</v>
      </c>
      <c r="N59" s="36" t="s">
        <v>175</v>
      </c>
      <c r="O59" s="36" t="s">
        <v>187</v>
      </c>
      <c r="P59" s="36" t="s">
        <v>26</v>
      </c>
      <c r="Q59" s="15" t="str">
        <f>Student!B58</f>
        <v xml:space="preserve">YEBOAH OLIVIA  </v>
      </c>
    </row>
    <row r="60" spans="2:17" x14ac:dyDescent="0.25">
      <c r="B60" s="14" t="str">
        <f>'Grades Summary'!W59</f>
        <v>--</v>
      </c>
      <c r="C60" s="14" t="str">
        <f>'Grades Summary'!X59</f>
        <v>--</v>
      </c>
      <c r="D60" s="14" t="str">
        <f>'Grades Summary'!Y59</f>
        <v>--</v>
      </c>
      <c r="E60" s="14" t="str">
        <f>'Grades Summary'!Z59</f>
        <v>--</v>
      </c>
      <c r="F60" s="14" t="str">
        <f>'Grades Summary'!AA59</f>
        <v>--</v>
      </c>
      <c r="G60" s="14" t="str">
        <f>'Grades Summary'!AB59</f>
        <v>--</v>
      </c>
      <c r="H60" s="14" t="str">
        <f>'Grades Summary'!AD59</f>
        <v>--</v>
      </c>
      <c r="I60" s="14" t="str">
        <f>'Grades Summary'!AE59</f>
        <v>--</v>
      </c>
      <c r="J60" s="14" t="str">
        <f>'Grades Summary'!AF59</f>
        <v>--</v>
      </c>
      <c r="K60" s="14">
        <f>'Grades Summary'!AG59</f>
        <v>0</v>
      </c>
      <c r="L60" s="14" t="e">
        <f>'Grades Summary'!AH59</f>
        <v>#NUM!</v>
      </c>
      <c r="M60" s="14" t="s">
        <v>104</v>
      </c>
      <c r="N60" s="36" t="s">
        <v>177</v>
      </c>
      <c r="O60" s="36" t="s">
        <v>187</v>
      </c>
      <c r="P60" s="36" t="s">
        <v>199</v>
      </c>
      <c r="Q60" s="15" t="str">
        <f>Student!B59</f>
        <v>BRAHENE PRISCILLA</v>
      </c>
    </row>
    <row r="61" spans="2:17" x14ac:dyDescent="0.25">
      <c r="B61" s="14" t="str">
        <f>'Grades Summary'!W60</f>
        <v>--</v>
      </c>
      <c r="C61" s="14" t="str">
        <f>'Grades Summary'!X60</f>
        <v>--</v>
      </c>
      <c r="D61" s="14" t="str">
        <f>'Grades Summary'!Y60</f>
        <v>--</v>
      </c>
      <c r="E61" s="14" t="str">
        <f>'Grades Summary'!Z60</f>
        <v>--</v>
      </c>
      <c r="F61" s="14" t="str">
        <f>'Grades Summary'!AA60</f>
        <v>--</v>
      </c>
      <c r="G61" s="14" t="str">
        <f>'Grades Summary'!AB60</f>
        <v>--</v>
      </c>
      <c r="H61" s="14" t="str">
        <f>'Grades Summary'!AD60</f>
        <v>--</v>
      </c>
      <c r="I61" s="14" t="str">
        <f>'Grades Summary'!AE60</f>
        <v>--</v>
      </c>
      <c r="J61" s="14" t="str">
        <f>'Grades Summary'!AF60</f>
        <v>--</v>
      </c>
      <c r="K61" s="14">
        <f>'Grades Summary'!AG60</f>
        <v>0</v>
      </c>
      <c r="L61" s="14" t="e">
        <f>'Grades Summary'!AH60</f>
        <v>#NUM!</v>
      </c>
      <c r="M61" s="14"/>
      <c r="N61" s="36"/>
      <c r="O61" s="36"/>
      <c r="P61" s="36"/>
      <c r="Q61" s="15">
        <f>Student!B60</f>
        <v>0</v>
      </c>
    </row>
    <row r="62" spans="2:17" x14ac:dyDescent="0.25">
      <c r="B62" s="14" t="str">
        <f>'Grades Summary'!W61</f>
        <v>--</v>
      </c>
      <c r="C62" s="14" t="str">
        <f>'Grades Summary'!X61</f>
        <v>--</v>
      </c>
      <c r="D62" s="14" t="str">
        <f>'Grades Summary'!Y61</f>
        <v>--</v>
      </c>
      <c r="E62" s="14" t="str">
        <f>'Grades Summary'!Z61</f>
        <v>--</v>
      </c>
      <c r="F62" s="14" t="str">
        <f>'Grades Summary'!AA61</f>
        <v>--</v>
      </c>
      <c r="G62" s="14" t="str">
        <f>'Grades Summary'!AB61</f>
        <v>--</v>
      </c>
      <c r="H62" s="14" t="str">
        <f>'Grades Summary'!AD61</f>
        <v>--</v>
      </c>
      <c r="I62" s="14" t="str">
        <f>'Grades Summary'!AE61</f>
        <v>--</v>
      </c>
      <c r="J62" s="14" t="str">
        <f>'Grades Summary'!AF61</f>
        <v>--</v>
      </c>
      <c r="K62" s="14">
        <f>'Grades Summary'!AG61</f>
        <v>0</v>
      </c>
      <c r="L62" s="14" t="e">
        <f>'Grades Summary'!AH61</f>
        <v>#NUM!</v>
      </c>
      <c r="M62" s="14"/>
      <c r="N62" s="36"/>
      <c r="O62" s="36"/>
      <c r="P62" s="36"/>
      <c r="Q62" s="15">
        <f>Student!B61</f>
        <v>0</v>
      </c>
    </row>
    <row r="63" spans="2:17" x14ac:dyDescent="0.25">
      <c r="B63" s="14" t="str">
        <f>'Grades Summary'!W62</f>
        <v>--</v>
      </c>
      <c r="C63" s="14" t="str">
        <f>'Grades Summary'!X62</f>
        <v>--</v>
      </c>
      <c r="D63" s="14" t="str">
        <f>'Grades Summary'!Y62</f>
        <v>--</v>
      </c>
      <c r="E63" s="14" t="str">
        <f>'Grades Summary'!Z62</f>
        <v>--</v>
      </c>
      <c r="F63" s="14" t="str">
        <f>'Grades Summary'!AA62</f>
        <v>--</v>
      </c>
      <c r="G63" s="14" t="str">
        <f>'Grades Summary'!AB62</f>
        <v>--</v>
      </c>
      <c r="H63" s="14" t="str">
        <f>'Grades Summary'!AD62</f>
        <v>--</v>
      </c>
      <c r="I63" s="14" t="str">
        <f>'Grades Summary'!AE62</f>
        <v>--</v>
      </c>
      <c r="J63" s="14" t="str">
        <f>'Grades Summary'!AF62</f>
        <v>--</v>
      </c>
      <c r="K63" s="14">
        <f>'Grades Summary'!AG62</f>
        <v>0</v>
      </c>
      <c r="L63" s="14" t="e">
        <f>'Grades Summary'!AH62</f>
        <v>#NUM!</v>
      </c>
      <c r="M63" s="14"/>
      <c r="N63" s="36"/>
      <c r="O63" s="36"/>
      <c r="P63" s="36"/>
      <c r="Q63" s="15">
        <f>Student!B62</f>
        <v>0</v>
      </c>
    </row>
    <row r="64" spans="2:17" x14ac:dyDescent="0.25">
      <c r="B64" s="14" t="str">
        <f>'Grades Summary'!W63</f>
        <v>--</v>
      </c>
      <c r="C64" s="14" t="str">
        <f>'Grades Summary'!X63</f>
        <v>--</v>
      </c>
      <c r="D64" s="14" t="str">
        <f>'Grades Summary'!Y63</f>
        <v>--</v>
      </c>
      <c r="E64" s="14" t="str">
        <f>'Grades Summary'!Z63</f>
        <v>--</v>
      </c>
      <c r="F64" s="14" t="str">
        <f>'Grades Summary'!AA63</f>
        <v>--</v>
      </c>
      <c r="G64" s="14" t="str">
        <f>'Grades Summary'!AB63</f>
        <v>--</v>
      </c>
      <c r="H64" s="14" t="str">
        <f>'Grades Summary'!AD63</f>
        <v>--</v>
      </c>
      <c r="I64" s="14" t="str">
        <f>'Grades Summary'!AE63</f>
        <v>--</v>
      </c>
      <c r="J64" s="14" t="str">
        <f>'Grades Summary'!AF63</f>
        <v>--</v>
      </c>
      <c r="K64" s="14">
        <f>'Grades Summary'!AG63</f>
        <v>0</v>
      </c>
      <c r="L64" s="14" t="e">
        <f>'Grades Summary'!AH63</f>
        <v>#NUM!</v>
      </c>
      <c r="M64" s="14"/>
      <c r="N64" s="36"/>
      <c r="O64" s="36"/>
      <c r="P64" s="36"/>
      <c r="Q64" s="15">
        <f>Student!B63</f>
        <v>0</v>
      </c>
    </row>
    <row r="65" spans="2:17" x14ac:dyDescent="0.25">
      <c r="B65" s="14" t="str">
        <f>'Grades Summary'!W64</f>
        <v>--</v>
      </c>
      <c r="C65" s="14" t="str">
        <f>'Grades Summary'!X64</f>
        <v>--</v>
      </c>
      <c r="D65" s="14" t="str">
        <f>'Grades Summary'!Y64</f>
        <v>--</v>
      </c>
      <c r="E65" s="14" t="str">
        <f>'Grades Summary'!Z64</f>
        <v>--</v>
      </c>
      <c r="F65" s="14" t="str">
        <f>'Grades Summary'!AA64</f>
        <v>--</v>
      </c>
      <c r="G65" s="14" t="str">
        <f>'Grades Summary'!AB64</f>
        <v>--</v>
      </c>
      <c r="H65" s="14" t="str">
        <f>'Grades Summary'!AD64</f>
        <v>--</v>
      </c>
      <c r="I65" s="14" t="str">
        <f>'Grades Summary'!AE64</f>
        <v>--</v>
      </c>
      <c r="J65" s="14" t="str">
        <f>'Grades Summary'!AF64</f>
        <v>--</v>
      </c>
      <c r="K65" s="14">
        <f>'Grades Summary'!AG64</f>
        <v>0</v>
      </c>
      <c r="L65" s="14" t="e">
        <f>'Grades Summary'!AH64</f>
        <v>#NUM!</v>
      </c>
      <c r="M65" s="14"/>
      <c r="O65" s="36"/>
      <c r="P65" s="36"/>
      <c r="Q65" s="15">
        <f>Student!B64</f>
        <v>0</v>
      </c>
    </row>
    <row r="66" spans="2:17" x14ac:dyDescent="0.25">
      <c r="B66" s="14" t="str">
        <f>'Grades Summary'!W65</f>
        <v>--</v>
      </c>
      <c r="C66" s="14" t="str">
        <f>'Grades Summary'!X65</f>
        <v>--</v>
      </c>
      <c r="D66" s="14" t="str">
        <f>'Grades Summary'!Y65</f>
        <v>--</v>
      </c>
      <c r="E66" s="14" t="str">
        <f>'Grades Summary'!Z65</f>
        <v>--</v>
      </c>
      <c r="F66" s="14" t="str">
        <f>'Grades Summary'!AA65</f>
        <v>--</v>
      </c>
      <c r="G66" s="14" t="str">
        <f>'Grades Summary'!AB65</f>
        <v>--</v>
      </c>
      <c r="H66" s="14" t="str">
        <f>'Grades Summary'!AD65</f>
        <v>--</v>
      </c>
      <c r="I66" s="14" t="str">
        <f>'Grades Summary'!AE65</f>
        <v>--</v>
      </c>
      <c r="J66" s="14" t="str">
        <f>'Grades Summary'!AF65</f>
        <v>--</v>
      </c>
      <c r="K66" s="14">
        <f>'Grades Summary'!AG65</f>
        <v>0</v>
      </c>
      <c r="L66" s="14" t="e">
        <f>'Grades Summary'!AH65</f>
        <v>#NUM!</v>
      </c>
      <c r="M66" s="14"/>
      <c r="N66" s="36"/>
      <c r="O66" s="36"/>
      <c r="P66" s="36"/>
      <c r="Q66" s="15">
        <f>Student!B65</f>
        <v>0</v>
      </c>
    </row>
    <row r="67" spans="2:17" x14ac:dyDescent="0.25">
      <c r="B67" s="14" t="str">
        <f>'Grades Summary'!W66</f>
        <v>--</v>
      </c>
      <c r="C67" s="14" t="str">
        <f>'Grades Summary'!X66</f>
        <v>--</v>
      </c>
      <c r="D67" s="14" t="str">
        <f>'Grades Summary'!Y66</f>
        <v>--</v>
      </c>
      <c r="E67" s="14" t="str">
        <f>'Grades Summary'!Z66</f>
        <v>--</v>
      </c>
      <c r="F67" s="14" t="str">
        <f>'Grades Summary'!AA66</f>
        <v>--</v>
      </c>
      <c r="G67" s="14" t="str">
        <f>'Grades Summary'!AB66</f>
        <v>--</v>
      </c>
      <c r="H67" s="14" t="str">
        <f>'Grades Summary'!AD66</f>
        <v>--</v>
      </c>
      <c r="I67" s="14" t="str">
        <f>'Grades Summary'!AE66</f>
        <v>--</v>
      </c>
      <c r="J67" s="14" t="str">
        <f>'Grades Summary'!AF66</f>
        <v>--</v>
      </c>
      <c r="K67" s="14">
        <f>'Grades Summary'!AG66</f>
        <v>0</v>
      </c>
      <c r="L67" s="14" t="e">
        <f>'Grades Summary'!AH66</f>
        <v>#NUM!</v>
      </c>
      <c r="M67" s="14"/>
      <c r="N67" s="36"/>
      <c r="O67" s="36"/>
      <c r="P67" s="36"/>
      <c r="Q67" s="15">
        <f>Student!B66</f>
        <v>0</v>
      </c>
    </row>
    <row r="68" spans="2:17" x14ac:dyDescent="0.25">
      <c r="B68" s="14" t="str">
        <f>'Grades Summary'!W67</f>
        <v>--</v>
      </c>
      <c r="C68" s="14" t="str">
        <f>'Grades Summary'!X67</f>
        <v>--</v>
      </c>
      <c r="D68" s="14" t="str">
        <f>'Grades Summary'!Y67</f>
        <v>--</v>
      </c>
      <c r="E68" s="14" t="str">
        <f>'Grades Summary'!Z67</f>
        <v>--</v>
      </c>
      <c r="F68" s="14" t="str">
        <f>'Grades Summary'!AA67</f>
        <v>--</v>
      </c>
      <c r="G68" s="14" t="str">
        <f>'Grades Summary'!AB67</f>
        <v>--</v>
      </c>
      <c r="H68" s="14" t="str">
        <f>'Grades Summary'!AD67</f>
        <v>--</v>
      </c>
      <c r="I68" s="14" t="str">
        <f>'Grades Summary'!AE67</f>
        <v>--</v>
      </c>
      <c r="J68" s="14" t="str">
        <f>'Grades Summary'!AF67</f>
        <v>--</v>
      </c>
      <c r="K68" s="14">
        <f>'Grades Summary'!AG67</f>
        <v>0</v>
      </c>
      <c r="L68" s="14" t="e">
        <f>'Grades Summary'!AH67</f>
        <v>#NUM!</v>
      </c>
      <c r="M68" s="14"/>
      <c r="N68" s="36"/>
      <c r="O68" s="36"/>
      <c r="P68" s="36"/>
      <c r="Q68" s="15">
        <f>Student!B67</f>
        <v>0</v>
      </c>
    </row>
    <row r="69" spans="2:17" x14ac:dyDescent="0.25">
      <c r="B69" s="14" t="str">
        <f>'Grades Summary'!W68</f>
        <v>--</v>
      </c>
      <c r="C69" s="14" t="str">
        <f>'Grades Summary'!X68</f>
        <v>--</v>
      </c>
      <c r="D69" s="14" t="str">
        <f>'Grades Summary'!Y68</f>
        <v>--</v>
      </c>
      <c r="E69" s="14" t="str">
        <f>'Grades Summary'!Z68</f>
        <v>--</v>
      </c>
      <c r="F69" s="14" t="str">
        <f>'Grades Summary'!AA68</f>
        <v>--</v>
      </c>
      <c r="G69" s="14" t="str">
        <f>'Grades Summary'!AB68</f>
        <v>--</v>
      </c>
      <c r="H69" s="14" t="str">
        <f>'Grades Summary'!AD68</f>
        <v>--</v>
      </c>
      <c r="I69" s="14" t="str">
        <f>'Grades Summary'!AE68</f>
        <v>--</v>
      </c>
      <c r="J69" s="14" t="str">
        <f>'Grades Summary'!AF68</f>
        <v>--</v>
      </c>
      <c r="K69" s="14">
        <f>'Grades Summary'!AG68</f>
        <v>0</v>
      </c>
      <c r="L69" s="14" t="e">
        <f>'Grades Summary'!AH68</f>
        <v>#NUM!</v>
      </c>
      <c r="M69" s="14"/>
      <c r="N69" s="36"/>
      <c r="O69" s="36"/>
      <c r="P69" s="36"/>
      <c r="Q69" s="15">
        <f>Student!B68</f>
        <v>0</v>
      </c>
    </row>
    <row r="70" spans="2:17" x14ac:dyDescent="0.25">
      <c r="B70" s="14" t="str">
        <f>'Grades Summary'!W69</f>
        <v>--</v>
      </c>
      <c r="C70" s="14" t="str">
        <f>'Grades Summary'!X69</f>
        <v>--</v>
      </c>
      <c r="D70" s="14" t="str">
        <f>'Grades Summary'!Y69</f>
        <v>--</v>
      </c>
      <c r="E70" s="14" t="str">
        <f>'Grades Summary'!Z69</f>
        <v>--</v>
      </c>
      <c r="F70" s="14" t="str">
        <f>'Grades Summary'!AA69</f>
        <v>--</v>
      </c>
      <c r="G70" s="14" t="str">
        <f>'Grades Summary'!AB69</f>
        <v>--</v>
      </c>
      <c r="H70" s="14" t="str">
        <f>'Grades Summary'!AD69</f>
        <v>--</v>
      </c>
      <c r="I70" s="14" t="str">
        <f>'Grades Summary'!AE69</f>
        <v>--</v>
      </c>
      <c r="J70" s="14" t="str">
        <f>'Grades Summary'!AF69</f>
        <v>--</v>
      </c>
      <c r="K70" s="14">
        <f>'Grades Summary'!AG69</f>
        <v>0</v>
      </c>
      <c r="L70" s="14" t="e">
        <f>'Grades Summary'!AH69</f>
        <v>#NUM!</v>
      </c>
      <c r="M70" s="14"/>
      <c r="N70" s="36"/>
      <c r="O70" s="36"/>
      <c r="P70" s="36"/>
      <c r="Q70" s="15">
        <f>Student!B69</f>
        <v>0</v>
      </c>
    </row>
    <row r="71" spans="2:17" x14ac:dyDescent="0.25">
      <c r="B71" s="14" t="str">
        <f>'Grades Summary'!W70</f>
        <v>--</v>
      </c>
      <c r="C71" s="14" t="str">
        <f>'Grades Summary'!X70</f>
        <v>--</v>
      </c>
      <c r="D71" s="14" t="str">
        <f>'Grades Summary'!Y70</f>
        <v>--</v>
      </c>
      <c r="E71" s="14" t="str">
        <f>'Grades Summary'!Z70</f>
        <v>--</v>
      </c>
      <c r="F71" s="14" t="str">
        <f>'Grades Summary'!AA70</f>
        <v>--</v>
      </c>
      <c r="G71" s="14" t="str">
        <f>'Grades Summary'!AB70</f>
        <v>--</v>
      </c>
      <c r="H71" s="14" t="str">
        <f>'Grades Summary'!AD70</f>
        <v>--</v>
      </c>
      <c r="I71" s="14" t="str">
        <f>'Grades Summary'!AE70</f>
        <v>--</v>
      </c>
      <c r="J71" s="14" t="str">
        <f>'Grades Summary'!AF70</f>
        <v>--</v>
      </c>
      <c r="K71" s="14">
        <f>'Grades Summary'!AG70</f>
        <v>0</v>
      </c>
      <c r="L71" s="14" t="e">
        <f>'Grades Summary'!AH70</f>
        <v>#NUM!</v>
      </c>
      <c r="M71" s="14"/>
      <c r="N71" s="36"/>
      <c r="O71" s="36"/>
      <c r="P71" s="36"/>
      <c r="Q71" s="15">
        <f>Student!B70</f>
        <v>0</v>
      </c>
    </row>
    <row r="72" spans="2:17" x14ac:dyDescent="0.25">
      <c r="B72" s="14" t="str">
        <f>'Grades Summary'!W71</f>
        <v>--</v>
      </c>
      <c r="C72" s="14" t="str">
        <f>'Grades Summary'!X71</f>
        <v>--</v>
      </c>
      <c r="D72" s="14" t="str">
        <f>'Grades Summary'!Y71</f>
        <v>--</v>
      </c>
      <c r="E72" s="14" t="str">
        <f>'Grades Summary'!Z71</f>
        <v>--</v>
      </c>
      <c r="F72" s="14" t="str">
        <f>'Grades Summary'!AA71</f>
        <v>--</v>
      </c>
      <c r="G72" s="14" t="str">
        <f>'Grades Summary'!AB71</f>
        <v>--</v>
      </c>
      <c r="H72" s="14" t="str">
        <f>'Grades Summary'!AD71</f>
        <v>--</v>
      </c>
      <c r="I72" s="14" t="str">
        <f>'Grades Summary'!AE71</f>
        <v>--</v>
      </c>
      <c r="J72" s="14" t="str">
        <f>'Grades Summary'!AF71</f>
        <v>--</v>
      </c>
      <c r="K72" s="14">
        <f>'Grades Summary'!AG71</f>
        <v>0</v>
      </c>
      <c r="L72" s="14" t="e">
        <f>'Grades Summary'!AH71</f>
        <v>#NUM!</v>
      </c>
      <c r="M72" s="14"/>
      <c r="N72" s="36"/>
      <c r="O72" s="36"/>
      <c r="P72" s="36"/>
      <c r="Q72" s="15">
        <f>Student!B71</f>
        <v>0</v>
      </c>
    </row>
    <row r="73" spans="2:17" x14ac:dyDescent="0.25">
      <c r="B73" s="14" t="str">
        <f>'Grades Summary'!W72</f>
        <v>--</v>
      </c>
      <c r="C73" s="14" t="str">
        <f>'Grades Summary'!X72</f>
        <v>--</v>
      </c>
      <c r="D73" s="14" t="str">
        <f>'Grades Summary'!Y72</f>
        <v>--</v>
      </c>
      <c r="E73" s="14" t="str">
        <f>'Grades Summary'!Z72</f>
        <v>--</v>
      </c>
      <c r="F73" s="14" t="str">
        <f>'Grades Summary'!AA72</f>
        <v>--</v>
      </c>
      <c r="G73" s="14" t="str">
        <f>'Grades Summary'!AB72</f>
        <v>--</v>
      </c>
      <c r="H73" s="14" t="str">
        <f>'Grades Summary'!AD72</f>
        <v>--</v>
      </c>
      <c r="I73" s="14" t="str">
        <f>'Grades Summary'!AE72</f>
        <v>--</v>
      </c>
      <c r="J73" s="14" t="str">
        <f>'Grades Summary'!AF72</f>
        <v>--</v>
      </c>
      <c r="K73" s="14">
        <f>'Grades Summary'!AG72</f>
        <v>0</v>
      </c>
      <c r="L73" s="14" t="e">
        <f>'Grades Summary'!AH72</f>
        <v>#NUM!</v>
      </c>
      <c r="M73" s="14"/>
      <c r="N73" s="36"/>
      <c r="O73" s="36"/>
      <c r="P73" s="36"/>
      <c r="Q73" s="15">
        <f>Student!B72</f>
        <v>0</v>
      </c>
    </row>
    <row r="74" spans="2:17" x14ac:dyDescent="0.25">
      <c r="B74" s="14" t="str">
        <f>'Grades Summary'!W73</f>
        <v>--</v>
      </c>
      <c r="C74" s="14" t="str">
        <f>'Grades Summary'!X73</f>
        <v>--</v>
      </c>
      <c r="D74" s="14" t="str">
        <f>'Grades Summary'!Y73</f>
        <v>--</v>
      </c>
      <c r="E74" s="14" t="str">
        <f>'Grades Summary'!Z73</f>
        <v>--</v>
      </c>
      <c r="F74" s="14" t="str">
        <f>'Grades Summary'!AA73</f>
        <v>--</v>
      </c>
      <c r="G74" s="14" t="str">
        <f>'Grades Summary'!AB73</f>
        <v>--</v>
      </c>
      <c r="H74" s="14" t="str">
        <f>'Grades Summary'!AD73</f>
        <v>--</v>
      </c>
      <c r="I74" s="14" t="str">
        <f>'Grades Summary'!AE73</f>
        <v>--</v>
      </c>
      <c r="J74" s="14" t="str">
        <f>'Grades Summary'!AF73</f>
        <v>--</v>
      </c>
      <c r="K74" s="14">
        <f>'Grades Summary'!AG73</f>
        <v>0</v>
      </c>
      <c r="L74" s="14" t="e">
        <f>'Grades Summary'!AH73</f>
        <v>#NUM!</v>
      </c>
      <c r="M74" s="14"/>
      <c r="N74" s="36"/>
      <c r="O74" s="36"/>
      <c r="P74" s="36"/>
      <c r="Q74" s="15">
        <f>Student!B73</f>
        <v>0</v>
      </c>
    </row>
    <row r="75" spans="2:17" x14ac:dyDescent="0.25">
      <c r="B75" s="14" t="str">
        <f>'Grades Summary'!W74</f>
        <v>--</v>
      </c>
      <c r="C75" s="14" t="str">
        <f>'Grades Summary'!X74</f>
        <v>--</v>
      </c>
      <c r="D75" s="14" t="str">
        <f>'Grades Summary'!Y74</f>
        <v>--</v>
      </c>
      <c r="E75" s="14" t="str">
        <f>'Grades Summary'!Z74</f>
        <v>--</v>
      </c>
      <c r="F75" s="14" t="str">
        <f>'Grades Summary'!AA74</f>
        <v>--</v>
      </c>
      <c r="G75" s="14" t="str">
        <f>'Grades Summary'!AB74</f>
        <v>--</v>
      </c>
      <c r="H75" s="14" t="str">
        <f>'Grades Summary'!AD74</f>
        <v>--</v>
      </c>
      <c r="I75" s="14" t="str">
        <f>'Grades Summary'!AE74</f>
        <v>--</v>
      </c>
      <c r="J75" s="14" t="str">
        <f>'Grades Summary'!AF74</f>
        <v>--</v>
      </c>
      <c r="K75" s="14">
        <f>'Grades Summary'!AG74</f>
        <v>0</v>
      </c>
      <c r="L75" s="14" t="e">
        <f>'Grades Summary'!AH74</f>
        <v>#NUM!</v>
      </c>
      <c r="M75" s="14"/>
      <c r="N75" s="36"/>
      <c r="O75" s="36"/>
      <c r="P75" s="36"/>
      <c r="Q75" s="15">
        <f>Student!B74</f>
        <v>0</v>
      </c>
    </row>
    <row r="76" spans="2:17" x14ac:dyDescent="0.25">
      <c r="B76" s="14" t="str">
        <f>'Grades Summary'!W75</f>
        <v>--</v>
      </c>
      <c r="C76" s="14" t="str">
        <f>'Grades Summary'!X75</f>
        <v>--</v>
      </c>
      <c r="D76" s="14" t="str">
        <f>'Grades Summary'!Y75</f>
        <v>--</v>
      </c>
      <c r="E76" s="14" t="str">
        <f>'Grades Summary'!Z75</f>
        <v>--</v>
      </c>
      <c r="F76" s="14" t="str">
        <f>'Grades Summary'!AA75</f>
        <v>--</v>
      </c>
      <c r="G76" s="14" t="str">
        <f>'Grades Summary'!AB75</f>
        <v>--</v>
      </c>
      <c r="H76" s="14" t="str">
        <f>'Grades Summary'!AD75</f>
        <v>--</v>
      </c>
      <c r="I76" s="14" t="str">
        <f>'Grades Summary'!AE75</f>
        <v>--</v>
      </c>
      <c r="J76" s="14" t="str">
        <f>'Grades Summary'!AF75</f>
        <v>--</v>
      </c>
      <c r="K76" s="14">
        <f>'Grades Summary'!AG75</f>
        <v>0</v>
      </c>
      <c r="L76" s="14" t="e">
        <f>'Grades Summary'!AH75</f>
        <v>#NUM!</v>
      </c>
      <c r="M76" s="14"/>
      <c r="N76" s="36"/>
      <c r="O76" s="36"/>
      <c r="P76" s="36"/>
      <c r="Q76" s="15">
        <f>Student!B75</f>
        <v>0</v>
      </c>
    </row>
    <row r="77" spans="2:17" x14ac:dyDescent="0.25">
      <c r="B77" s="14" t="str">
        <f>'Grades Summary'!W76</f>
        <v>--</v>
      </c>
      <c r="C77" s="14" t="str">
        <f>'Grades Summary'!X76</f>
        <v>--</v>
      </c>
      <c r="D77" s="14" t="str">
        <f>'Grades Summary'!Y76</f>
        <v>--</v>
      </c>
      <c r="E77" s="14" t="str">
        <f>'Grades Summary'!Z76</f>
        <v>--</v>
      </c>
      <c r="F77" s="14" t="str">
        <f>'Grades Summary'!AA76</f>
        <v>--</v>
      </c>
      <c r="G77" s="14" t="str">
        <f>'Grades Summary'!AB76</f>
        <v>--</v>
      </c>
      <c r="H77" s="14" t="str">
        <f>'Grades Summary'!AD76</f>
        <v>--</v>
      </c>
      <c r="I77" s="14" t="str">
        <f>'Grades Summary'!AE76</f>
        <v>--</v>
      </c>
      <c r="J77" s="14" t="str">
        <f>'Grades Summary'!AF76</f>
        <v>--</v>
      </c>
      <c r="K77" s="14">
        <f>'Grades Summary'!AG76</f>
        <v>0</v>
      </c>
      <c r="L77" s="14" t="e">
        <f>'Grades Summary'!AH76</f>
        <v>#NUM!</v>
      </c>
      <c r="M77" s="14"/>
      <c r="N77" s="36"/>
      <c r="O77" s="36"/>
      <c r="P77" s="36"/>
      <c r="Q77" s="15">
        <f>Student!B76</f>
        <v>0</v>
      </c>
    </row>
    <row r="78" spans="2:17" x14ac:dyDescent="0.25">
      <c r="B78" s="14" t="str">
        <f>'Grades Summary'!W77</f>
        <v>--</v>
      </c>
      <c r="C78" s="14" t="str">
        <f>'Grades Summary'!X77</f>
        <v>--</v>
      </c>
      <c r="D78" s="14" t="str">
        <f>'Grades Summary'!Y77</f>
        <v>--</v>
      </c>
      <c r="E78" s="14" t="str">
        <f>'Grades Summary'!Z77</f>
        <v>--</v>
      </c>
      <c r="F78" s="14" t="str">
        <f>'Grades Summary'!AA77</f>
        <v>--</v>
      </c>
      <c r="G78" s="14" t="str">
        <f>'Grades Summary'!AB77</f>
        <v>--</v>
      </c>
      <c r="H78" s="14" t="str">
        <f>'Grades Summary'!AD77</f>
        <v>--</v>
      </c>
      <c r="I78" s="14" t="str">
        <f>'Grades Summary'!AE77</f>
        <v>--</v>
      </c>
      <c r="J78" s="14" t="str">
        <f>'Grades Summary'!AF77</f>
        <v>--</v>
      </c>
      <c r="K78" s="14">
        <f>'Grades Summary'!AG77</f>
        <v>0</v>
      </c>
      <c r="L78" s="14" t="e">
        <f>'Grades Summary'!AH77</f>
        <v>#NUM!</v>
      </c>
      <c r="M78" s="14"/>
      <c r="N78" s="36"/>
      <c r="O78" s="36"/>
      <c r="P78" s="36"/>
      <c r="Q78" s="15">
        <f>Student!B77</f>
        <v>0</v>
      </c>
    </row>
    <row r="79" spans="2:17" x14ac:dyDescent="0.25">
      <c r="B79" s="14" t="str">
        <f>'Grades Summary'!W78</f>
        <v>--</v>
      </c>
      <c r="C79" s="14" t="str">
        <f>'Grades Summary'!X78</f>
        <v>--</v>
      </c>
      <c r="D79" s="14" t="str">
        <f>'Grades Summary'!Y78</f>
        <v>--</v>
      </c>
      <c r="E79" s="14" t="str">
        <f>'Grades Summary'!Z78</f>
        <v>--</v>
      </c>
      <c r="F79" s="14" t="str">
        <f>'Grades Summary'!AA78</f>
        <v>--</v>
      </c>
      <c r="G79" s="14" t="str">
        <f>'Grades Summary'!AB78</f>
        <v>--</v>
      </c>
      <c r="H79" s="14" t="str">
        <f>'Grades Summary'!AD78</f>
        <v>--</v>
      </c>
      <c r="I79" s="14" t="str">
        <f>'Grades Summary'!AE78</f>
        <v>--</v>
      </c>
      <c r="J79" s="14" t="str">
        <f>'Grades Summary'!AF78</f>
        <v>--</v>
      </c>
      <c r="K79" s="14">
        <f>'Grades Summary'!AG78</f>
        <v>0</v>
      </c>
      <c r="L79" s="14" t="e">
        <f>'Grades Summary'!AH78</f>
        <v>#NUM!</v>
      </c>
      <c r="M79" s="14"/>
      <c r="N79" s="36"/>
      <c r="O79" s="36"/>
      <c r="P79" s="36"/>
      <c r="Q79" s="15">
        <f>Student!B78</f>
        <v>0</v>
      </c>
    </row>
    <row r="80" spans="2:17" x14ac:dyDescent="0.25">
      <c r="B80" s="14" t="str">
        <f>'Grades Summary'!W79</f>
        <v>--</v>
      </c>
      <c r="C80" s="14" t="str">
        <f>'Grades Summary'!X79</f>
        <v>--</v>
      </c>
      <c r="D80" s="14" t="str">
        <f>'Grades Summary'!Y79</f>
        <v>--</v>
      </c>
      <c r="E80" s="14" t="str">
        <f>'Grades Summary'!Z79</f>
        <v>--</v>
      </c>
      <c r="F80" s="14" t="str">
        <f>'Grades Summary'!AA79</f>
        <v>--</v>
      </c>
      <c r="G80" s="14" t="str">
        <f>'Grades Summary'!AB79</f>
        <v>--</v>
      </c>
      <c r="H80" s="14" t="str">
        <f>'Grades Summary'!AD79</f>
        <v>--</v>
      </c>
      <c r="I80" s="14" t="str">
        <f>'Grades Summary'!AE79</f>
        <v>--</v>
      </c>
      <c r="J80" s="14" t="str">
        <f>'Grades Summary'!AF79</f>
        <v>--</v>
      </c>
      <c r="K80" s="14">
        <f>'Grades Summary'!AG79</f>
        <v>0</v>
      </c>
      <c r="L80" s="14" t="e">
        <f>'Grades Summary'!AH79</f>
        <v>#NUM!</v>
      </c>
      <c r="M80" s="14"/>
      <c r="N80" s="36"/>
      <c r="O80" s="36"/>
      <c r="P80" s="36"/>
      <c r="Q80" s="15">
        <f>Student!B79</f>
        <v>0</v>
      </c>
    </row>
    <row r="81" spans="2:17" x14ac:dyDescent="0.25">
      <c r="B81" s="14" t="str">
        <f>'Grades Summary'!W80</f>
        <v>--</v>
      </c>
      <c r="C81" s="14" t="str">
        <f>'Grades Summary'!X80</f>
        <v>--</v>
      </c>
      <c r="D81" s="14" t="str">
        <f>'Grades Summary'!Y80</f>
        <v>--</v>
      </c>
      <c r="E81" s="14" t="str">
        <f>'Grades Summary'!Z80</f>
        <v>--</v>
      </c>
      <c r="F81" s="14" t="str">
        <f>'Grades Summary'!AA80</f>
        <v>--</v>
      </c>
      <c r="G81" s="14" t="str">
        <f>'Grades Summary'!AB80</f>
        <v>--</v>
      </c>
      <c r="H81" s="14" t="str">
        <f>'Grades Summary'!AD80</f>
        <v>--</v>
      </c>
      <c r="I81" s="14" t="str">
        <f>'Grades Summary'!AE80</f>
        <v>--</v>
      </c>
      <c r="J81" s="14" t="str">
        <f>'Grades Summary'!AF80</f>
        <v>--</v>
      </c>
      <c r="K81" s="14">
        <f>'Grades Summary'!AG80</f>
        <v>0</v>
      </c>
      <c r="L81" s="14" t="e">
        <f>'Grades Summary'!AH80</f>
        <v>#NUM!</v>
      </c>
      <c r="M81" s="14"/>
      <c r="N81" s="36"/>
      <c r="O81" s="36"/>
      <c r="P81" s="36"/>
      <c r="Q81" s="15">
        <f>Student!B80</f>
        <v>0</v>
      </c>
    </row>
    <row r="82" spans="2:17" x14ac:dyDescent="0.25">
      <c r="B82" s="14" t="str">
        <f>'Grades Summary'!W81</f>
        <v>--</v>
      </c>
      <c r="C82" s="14" t="str">
        <f>'Grades Summary'!X81</f>
        <v>--</v>
      </c>
      <c r="D82" s="14" t="str">
        <f>'Grades Summary'!Y81</f>
        <v>--</v>
      </c>
      <c r="E82" s="14" t="str">
        <f>'Grades Summary'!Z81</f>
        <v>--</v>
      </c>
      <c r="F82" s="14" t="str">
        <f>'Grades Summary'!AA81</f>
        <v>--</v>
      </c>
      <c r="G82" s="14" t="str">
        <f>'Grades Summary'!AB81</f>
        <v>--</v>
      </c>
      <c r="H82" s="14" t="str">
        <f>'Grades Summary'!AD81</f>
        <v>--</v>
      </c>
      <c r="I82" s="14" t="str">
        <f>'Grades Summary'!AE81</f>
        <v>--</v>
      </c>
      <c r="J82" s="14" t="str">
        <f>'Grades Summary'!AF81</f>
        <v>--</v>
      </c>
      <c r="K82" s="14">
        <f>'Grades Summary'!AG81</f>
        <v>0</v>
      </c>
      <c r="L82" s="14" t="e">
        <f>'Grades Summary'!AH81</f>
        <v>#NUM!</v>
      </c>
      <c r="M82" s="14"/>
      <c r="N82" s="36"/>
      <c r="O82" s="36"/>
      <c r="P82" s="36"/>
      <c r="Q82" s="15">
        <f>Student!B81</f>
        <v>0</v>
      </c>
    </row>
    <row r="83" spans="2:17" x14ac:dyDescent="0.25">
      <c r="B83" s="14" t="str">
        <f>'Grades Summary'!W82</f>
        <v>--</v>
      </c>
      <c r="C83" s="14" t="str">
        <f>'Grades Summary'!X82</f>
        <v>--</v>
      </c>
      <c r="D83" s="14" t="str">
        <f>'Grades Summary'!Y82</f>
        <v>--</v>
      </c>
      <c r="E83" s="14" t="str">
        <f>'Grades Summary'!Z82</f>
        <v>--</v>
      </c>
      <c r="F83" s="14" t="str">
        <f>'Grades Summary'!AA82</f>
        <v>--</v>
      </c>
      <c r="G83" s="14" t="str">
        <f>'Grades Summary'!AB82</f>
        <v>--</v>
      </c>
      <c r="H83" s="14" t="str">
        <f>'Grades Summary'!AD82</f>
        <v>--</v>
      </c>
      <c r="I83" s="14" t="str">
        <f>'Grades Summary'!AE82</f>
        <v>--</v>
      </c>
      <c r="J83" s="14" t="str">
        <f>'Grades Summary'!AF82</f>
        <v>--</v>
      </c>
      <c r="K83" s="14">
        <f>'Grades Summary'!AG82</f>
        <v>0</v>
      </c>
      <c r="L83" s="14" t="e">
        <f>'Grades Summary'!AH82</f>
        <v>#NUM!</v>
      </c>
      <c r="M83" s="14"/>
      <c r="N83" s="36"/>
      <c r="O83" s="36"/>
      <c r="P83" s="36"/>
      <c r="Q83" s="15">
        <f>Student!B82</f>
        <v>0</v>
      </c>
    </row>
    <row r="84" spans="2:17" x14ac:dyDescent="0.25">
      <c r="B84" s="14" t="str">
        <f>'Grades Summary'!W83</f>
        <v>--</v>
      </c>
      <c r="C84" s="14" t="str">
        <f>'Grades Summary'!X83</f>
        <v>--</v>
      </c>
      <c r="D84" s="14" t="str">
        <f>'Grades Summary'!Y83</f>
        <v>--</v>
      </c>
      <c r="E84" s="14" t="str">
        <f>'Grades Summary'!Z83</f>
        <v>--</v>
      </c>
      <c r="F84" s="14" t="str">
        <f>'Grades Summary'!AA83</f>
        <v>--</v>
      </c>
      <c r="G84" s="14" t="str">
        <f>'Grades Summary'!AB83</f>
        <v>--</v>
      </c>
      <c r="H84" s="14" t="str">
        <f>'Grades Summary'!AD83</f>
        <v>--</v>
      </c>
      <c r="I84" s="14" t="str">
        <f>'Grades Summary'!AE83</f>
        <v>--</v>
      </c>
      <c r="J84" s="14" t="str">
        <f>'Grades Summary'!AF83</f>
        <v>--</v>
      </c>
      <c r="K84" s="14">
        <f>'Grades Summary'!AG83</f>
        <v>0</v>
      </c>
      <c r="L84" s="14" t="e">
        <f>'Grades Summary'!AH83</f>
        <v>#NUM!</v>
      </c>
      <c r="M84" s="14"/>
      <c r="N84" s="36"/>
      <c r="O84" s="36"/>
      <c r="P84" s="36"/>
      <c r="Q84" s="15">
        <f>Student!B83</f>
        <v>0</v>
      </c>
    </row>
    <row r="85" spans="2:17" x14ac:dyDescent="0.25">
      <c r="B85" s="14" t="str">
        <f>'Grades Summary'!W84</f>
        <v>--</v>
      </c>
      <c r="C85" s="14" t="str">
        <f>'Grades Summary'!X84</f>
        <v>--</v>
      </c>
      <c r="D85" s="14" t="str">
        <f>'Grades Summary'!Y84</f>
        <v>--</v>
      </c>
      <c r="E85" s="14" t="str">
        <f>'Grades Summary'!Z84</f>
        <v>--</v>
      </c>
      <c r="F85" s="14" t="str">
        <f>'Grades Summary'!AA84</f>
        <v>--</v>
      </c>
      <c r="G85" s="14" t="str">
        <f>'Grades Summary'!AB84</f>
        <v>--</v>
      </c>
      <c r="H85" s="14" t="str">
        <f>'Grades Summary'!AD84</f>
        <v>--</v>
      </c>
      <c r="I85" s="14" t="str">
        <f>'Grades Summary'!AE84</f>
        <v>--</v>
      </c>
      <c r="J85" s="14" t="str">
        <f>'Grades Summary'!AF84</f>
        <v>--</v>
      </c>
      <c r="K85" s="14">
        <f>'Grades Summary'!AG84</f>
        <v>0</v>
      </c>
      <c r="L85" s="14" t="e">
        <f>'Grades Summary'!AH84</f>
        <v>#NUM!</v>
      </c>
      <c r="M85" s="14"/>
      <c r="N85" s="36"/>
      <c r="O85" s="36"/>
      <c r="P85" s="36"/>
      <c r="Q85" s="15">
        <f>Student!B84</f>
        <v>0</v>
      </c>
    </row>
    <row r="86" spans="2:17" x14ac:dyDescent="0.25">
      <c r="B86" s="14" t="str">
        <f>'Grades Summary'!W85</f>
        <v>--</v>
      </c>
      <c r="C86" s="14" t="str">
        <f>'Grades Summary'!X85</f>
        <v>--</v>
      </c>
      <c r="D86" s="14" t="str">
        <f>'Grades Summary'!Y85</f>
        <v>--</v>
      </c>
      <c r="E86" s="14" t="str">
        <f>'Grades Summary'!Z85</f>
        <v>--</v>
      </c>
      <c r="F86" s="14" t="str">
        <f>'Grades Summary'!AA85</f>
        <v>--</v>
      </c>
      <c r="G86" s="14" t="str">
        <f>'Grades Summary'!AB85</f>
        <v>--</v>
      </c>
      <c r="H86" s="14" t="str">
        <f>'Grades Summary'!AD85</f>
        <v>--</v>
      </c>
      <c r="I86" s="14" t="str">
        <f>'Grades Summary'!AE85</f>
        <v>--</v>
      </c>
      <c r="J86" s="14" t="str">
        <f>'Grades Summary'!AF85</f>
        <v>--</v>
      </c>
      <c r="K86" s="14">
        <f>'Grades Summary'!AG85</f>
        <v>0</v>
      </c>
      <c r="L86" s="14" t="e">
        <f>'Grades Summary'!AH85</f>
        <v>#NUM!</v>
      </c>
      <c r="M86" s="14"/>
      <c r="N86" s="36"/>
      <c r="O86" s="36"/>
      <c r="P86" s="36"/>
      <c r="Q86" s="15">
        <f>Student!B85</f>
        <v>0</v>
      </c>
    </row>
    <row r="87" spans="2:17" x14ac:dyDescent="0.25">
      <c r="B87" s="14" t="str">
        <f>'Grades Summary'!W86</f>
        <v>--</v>
      </c>
      <c r="C87" s="14" t="str">
        <f>'Grades Summary'!X86</f>
        <v>--</v>
      </c>
      <c r="D87" s="14" t="str">
        <f>'Grades Summary'!Y86</f>
        <v>--</v>
      </c>
      <c r="E87" s="14" t="str">
        <f>'Grades Summary'!Z86</f>
        <v>--</v>
      </c>
      <c r="F87" s="14" t="str">
        <f>'Grades Summary'!AA86</f>
        <v>--</v>
      </c>
      <c r="G87" s="14" t="str">
        <f>'Grades Summary'!AB86</f>
        <v>--</v>
      </c>
      <c r="H87" s="14" t="str">
        <f>'Grades Summary'!AD86</f>
        <v>--</v>
      </c>
      <c r="I87" s="14" t="str">
        <f>'Grades Summary'!AE86</f>
        <v>--</v>
      </c>
      <c r="J87" s="14" t="str">
        <f>'Grades Summary'!AF86</f>
        <v>--</v>
      </c>
      <c r="K87" s="14">
        <f>'Grades Summary'!AG86</f>
        <v>0</v>
      </c>
      <c r="L87" s="14" t="e">
        <f>'Grades Summary'!AH86</f>
        <v>#NUM!</v>
      </c>
      <c r="M87" s="14"/>
      <c r="N87" s="36"/>
      <c r="O87" s="36"/>
      <c r="P87" s="36"/>
      <c r="Q87" s="15">
        <f>Student!B86</f>
        <v>0</v>
      </c>
    </row>
    <row r="88" spans="2:17" x14ac:dyDescent="0.25">
      <c r="B88" s="14" t="str">
        <f>'Grades Summary'!W87</f>
        <v>--</v>
      </c>
      <c r="C88" s="14" t="str">
        <f>'Grades Summary'!X87</f>
        <v>--</v>
      </c>
      <c r="D88" s="14" t="str">
        <f>'Grades Summary'!Y87</f>
        <v>--</v>
      </c>
      <c r="E88" s="14" t="str">
        <f>'Grades Summary'!Z87</f>
        <v>--</v>
      </c>
      <c r="F88" s="14" t="str">
        <f>'Grades Summary'!AA87</f>
        <v>--</v>
      </c>
      <c r="G88" s="14" t="str">
        <f>'Grades Summary'!AB87</f>
        <v>--</v>
      </c>
      <c r="H88" s="14" t="str">
        <f>'Grades Summary'!AD87</f>
        <v>--</v>
      </c>
      <c r="I88" s="14" t="str">
        <f>'Grades Summary'!AE87</f>
        <v>--</v>
      </c>
      <c r="J88" s="14" t="str">
        <f>'Grades Summary'!AF87</f>
        <v>--</v>
      </c>
      <c r="K88" s="14">
        <f>'Grades Summary'!AG87</f>
        <v>0</v>
      </c>
      <c r="L88" s="14" t="e">
        <f>'Grades Summary'!AH87</f>
        <v>#NUM!</v>
      </c>
      <c r="M88" s="14"/>
      <c r="N88" s="36"/>
      <c r="O88" s="36"/>
      <c r="P88" s="36"/>
      <c r="Q88" s="15">
        <f>Student!B87</f>
        <v>0</v>
      </c>
    </row>
    <row r="89" spans="2:17" x14ac:dyDescent="0.25">
      <c r="B89" s="14" t="str">
        <f>'Grades Summary'!W88</f>
        <v>--</v>
      </c>
      <c r="C89" s="14" t="str">
        <f>'Grades Summary'!X88</f>
        <v>--</v>
      </c>
      <c r="D89" s="14" t="str">
        <f>'Grades Summary'!Y88</f>
        <v>--</v>
      </c>
      <c r="E89" s="14" t="str">
        <f>'Grades Summary'!Z88</f>
        <v>--</v>
      </c>
      <c r="F89" s="14" t="str">
        <f>'Grades Summary'!AA88</f>
        <v>--</v>
      </c>
      <c r="G89" s="14" t="str">
        <f>'Grades Summary'!AB88</f>
        <v>--</v>
      </c>
      <c r="H89" s="14" t="str">
        <f>'Grades Summary'!AD88</f>
        <v>--</v>
      </c>
      <c r="I89" s="14" t="str">
        <f>'Grades Summary'!AE88</f>
        <v>--</v>
      </c>
      <c r="J89" s="14" t="str">
        <f>'Grades Summary'!AF88</f>
        <v>--</v>
      </c>
      <c r="K89" s="14">
        <f>'Grades Summary'!AG88</f>
        <v>0</v>
      </c>
      <c r="L89" s="14" t="e">
        <f>'Grades Summary'!AH88</f>
        <v>#NUM!</v>
      </c>
      <c r="M89" s="14"/>
      <c r="N89" s="36"/>
      <c r="O89" s="36"/>
      <c r="P89" s="36"/>
      <c r="Q89" s="15">
        <f>Student!B88</f>
        <v>0</v>
      </c>
    </row>
    <row r="90" spans="2:17" x14ac:dyDescent="0.25">
      <c r="B90" s="14" t="str">
        <f>'Grades Summary'!W89</f>
        <v>--</v>
      </c>
      <c r="C90" s="14" t="str">
        <f>'Grades Summary'!X89</f>
        <v>--</v>
      </c>
      <c r="D90" s="14" t="str">
        <f>'Grades Summary'!Y89</f>
        <v>--</v>
      </c>
      <c r="E90" s="14" t="str">
        <f>'Grades Summary'!Z89</f>
        <v>--</v>
      </c>
      <c r="F90" s="14" t="str">
        <f>'Grades Summary'!AA89</f>
        <v>--</v>
      </c>
      <c r="G90" s="14" t="str">
        <f>'Grades Summary'!AB89</f>
        <v>--</v>
      </c>
      <c r="H90" s="14" t="str">
        <f>'Grades Summary'!AD89</f>
        <v>--</v>
      </c>
      <c r="I90" s="14" t="str">
        <f>'Grades Summary'!AE89</f>
        <v>--</v>
      </c>
      <c r="J90" s="14" t="str">
        <f>'Grades Summary'!AF89</f>
        <v>--</v>
      </c>
      <c r="K90" s="14">
        <f>'Grades Summary'!AG89</f>
        <v>0</v>
      </c>
      <c r="L90" s="14" t="e">
        <f>'Grades Summary'!AH89</f>
        <v>#NUM!</v>
      </c>
      <c r="M90" s="14"/>
      <c r="N90" s="36"/>
      <c r="O90" s="36"/>
      <c r="P90" s="36"/>
      <c r="Q90" s="15">
        <f>Student!B89</f>
        <v>0</v>
      </c>
    </row>
    <row r="91" spans="2:17" x14ac:dyDescent="0.25">
      <c r="B91" s="14" t="str">
        <f>'Grades Summary'!W90</f>
        <v>--</v>
      </c>
      <c r="C91" s="14" t="str">
        <f>'Grades Summary'!X90</f>
        <v>--</v>
      </c>
      <c r="D91" s="14" t="str">
        <f>'Grades Summary'!Y90</f>
        <v>--</v>
      </c>
      <c r="E91" s="14" t="str">
        <f>'Grades Summary'!Z90</f>
        <v>--</v>
      </c>
      <c r="F91" s="14" t="str">
        <f>'Grades Summary'!AA90</f>
        <v>--</v>
      </c>
      <c r="G91" s="14" t="str">
        <f>'Grades Summary'!AB90</f>
        <v>--</v>
      </c>
      <c r="H91" s="14" t="str">
        <f>'Grades Summary'!AD90</f>
        <v>--</v>
      </c>
      <c r="I91" s="14" t="str">
        <f>'Grades Summary'!AE90</f>
        <v>--</v>
      </c>
      <c r="J91" s="14" t="str">
        <f>'Grades Summary'!AF90</f>
        <v>--</v>
      </c>
      <c r="K91" s="14">
        <f>'Grades Summary'!AG90</f>
        <v>0</v>
      </c>
      <c r="L91" s="14" t="e">
        <f>'Grades Summary'!AH90</f>
        <v>#NUM!</v>
      </c>
      <c r="M91" s="14"/>
      <c r="N91" s="36"/>
      <c r="O91" s="36"/>
      <c r="P91" s="36"/>
      <c r="Q91" s="15">
        <f>Student!B90</f>
        <v>0</v>
      </c>
    </row>
    <row r="92" spans="2:17" x14ac:dyDescent="0.25">
      <c r="B92" s="14" t="str">
        <f>'Grades Summary'!W91</f>
        <v>--</v>
      </c>
      <c r="C92" s="14" t="str">
        <f>'Grades Summary'!X91</f>
        <v>--</v>
      </c>
      <c r="D92" s="14" t="str">
        <f>'Grades Summary'!Y91</f>
        <v>--</v>
      </c>
      <c r="E92" s="14" t="str">
        <f>'Grades Summary'!Z91</f>
        <v>--</v>
      </c>
      <c r="F92" s="14" t="str">
        <f>'Grades Summary'!AA91</f>
        <v>--</v>
      </c>
      <c r="G92" s="14" t="str">
        <f>'Grades Summary'!AB91</f>
        <v>--</v>
      </c>
      <c r="H92" s="14" t="str">
        <f>'Grades Summary'!AD91</f>
        <v>--</v>
      </c>
      <c r="I92" s="14" t="str">
        <f>'Grades Summary'!AE91</f>
        <v>--</v>
      </c>
      <c r="J92" s="14" t="str">
        <f>'Grades Summary'!AF91</f>
        <v>--</v>
      </c>
      <c r="K92" s="14">
        <f>'Grades Summary'!AG91</f>
        <v>0</v>
      </c>
      <c r="L92" s="14" t="e">
        <f>'Grades Summary'!AH91</f>
        <v>#NUM!</v>
      </c>
      <c r="M92" s="14"/>
      <c r="N92" s="36"/>
      <c r="O92" s="36"/>
      <c r="P92" s="36"/>
      <c r="Q92" s="15">
        <f>Student!B91</f>
        <v>0</v>
      </c>
    </row>
    <row r="93" spans="2:17" x14ac:dyDescent="0.25">
      <c r="B93" s="14" t="str">
        <f>'Grades Summary'!W92</f>
        <v>--</v>
      </c>
      <c r="C93" s="14" t="str">
        <f>'Grades Summary'!X92</f>
        <v>--</v>
      </c>
      <c r="D93" s="14" t="str">
        <f>'Grades Summary'!Y92</f>
        <v>--</v>
      </c>
      <c r="E93" s="14" t="str">
        <f>'Grades Summary'!Z92</f>
        <v>--</v>
      </c>
      <c r="F93" s="14" t="str">
        <f>'Grades Summary'!AA92</f>
        <v>--</v>
      </c>
      <c r="G93" s="14" t="str">
        <f>'Grades Summary'!AB92</f>
        <v>--</v>
      </c>
      <c r="H93" s="14" t="str">
        <f>'Grades Summary'!AD92</f>
        <v>--</v>
      </c>
      <c r="I93" s="14" t="str">
        <f>'Grades Summary'!AE92</f>
        <v>--</v>
      </c>
      <c r="J93" s="14" t="str">
        <f>'Grades Summary'!AF92</f>
        <v>--</v>
      </c>
      <c r="K93" s="14">
        <f>'Grades Summary'!AG92</f>
        <v>0</v>
      </c>
      <c r="L93" s="14" t="e">
        <f>'Grades Summary'!AH92</f>
        <v>#NUM!</v>
      </c>
      <c r="M93" s="14"/>
      <c r="N93" s="36"/>
      <c r="O93" s="36"/>
      <c r="P93" s="36"/>
      <c r="Q93" s="15">
        <f>Student!B92</f>
        <v>0</v>
      </c>
    </row>
    <row r="94" spans="2:17" x14ac:dyDescent="0.25">
      <c r="B94" s="14" t="str">
        <f>'Grades Summary'!W93</f>
        <v>--</v>
      </c>
      <c r="C94" s="14" t="str">
        <f>'Grades Summary'!X93</f>
        <v>--</v>
      </c>
      <c r="D94" s="14" t="str">
        <f>'Grades Summary'!Y93</f>
        <v>--</v>
      </c>
      <c r="E94" s="14" t="str">
        <f>'Grades Summary'!Z93</f>
        <v>--</v>
      </c>
      <c r="F94" s="14" t="str">
        <f>'Grades Summary'!AA93</f>
        <v>--</v>
      </c>
      <c r="G94" s="14" t="str">
        <f>'Grades Summary'!AB93</f>
        <v>--</v>
      </c>
      <c r="H94" s="14" t="str">
        <f>'Grades Summary'!AD93</f>
        <v>--</v>
      </c>
      <c r="I94" s="14" t="str">
        <f>'Grades Summary'!AE93</f>
        <v>--</v>
      </c>
      <c r="J94" s="14" t="str">
        <f>'Grades Summary'!AF93</f>
        <v>--</v>
      </c>
      <c r="K94" s="14">
        <f>'Grades Summary'!AG93</f>
        <v>0</v>
      </c>
      <c r="L94" s="14" t="e">
        <f>'Grades Summary'!AH93</f>
        <v>#NUM!</v>
      </c>
      <c r="M94" s="14"/>
      <c r="N94" s="36"/>
      <c r="O94" s="36"/>
      <c r="P94" s="36"/>
      <c r="Q94" s="15">
        <f>Student!B93</f>
        <v>0</v>
      </c>
    </row>
    <row r="95" spans="2:17" x14ac:dyDescent="0.25">
      <c r="B95" s="14" t="str">
        <f>'Grades Summary'!W94</f>
        <v>--</v>
      </c>
      <c r="C95" s="14" t="str">
        <f>'Grades Summary'!X94</f>
        <v>--</v>
      </c>
      <c r="D95" s="14" t="str">
        <f>'Grades Summary'!Y94</f>
        <v>--</v>
      </c>
      <c r="E95" s="14" t="str">
        <f>'Grades Summary'!Z94</f>
        <v>--</v>
      </c>
      <c r="F95" s="14" t="str">
        <f>'Grades Summary'!AA94</f>
        <v>--</v>
      </c>
      <c r="G95" s="14" t="str">
        <f>'Grades Summary'!AB94</f>
        <v>--</v>
      </c>
      <c r="H95" s="14" t="str">
        <f>'Grades Summary'!AD94</f>
        <v>--</v>
      </c>
      <c r="I95" s="14" t="str">
        <f>'Grades Summary'!AE94</f>
        <v>--</v>
      </c>
      <c r="J95" s="14" t="str">
        <f>'Grades Summary'!AF94</f>
        <v>--</v>
      </c>
      <c r="K95" s="14">
        <f>'Grades Summary'!AG94</f>
        <v>0</v>
      </c>
      <c r="L95" s="14" t="e">
        <f>'Grades Summary'!AH94</f>
        <v>#NUM!</v>
      </c>
      <c r="M95" s="14"/>
      <c r="N95" s="36"/>
      <c r="O95" s="36"/>
      <c r="P95" s="36"/>
      <c r="Q95" s="15">
        <f>Student!B94</f>
        <v>0</v>
      </c>
    </row>
    <row r="96" spans="2:17" x14ac:dyDescent="0.25">
      <c r="B96" s="14" t="str">
        <f>'Grades Summary'!W95</f>
        <v>--</v>
      </c>
      <c r="C96" s="14" t="str">
        <f>'Grades Summary'!X95</f>
        <v>--</v>
      </c>
      <c r="D96" s="14" t="str">
        <f>'Grades Summary'!Y95</f>
        <v>--</v>
      </c>
      <c r="E96" s="14" t="str">
        <f>'Grades Summary'!Z95</f>
        <v>--</v>
      </c>
      <c r="F96" s="14" t="str">
        <f>'Grades Summary'!AA95</f>
        <v>--</v>
      </c>
      <c r="G96" s="14" t="str">
        <f>'Grades Summary'!AB95</f>
        <v>--</v>
      </c>
      <c r="H96" s="14" t="str">
        <f>'Grades Summary'!AD95</f>
        <v>--</v>
      </c>
      <c r="I96" s="14" t="str">
        <f>'Grades Summary'!AE95</f>
        <v>--</v>
      </c>
      <c r="J96" s="14" t="str">
        <f>'Grades Summary'!AF95</f>
        <v>--</v>
      </c>
      <c r="K96" s="14">
        <f>'Grades Summary'!AG95</f>
        <v>0</v>
      </c>
      <c r="L96" s="14" t="e">
        <f>'Grades Summary'!AH95</f>
        <v>#NUM!</v>
      </c>
      <c r="M96" s="14"/>
      <c r="N96" s="36"/>
      <c r="O96" s="36"/>
      <c r="P96" s="36"/>
      <c r="Q96" s="15">
        <f>Student!B95</f>
        <v>0</v>
      </c>
    </row>
    <row r="97" spans="2:17" x14ac:dyDescent="0.25">
      <c r="B97" s="14" t="str">
        <f>'Grades Summary'!W96</f>
        <v>--</v>
      </c>
      <c r="C97" s="14" t="str">
        <f>'Grades Summary'!X96</f>
        <v>--</v>
      </c>
      <c r="D97" s="14" t="str">
        <f>'Grades Summary'!Y96</f>
        <v>--</v>
      </c>
      <c r="E97" s="14" t="str">
        <f>'Grades Summary'!Z96</f>
        <v>--</v>
      </c>
      <c r="F97" s="14" t="str">
        <f>'Grades Summary'!AA96</f>
        <v>--</v>
      </c>
      <c r="G97" s="14" t="str">
        <f>'Grades Summary'!AB96</f>
        <v>--</v>
      </c>
      <c r="H97" s="14" t="str">
        <f>'Grades Summary'!AD96</f>
        <v>--</v>
      </c>
      <c r="I97" s="14" t="str">
        <f>'Grades Summary'!AE96</f>
        <v>--</v>
      </c>
      <c r="J97" s="14" t="str">
        <f>'Grades Summary'!AF96</f>
        <v>--</v>
      </c>
      <c r="K97" s="14">
        <f>'Grades Summary'!AG96</f>
        <v>0</v>
      </c>
      <c r="L97" s="14" t="e">
        <f>'Grades Summary'!AH96</f>
        <v>#NUM!</v>
      </c>
      <c r="M97" s="14"/>
      <c r="N97" s="36"/>
      <c r="O97" s="36"/>
      <c r="P97" s="36"/>
      <c r="Q97" s="15">
        <f>Student!B96</f>
        <v>0</v>
      </c>
    </row>
    <row r="98" spans="2:17" x14ac:dyDescent="0.25">
      <c r="B98" s="14" t="str">
        <f>'Grades Summary'!W97</f>
        <v>--</v>
      </c>
      <c r="C98" s="14" t="str">
        <f>'Grades Summary'!X97</f>
        <v>--</v>
      </c>
      <c r="D98" s="14" t="str">
        <f>'Grades Summary'!Y97</f>
        <v>--</v>
      </c>
      <c r="E98" s="14" t="str">
        <f>'Grades Summary'!Z97</f>
        <v>--</v>
      </c>
      <c r="F98" s="14" t="str">
        <f>'Grades Summary'!AA97</f>
        <v>--</v>
      </c>
      <c r="G98" s="14" t="str">
        <f>'Grades Summary'!AB97</f>
        <v>--</v>
      </c>
      <c r="H98" s="14" t="str">
        <f>'Grades Summary'!AD97</f>
        <v>--</v>
      </c>
      <c r="I98" s="14" t="str">
        <f>'Grades Summary'!AE97</f>
        <v>--</v>
      </c>
      <c r="J98" s="14" t="str">
        <f>'Grades Summary'!AF97</f>
        <v>--</v>
      </c>
      <c r="K98" s="14">
        <f>'Grades Summary'!AG97</f>
        <v>0</v>
      </c>
      <c r="L98" s="14" t="e">
        <f>'Grades Summary'!AH97</f>
        <v>#NUM!</v>
      </c>
      <c r="M98" s="14"/>
      <c r="N98" s="36"/>
      <c r="O98" s="36"/>
      <c r="P98" s="36"/>
      <c r="Q98" s="15">
        <f>Student!B97</f>
        <v>0</v>
      </c>
    </row>
    <row r="99" spans="2:17" x14ac:dyDescent="0.25">
      <c r="B99" s="14" t="str">
        <f>'Grades Summary'!W98</f>
        <v>--</v>
      </c>
      <c r="C99" s="14" t="str">
        <f>'Grades Summary'!X98</f>
        <v>--</v>
      </c>
      <c r="D99" s="14" t="str">
        <f>'Grades Summary'!Y98</f>
        <v>--</v>
      </c>
      <c r="E99" s="14" t="str">
        <f>'Grades Summary'!Z98</f>
        <v>--</v>
      </c>
      <c r="F99" s="14" t="str">
        <f>'Grades Summary'!AA98</f>
        <v>--</v>
      </c>
      <c r="G99" s="14" t="str">
        <f>'Grades Summary'!AB98</f>
        <v>--</v>
      </c>
      <c r="H99" s="14" t="str">
        <f>'Grades Summary'!AD98</f>
        <v>--</v>
      </c>
      <c r="I99" s="14" t="str">
        <f>'Grades Summary'!AE98</f>
        <v>--</v>
      </c>
      <c r="J99" s="14" t="str">
        <f>'Grades Summary'!AF98</f>
        <v>--</v>
      </c>
      <c r="K99" s="14">
        <f>'Grades Summary'!AG98</f>
        <v>0</v>
      </c>
      <c r="L99" s="14" t="e">
        <f>'Grades Summary'!AH98</f>
        <v>#NUM!</v>
      </c>
      <c r="M99" s="14"/>
      <c r="N99" s="36"/>
      <c r="O99" s="36"/>
      <c r="P99" s="36"/>
      <c r="Q99" s="15">
        <f>Student!B98</f>
        <v>0</v>
      </c>
    </row>
    <row r="100" spans="2:17" x14ac:dyDescent="0.25">
      <c r="B100" s="14" t="str">
        <f>'Grades Summary'!W99</f>
        <v>--</v>
      </c>
      <c r="C100" s="14" t="str">
        <f>'Grades Summary'!X99</f>
        <v>--</v>
      </c>
      <c r="D100" s="14" t="str">
        <f>'Grades Summary'!Y99</f>
        <v>--</v>
      </c>
      <c r="E100" s="14" t="str">
        <f>'Grades Summary'!Z99</f>
        <v>--</v>
      </c>
      <c r="F100" s="14" t="str">
        <f>'Grades Summary'!AA99</f>
        <v>--</v>
      </c>
      <c r="G100" s="14" t="str">
        <f>'Grades Summary'!AB99</f>
        <v>--</v>
      </c>
      <c r="H100" s="14" t="str">
        <f>'Grades Summary'!AD99</f>
        <v>--</v>
      </c>
      <c r="I100" s="14" t="str">
        <f>'Grades Summary'!AE99</f>
        <v>--</v>
      </c>
      <c r="J100" s="14" t="str">
        <f>'Grades Summary'!AF99</f>
        <v>--</v>
      </c>
      <c r="K100" s="14">
        <f>'Grades Summary'!AG99</f>
        <v>0</v>
      </c>
      <c r="L100" s="14" t="e">
        <f>'Grades Summary'!AH99</f>
        <v>#NUM!</v>
      </c>
      <c r="M100" s="14"/>
      <c r="N100" s="36"/>
      <c r="O100" s="36"/>
      <c r="P100" s="36"/>
      <c r="Q100" s="15">
        <f>Student!B99</f>
        <v>0</v>
      </c>
    </row>
    <row r="101" spans="2:17" x14ac:dyDescent="0.25">
      <c r="B101" s="14" t="str">
        <f>'Grades Summary'!W100</f>
        <v>--</v>
      </c>
      <c r="C101" s="14" t="str">
        <f>'Grades Summary'!X100</f>
        <v>--</v>
      </c>
      <c r="D101" s="14" t="str">
        <f>'Grades Summary'!Y100</f>
        <v>--</v>
      </c>
      <c r="E101" s="14" t="str">
        <f>'Grades Summary'!Z100</f>
        <v>--</v>
      </c>
      <c r="F101" s="14" t="str">
        <f>'Grades Summary'!AA100</f>
        <v>--</v>
      </c>
      <c r="G101" s="14" t="str">
        <f>'Grades Summary'!AB100</f>
        <v>--</v>
      </c>
      <c r="H101" s="14" t="str">
        <f>'Grades Summary'!AD100</f>
        <v>--</v>
      </c>
      <c r="I101" s="14" t="str">
        <f>'Grades Summary'!AE100</f>
        <v>--</v>
      </c>
      <c r="J101" s="14" t="str">
        <f>'Grades Summary'!AF100</f>
        <v>--</v>
      </c>
      <c r="K101" s="14">
        <f>'Grades Summary'!AG100</f>
        <v>0</v>
      </c>
      <c r="L101" s="14" t="e">
        <f>'Grades Summary'!AH100</f>
        <v>#NUM!</v>
      </c>
      <c r="M101" s="14"/>
      <c r="N101" s="36"/>
      <c r="O101" s="36"/>
      <c r="P101" s="36"/>
      <c r="Q101" s="15">
        <f>Student!B100</f>
        <v>0</v>
      </c>
    </row>
    <row r="102" spans="2:17" x14ac:dyDescent="0.25">
      <c r="B102" s="14" t="str">
        <f>'Grades Summary'!W101</f>
        <v>--</v>
      </c>
      <c r="C102" s="14" t="str">
        <f>'Grades Summary'!X101</f>
        <v>--</v>
      </c>
      <c r="D102" s="14" t="str">
        <f>'Grades Summary'!Y101</f>
        <v>--</v>
      </c>
      <c r="E102" s="14" t="str">
        <f>'Grades Summary'!Z101</f>
        <v>--</v>
      </c>
      <c r="F102" s="14" t="str">
        <f>'Grades Summary'!AA101</f>
        <v>--</v>
      </c>
      <c r="G102" s="14" t="str">
        <f>'Grades Summary'!AB101</f>
        <v>--</v>
      </c>
      <c r="H102" s="14" t="str">
        <f>'Grades Summary'!AD101</f>
        <v>--</v>
      </c>
      <c r="I102" s="14" t="str">
        <f>'Grades Summary'!AE101</f>
        <v>--</v>
      </c>
      <c r="J102" s="14" t="str">
        <f>'Grades Summary'!AF101</f>
        <v>--</v>
      </c>
      <c r="K102" s="14">
        <f>'Grades Summary'!AG101</f>
        <v>0</v>
      </c>
      <c r="L102" s="14" t="e">
        <f>'Grades Summary'!AH101</f>
        <v>#NUM!</v>
      </c>
      <c r="M102" s="14"/>
      <c r="N102" s="36"/>
      <c r="O102" s="36"/>
      <c r="P102" s="36"/>
      <c r="Q102" s="15">
        <f>Student!B101</f>
        <v>0</v>
      </c>
    </row>
    <row r="103" spans="2:17" x14ac:dyDescent="0.25">
      <c r="B103" s="14" t="str">
        <f>'Grades Summary'!W102</f>
        <v>--</v>
      </c>
      <c r="C103" s="14" t="str">
        <f>'Grades Summary'!X102</f>
        <v>--</v>
      </c>
      <c r="D103" s="14" t="str">
        <f>'Grades Summary'!Y102</f>
        <v>--</v>
      </c>
      <c r="E103" s="14" t="str">
        <f>'Grades Summary'!Z102</f>
        <v>--</v>
      </c>
      <c r="F103" s="14" t="str">
        <f>'Grades Summary'!AA102</f>
        <v>--</v>
      </c>
      <c r="G103" s="14" t="str">
        <f>'Grades Summary'!AB102</f>
        <v>--</v>
      </c>
      <c r="H103" s="14" t="str">
        <f>'Grades Summary'!AD102</f>
        <v>--</v>
      </c>
      <c r="I103" s="14" t="str">
        <f>'Grades Summary'!AE102</f>
        <v>--</v>
      </c>
      <c r="J103" s="14" t="str">
        <f>'Grades Summary'!AF102</f>
        <v>--</v>
      </c>
      <c r="K103" s="14">
        <f>'Grades Summary'!AG102</f>
        <v>0</v>
      </c>
      <c r="L103" s="14" t="e">
        <f>'Grades Summary'!AH102</f>
        <v>#NUM!</v>
      </c>
      <c r="M103" s="14"/>
      <c r="N103" s="36"/>
      <c r="O103" s="36"/>
      <c r="P103" s="36"/>
      <c r="Q103" s="15">
        <f>Student!B102</f>
        <v>0</v>
      </c>
    </row>
    <row r="104" spans="2:17" x14ac:dyDescent="0.25">
      <c r="B104" s="14" t="str">
        <f>'Grades Summary'!W103</f>
        <v>--</v>
      </c>
      <c r="C104" s="14" t="str">
        <f>'Grades Summary'!X103</f>
        <v>--</v>
      </c>
      <c r="D104" s="14" t="str">
        <f>'Grades Summary'!Y103</f>
        <v>--</v>
      </c>
      <c r="E104" s="14" t="str">
        <f>'Grades Summary'!Z103</f>
        <v>--</v>
      </c>
      <c r="F104" s="14" t="str">
        <f>'Grades Summary'!AA103</f>
        <v>--</v>
      </c>
      <c r="G104" s="14" t="str">
        <f>'Grades Summary'!AB103</f>
        <v>--</v>
      </c>
      <c r="H104" s="14" t="str">
        <f>'Grades Summary'!AD103</f>
        <v>--</v>
      </c>
      <c r="I104" s="14" t="str">
        <f>'Grades Summary'!AE103</f>
        <v>--</v>
      </c>
      <c r="J104" s="14" t="str">
        <f>'Grades Summary'!AF103</f>
        <v>--</v>
      </c>
      <c r="K104" s="14">
        <f>'Grades Summary'!AG103</f>
        <v>0</v>
      </c>
      <c r="L104" s="14" t="e">
        <f>'Grades Summary'!AH103</f>
        <v>#NUM!</v>
      </c>
      <c r="M104" s="14"/>
      <c r="N104" s="36"/>
      <c r="O104" s="36"/>
      <c r="P104" s="36"/>
      <c r="Q104" s="15">
        <f>Student!B103</f>
        <v>0</v>
      </c>
    </row>
    <row r="105" spans="2:17" x14ac:dyDescent="0.25">
      <c r="B105" s="14" t="str">
        <f>'Grades Summary'!W104</f>
        <v>--</v>
      </c>
      <c r="C105" s="14" t="str">
        <f>'Grades Summary'!X104</f>
        <v>--</v>
      </c>
      <c r="D105" s="14" t="str">
        <f>'Grades Summary'!Y104</f>
        <v>--</v>
      </c>
      <c r="E105" s="14" t="str">
        <f>'Grades Summary'!Z104</f>
        <v>--</v>
      </c>
      <c r="F105" s="14" t="str">
        <f>'Grades Summary'!AA104</f>
        <v>--</v>
      </c>
      <c r="G105" s="14" t="str">
        <f>'Grades Summary'!AB104</f>
        <v>--</v>
      </c>
      <c r="H105" s="14" t="str">
        <f>'Grades Summary'!AD104</f>
        <v>--</v>
      </c>
      <c r="I105" s="14" t="str">
        <f>'Grades Summary'!AE104</f>
        <v>--</v>
      </c>
      <c r="J105" s="14" t="str">
        <f>'Grades Summary'!AF104</f>
        <v>--</v>
      </c>
      <c r="K105" s="14">
        <f>'Grades Summary'!AG104</f>
        <v>0</v>
      </c>
      <c r="L105" s="14" t="e">
        <f>'Grades Summary'!AH104</f>
        <v>#NUM!</v>
      </c>
      <c r="M105" s="14"/>
      <c r="N105" s="36"/>
      <c r="O105" s="36"/>
      <c r="P105" s="36"/>
      <c r="Q105" s="15">
        <f>Student!B104</f>
        <v>0</v>
      </c>
    </row>
    <row r="106" spans="2:17" x14ac:dyDescent="0.25">
      <c r="B106" s="14" t="str">
        <f>'Grades Summary'!W105</f>
        <v>--</v>
      </c>
      <c r="C106" s="14" t="str">
        <f>'Grades Summary'!X105</f>
        <v>--</v>
      </c>
      <c r="D106" s="14" t="str">
        <f>'Grades Summary'!Y105</f>
        <v>--</v>
      </c>
      <c r="E106" s="14" t="str">
        <f>'Grades Summary'!Z105</f>
        <v>--</v>
      </c>
      <c r="F106" s="14" t="str">
        <f>'Grades Summary'!AA105</f>
        <v>--</v>
      </c>
      <c r="G106" s="14" t="str">
        <f>'Grades Summary'!AB105</f>
        <v>--</v>
      </c>
      <c r="H106" s="14" t="str">
        <f>'Grades Summary'!AD105</f>
        <v>--</v>
      </c>
      <c r="I106" s="14" t="str">
        <f>'Grades Summary'!AE105</f>
        <v>--</v>
      </c>
      <c r="J106" s="14" t="str">
        <f>'Grades Summary'!AF105</f>
        <v>--</v>
      </c>
      <c r="K106" s="14">
        <f>'Grades Summary'!AG105</f>
        <v>0</v>
      </c>
      <c r="L106" s="14" t="e">
        <f>'Grades Summary'!AH105</f>
        <v>#NUM!</v>
      </c>
      <c r="M106" s="14"/>
      <c r="N106" s="36"/>
      <c r="O106" s="36"/>
      <c r="P106" s="36"/>
      <c r="Q106" s="15">
        <f>Student!B105</f>
        <v>0</v>
      </c>
    </row>
    <row r="107" spans="2:17" x14ac:dyDescent="0.25">
      <c r="B107" s="14" t="str">
        <f>'Grades Summary'!W106</f>
        <v>--</v>
      </c>
      <c r="C107" s="14" t="str">
        <f>'Grades Summary'!X106</f>
        <v>--</v>
      </c>
      <c r="D107" s="14" t="str">
        <f>'Grades Summary'!Y106</f>
        <v>--</v>
      </c>
      <c r="E107" s="14" t="str">
        <f>'Grades Summary'!Z106</f>
        <v>--</v>
      </c>
      <c r="F107" s="14" t="str">
        <f>'Grades Summary'!AA106</f>
        <v>--</v>
      </c>
      <c r="G107" s="14" t="str">
        <f>'Grades Summary'!AB106</f>
        <v>--</v>
      </c>
      <c r="H107" s="14" t="str">
        <f>'Grades Summary'!AD106</f>
        <v>--</v>
      </c>
      <c r="I107" s="14" t="str">
        <f>'Grades Summary'!AE106</f>
        <v>--</v>
      </c>
      <c r="J107" s="14" t="str">
        <f>'Grades Summary'!AF106</f>
        <v>--</v>
      </c>
      <c r="K107" s="14">
        <f>'Grades Summary'!AG106</f>
        <v>0</v>
      </c>
      <c r="L107" s="14" t="e">
        <f>'Grades Summary'!AH106</f>
        <v>#NUM!</v>
      </c>
      <c r="M107" s="14"/>
      <c r="N107" s="36"/>
      <c r="O107" s="36"/>
      <c r="P107" s="36"/>
      <c r="Q107" s="15">
        <f>Student!B106</f>
        <v>0</v>
      </c>
    </row>
    <row r="108" spans="2:17" x14ac:dyDescent="0.25">
      <c r="B108" s="14" t="str">
        <f>'Grades Summary'!W107</f>
        <v>--</v>
      </c>
      <c r="C108" s="14" t="str">
        <f>'Grades Summary'!X107</f>
        <v>--</v>
      </c>
      <c r="D108" s="14" t="str">
        <f>'Grades Summary'!Y107</f>
        <v>--</v>
      </c>
      <c r="E108" s="14" t="str">
        <f>'Grades Summary'!Z107</f>
        <v>--</v>
      </c>
      <c r="F108" s="14" t="str">
        <f>'Grades Summary'!AA107</f>
        <v>--</v>
      </c>
      <c r="G108" s="14" t="str">
        <f>'Grades Summary'!AB107</f>
        <v>--</v>
      </c>
      <c r="H108" s="14" t="str">
        <f>'Grades Summary'!AD107</f>
        <v>--</v>
      </c>
      <c r="I108" s="14" t="str">
        <f>'Grades Summary'!AE107</f>
        <v>--</v>
      </c>
      <c r="J108" s="14" t="str">
        <f>'Grades Summary'!AF107</f>
        <v>--</v>
      </c>
      <c r="K108" s="14">
        <f>'Grades Summary'!AG107</f>
        <v>0</v>
      </c>
      <c r="L108" s="14" t="e">
        <f>'Grades Summary'!AH107</f>
        <v>#NUM!</v>
      </c>
      <c r="M108" s="14"/>
      <c r="N108" s="36"/>
      <c r="O108" s="36"/>
      <c r="P108" s="36"/>
      <c r="Q108" s="15">
        <f>Student!B107</f>
        <v>0</v>
      </c>
    </row>
    <row r="109" spans="2:17" x14ac:dyDescent="0.25">
      <c r="B109" s="14" t="str">
        <f>'Grades Summary'!W108</f>
        <v>--</v>
      </c>
      <c r="C109" s="14" t="str">
        <f>'Grades Summary'!X108</f>
        <v>--</v>
      </c>
      <c r="D109" s="14" t="str">
        <f>'Grades Summary'!Y108</f>
        <v>--</v>
      </c>
      <c r="E109" s="14" t="str">
        <f>'Grades Summary'!Z108</f>
        <v>--</v>
      </c>
      <c r="F109" s="14" t="str">
        <f>'Grades Summary'!AA108</f>
        <v>--</v>
      </c>
      <c r="G109" s="14" t="str">
        <f>'Grades Summary'!AB108</f>
        <v>--</v>
      </c>
      <c r="H109" s="14" t="str">
        <f>'Grades Summary'!AD108</f>
        <v>--</v>
      </c>
      <c r="I109" s="14" t="str">
        <f>'Grades Summary'!AE108</f>
        <v>--</v>
      </c>
      <c r="J109" s="14" t="str">
        <f>'Grades Summary'!AF108</f>
        <v>--</v>
      </c>
      <c r="K109" s="14">
        <f>'Grades Summary'!AG108</f>
        <v>0</v>
      </c>
      <c r="L109" s="14" t="e">
        <f>'Grades Summary'!AH108</f>
        <v>#NUM!</v>
      </c>
      <c r="M109" s="14"/>
      <c r="N109" s="36"/>
      <c r="O109" s="36"/>
      <c r="P109" s="36"/>
      <c r="Q109" s="15">
        <f>Student!B108</f>
        <v>0</v>
      </c>
    </row>
    <row r="110" spans="2:17" x14ac:dyDescent="0.25">
      <c r="B110" s="14" t="str">
        <f>'Grades Summary'!W109</f>
        <v>--</v>
      </c>
      <c r="C110" s="14" t="str">
        <f>'Grades Summary'!X109</f>
        <v>--</v>
      </c>
      <c r="D110" s="14" t="str">
        <f>'Grades Summary'!Y109</f>
        <v>--</v>
      </c>
      <c r="E110" s="14" t="str">
        <f>'Grades Summary'!Z109</f>
        <v>--</v>
      </c>
      <c r="F110" s="14" t="str">
        <f>'Grades Summary'!AA109</f>
        <v>--</v>
      </c>
      <c r="G110" s="14" t="str">
        <f>'Grades Summary'!AB109</f>
        <v>--</v>
      </c>
      <c r="H110" s="14" t="str">
        <f>'Grades Summary'!AD109</f>
        <v>--</v>
      </c>
      <c r="I110" s="14" t="str">
        <f>'Grades Summary'!AE109</f>
        <v>--</v>
      </c>
      <c r="J110" s="14" t="str">
        <f>'Grades Summary'!AF109</f>
        <v>--</v>
      </c>
      <c r="K110" s="14">
        <f>'Grades Summary'!AG109</f>
        <v>0</v>
      </c>
      <c r="L110" s="14" t="e">
        <f>'Grades Summary'!AH109</f>
        <v>#NUM!</v>
      </c>
      <c r="M110" s="14"/>
      <c r="N110" s="36"/>
      <c r="O110" s="36"/>
      <c r="P110" s="36"/>
      <c r="Q110" s="15">
        <f>Student!B109</f>
        <v>0</v>
      </c>
    </row>
    <row r="111" spans="2:17" x14ac:dyDescent="0.25">
      <c r="B111" s="14" t="str">
        <f>'Grades Summary'!W110</f>
        <v>--</v>
      </c>
      <c r="C111" s="14" t="str">
        <f>'Grades Summary'!X110</f>
        <v>--</v>
      </c>
      <c r="D111" s="14" t="str">
        <f>'Grades Summary'!Y110</f>
        <v>--</v>
      </c>
      <c r="E111" s="14" t="str">
        <f>'Grades Summary'!Z110</f>
        <v>--</v>
      </c>
      <c r="F111" s="14" t="str">
        <f>'Grades Summary'!AA110</f>
        <v>--</v>
      </c>
      <c r="G111" s="14" t="str">
        <f>'Grades Summary'!AB110</f>
        <v>--</v>
      </c>
      <c r="H111" s="14" t="str">
        <f>'Grades Summary'!AD110</f>
        <v>--</v>
      </c>
      <c r="I111" s="14" t="str">
        <f>'Grades Summary'!AE110</f>
        <v>--</v>
      </c>
      <c r="J111" s="14" t="str">
        <f>'Grades Summary'!AF110</f>
        <v>--</v>
      </c>
      <c r="K111" s="14">
        <f>'Grades Summary'!AG110</f>
        <v>0</v>
      </c>
      <c r="L111" s="14" t="e">
        <f>'Grades Summary'!AH110</f>
        <v>#NUM!</v>
      </c>
      <c r="M111" s="14"/>
      <c r="N111" s="36"/>
      <c r="O111" s="36"/>
      <c r="P111" s="36"/>
      <c r="Q111" s="15">
        <f>Student!B110</f>
        <v>0</v>
      </c>
    </row>
    <row r="112" spans="2:17" x14ac:dyDescent="0.25">
      <c r="B112" s="14" t="str">
        <f>'Grades Summary'!W111</f>
        <v>--</v>
      </c>
      <c r="C112" s="14" t="str">
        <f>'Grades Summary'!X111</f>
        <v>--</v>
      </c>
      <c r="D112" s="14" t="str">
        <f>'Grades Summary'!Y111</f>
        <v>--</v>
      </c>
      <c r="E112" s="14" t="str">
        <f>'Grades Summary'!Z111</f>
        <v>--</v>
      </c>
      <c r="F112" s="14" t="str">
        <f>'Grades Summary'!AA111</f>
        <v>--</v>
      </c>
      <c r="G112" s="14" t="str">
        <f>'Grades Summary'!AB111</f>
        <v>--</v>
      </c>
      <c r="H112" s="14" t="str">
        <f>'Grades Summary'!AD111</f>
        <v>--</v>
      </c>
      <c r="I112" s="14" t="str">
        <f>'Grades Summary'!AE111</f>
        <v>--</v>
      </c>
      <c r="J112" s="14" t="str">
        <f>'Grades Summary'!AF111</f>
        <v>--</v>
      </c>
      <c r="K112" s="14">
        <f>'Grades Summary'!AG111</f>
        <v>0</v>
      </c>
      <c r="L112" s="14" t="e">
        <f>'Grades Summary'!AH111</f>
        <v>#NUM!</v>
      </c>
      <c r="M112" s="14"/>
      <c r="N112" s="36"/>
      <c r="O112" s="36"/>
      <c r="P112" s="36"/>
      <c r="Q112" s="15">
        <f>Student!B111</f>
        <v>0</v>
      </c>
    </row>
    <row r="113" spans="2:17" x14ac:dyDescent="0.25">
      <c r="B113" s="14" t="str">
        <f>'Grades Summary'!W112</f>
        <v>--</v>
      </c>
      <c r="C113" s="14" t="str">
        <f>'Grades Summary'!X112</f>
        <v>--</v>
      </c>
      <c r="D113" s="14" t="str">
        <f>'Grades Summary'!Y112</f>
        <v>--</v>
      </c>
      <c r="E113" s="14" t="str">
        <f>'Grades Summary'!Z112</f>
        <v>--</v>
      </c>
      <c r="F113" s="14" t="str">
        <f>'Grades Summary'!AA112</f>
        <v>--</v>
      </c>
      <c r="G113" s="14" t="str">
        <f>'Grades Summary'!AB112</f>
        <v>--</v>
      </c>
      <c r="H113" s="14" t="str">
        <f>'Grades Summary'!AD112</f>
        <v>--</v>
      </c>
      <c r="I113" s="14" t="str">
        <f>'Grades Summary'!AE112</f>
        <v>--</v>
      </c>
      <c r="J113" s="14" t="str">
        <f>'Grades Summary'!AF112</f>
        <v>--</v>
      </c>
      <c r="K113" s="14">
        <f>'Grades Summary'!AG112</f>
        <v>0</v>
      </c>
      <c r="L113" s="14" t="e">
        <f>'Grades Summary'!AH112</f>
        <v>#NUM!</v>
      </c>
      <c r="M113" s="14"/>
      <c r="N113" s="36"/>
      <c r="O113" s="36"/>
      <c r="P113" s="36"/>
      <c r="Q113" s="15">
        <f>Student!B112</f>
        <v>0</v>
      </c>
    </row>
    <row r="114" spans="2:17" x14ac:dyDescent="0.25">
      <c r="B114" s="14" t="str">
        <f>'Grades Summary'!W113</f>
        <v>--</v>
      </c>
      <c r="C114" s="14" t="str">
        <f>'Grades Summary'!X113</f>
        <v>--</v>
      </c>
      <c r="D114" s="14" t="str">
        <f>'Grades Summary'!Y113</f>
        <v>--</v>
      </c>
      <c r="E114" s="14" t="str">
        <f>'Grades Summary'!Z113</f>
        <v>--</v>
      </c>
      <c r="F114" s="14" t="str">
        <f>'Grades Summary'!AA113</f>
        <v>--</v>
      </c>
      <c r="G114" s="14" t="str">
        <f>'Grades Summary'!AB113</f>
        <v>--</v>
      </c>
      <c r="H114" s="14" t="str">
        <f>'Grades Summary'!AD113</f>
        <v>--</v>
      </c>
      <c r="I114" s="14" t="str">
        <f>'Grades Summary'!AE113</f>
        <v>--</v>
      </c>
      <c r="J114" s="14" t="str">
        <f>'Grades Summary'!AF113</f>
        <v>--</v>
      </c>
      <c r="K114" s="14">
        <f>'Grades Summary'!AG113</f>
        <v>0</v>
      </c>
      <c r="L114" s="14" t="e">
        <f>'Grades Summary'!AH113</f>
        <v>#NUM!</v>
      </c>
      <c r="M114" s="14"/>
      <c r="N114" s="36"/>
      <c r="O114" s="36"/>
      <c r="P114" s="36"/>
      <c r="Q114" s="15">
        <f>Student!B113</f>
        <v>0</v>
      </c>
    </row>
    <row r="115" spans="2:17" x14ac:dyDescent="0.25">
      <c r="B115" s="14" t="str">
        <f>'Grades Summary'!W114</f>
        <v>--</v>
      </c>
      <c r="C115" s="14" t="str">
        <f>'Grades Summary'!X114</f>
        <v>--</v>
      </c>
      <c r="D115" s="14" t="str">
        <f>'Grades Summary'!Y114</f>
        <v>--</v>
      </c>
      <c r="E115" s="14" t="str">
        <f>'Grades Summary'!Z114</f>
        <v>--</v>
      </c>
      <c r="F115" s="14" t="str">
        <f>'Grades Summary'!AA114</f>
        <v>--</v>
      </c>
      <c r="G115" s="14" t="str">
        <f>'Grades Summary'!AB114</f>
        <v>--</v>
      </c>
      <c r="H115" s="14" t="str">
        <f>'Grades Summary'!AD114</f>
        <v>--</v>
      </c>
      <c r="I115" s="14" t="str">
        <f>'Grades Summary'!AE114</f>
        <v>--</v>
      </c>
      <c r="J115" s="14" t="str">
        <f>'Grades Summary'!AF114</f>
        <v>--</v>
      </c>
      <c r="K115" s="14">
        <f>'Grades Summary'!AG114</f>
        <v>0</v>
      </c>
      <c r="L115" s="14" t="e">
        <f>'Grades Summary'!AH114</f>
        <v>#NUM!</v>
      </c>
      <c r="M115" s="14"/>
      <c r="N115" s="36"/>
      <c r="O115" s="36"/>
      <c r="P115" s="36"/>
      <c r="Q115" s="15">
        <f>Student!B114</f>
        <v>0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CB1E76-0CEC-443C-8352-A03F6C3D13B5}">
          <x14:formula1>
            <xm:f>Conduct!$C$6:$C$767</xm:f>
          </x14:formula1>
          <xm:sqref>N66:N115 O57 N3:N64</xm:sqref>
        </x14:dataValidation>
        <x14:dataValidation type="list" allowBlank="1" showInputMessage="1" showErrorMessage="1" xr:uid="{00000000-0002-0000-0600-000000000000}">
          <x14:formula1>
            <xm:f>'Class Teachers'!$B$2:$B$17</xm:f>
          </x14:formula1>
          <xm:sqref>M3:M115</xm:sqref>
        </x14:dataValidation>
        <x14:dataValidation type="list" allowBlank="1" showInputMessage="1" showErrorMessage="1" xr:uid="{AAA46C1C-9F98-4711-941B-F1C2FE9C218D}">
          <x14:formula1>
            <xm:f>'Interest Attitude'!$C$6:$C$1202</xm:f>
          </x14:formula1>
          <xm:sqref>O3:O115</xm:sqref>
        </x14:dataValidation>
        <x14:dataValidation type="list" allowBlank="1" showInputMessage="1" showErrorMessage="1" xr:uid="{00000000-0002-0000-0600-000001000000}">
          <x14:formula1>
            <xm:f>'General Remarks'!$C$6:$C$117</xm:f>
          </x14:formula1>
          <xm:sqref>P3:P115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B328"/>
  <sheetViews>
    <sheetView workbookViewId="0">
      <selection activeCell="B1" sqref="B1"/>
    </sheetView>
  </sheetViews>
  <sheetFormatPr defaultRowHeight="15" x14ac:dyDescent="0.25"/>
  <cols>
    <col min="1" max="1" width="54.85546875" customWidth="1"/>
    <col min="2" max="2" width="14.7109375" customWidth="1"/>
  </cols>
  <sheetData>
    <row r="1" spans="1:2" x14ac:dyDescent="0.25">
      <c r="A1" s="32" t="s">
        <v>161</v>
      </c>
      <c r="B1" s="31" t="s">
        <v>62</v>
      </c>
    </row>
    <row r="2" spans="1:2" ht="15.75" x14ac:dyDescent="0.25">
      <c r="A2" s="2" t="str">
        <f>Student!B2</f>
        <v xml:space="preserve">AGBENOR  ALFRED </v>
      </c>
      <c r="B2" s="14">
        <v>66</v>
      </c>
    </row>
    <row r="3" spans="1:2" ht="15.75" x14ac:dyDescent="0.25">
      <c r="A3" s="2" t="str">
        <f>Student!B3</f>
        <v xml:space="preserve">AGBENU JORDAN </v>
      </c>
      <c r="B3" s="14">
        <v>60</v>
      </c>
    </row>
    <row r="4" spans="1:2" ht="15.75" x14ac:dyDescent="0.25">
      <c r="A4" s="2" t="str">
        <f>Student!B4</f>
        <v>AGBO PRINCE</v>
      </c>
      <c r="B4" s="14">
        <v>51</v>
      </c>
    </row>
    <row r="5" spans="1:2" ht="15.75" x14ac:dyDescent="0.25">
      <c r="A5" s="2" t="str">
        <f>Student!B5</f>
        <v xml:space="preserve">AGBOTSE EBENEZER </v>
      </c>
      <c r="B5" s="14">
        <v>47</v>
      </c>
    </row>
    <row r="6" spans="1:2" ht="15.75" x14ac:dyDescent="0.25">
      <c r="A6" s="2" t="str">
        <f>Student!B6</f>
        <v xml:space="preserve">APPIAH EMMANUEL </v>
      </c>
      <c r="B6" s="14">
        <v>48</v>
      </c>
    </row>
    <row r="7" spans="1:2" ht="15.75" x14ac:dyDescent="0.25">
      <c r="A7" s="2" t="str">
        <f>Student!B7</f>
        <v xml:space="preserve">ASARE RICHMOND </v>
      </c>
      <c r="B7" s="14">
        <v>64</v>
      </c>
    </row>
    <row r="8" spans="1:2" ht="15.75" x14ac:dyDescent="0.25">
      <c r="A8" s="2" t="str">
        <f>Student!B8</f>
        <v xml:space="preserve">ASIAMAH JOSEPH </v>
      </c>
      <c r="B8" s="14">
        <v>61</v>
      </c>
    </row>
    <row r="9" spans="1:2" ht="15.75" x14ac:dyDescent="0.25">
      <c r="A9" s="2" t="str">
        <f>Student!B9</f>
        <v>AWUAH KEKELI JERRY</v>
      </c>
      <c r="B9" s="14">
        <v>64</v>
      </c>
    </row>
    <row r="10" spans="1:2" ht="15.75" x14ac:dyDescent="0.25">
      <c r="A10" s="2" t="str">
        <f>Student!B10</f>
        <v xml:space="preserve">BAWA BASSIT </v>
      </c>
      <c r="B10" s="14">
        <v>62</v>
      </c>
    </row>
    <row r="11" spans="1:2" ht="15.75" x14ac:dyDescent="0.25">
      <c r="A11" s="2" t="str">
        <f>Student!B11</f>
        <v xml:space="preserve">DANQWAH PHILIP </v>
      </c>
      <c r="B11" s="14">
        <v>50</v>
      </c>
    </row>
    <row r="12" spans="1:2" ht="15.75" x14ac:dyDescent="0.25">
      <c r="A12" s="2" t="str">
        <f>Student!B12</f>
        <v>DEDIHA GIDEON</v>
      </c>
      <c r="B12" s="14">
        <v>50</v>
      </c>
    </row>
    <row r="13" spans="1:2" ht="15.75" x14ac:dyDescent="0.25">
      <c r="A13" s="2" t="str">
        <f>Student!B13</f>
        <v xml:space="preserve">ENCHILL KENNETH  </v>
      </c>
      <c r="B13" s="14">
        <v>65</v>
      </c>
    </row>
    <row r="14" spans="1:2" ht="15.75" x14ac:dyDescent="0.25">
      <c r="A14" s="2" t="str">
        <f>Student!B14</f>
        <v xml:space="preserve">ENTSIE FRANCIS </v>
      </c>
      <c r="B14" s="14">
        <v>62</v>
      </c>
    </row>
    <row r="15" spans="1:2" ht="15.75" x14ac:dyDescent="0.25">
      <c r="A15" s="2" t="str">
        <f>Student!B15</f>
        <v xml:space="preserve">ESHUN EVANS </v>
      </c>
      <c r="B15" s="14">
        <v>65</v>
      </c>
    </row>
    <row r="16" spans="1:2" ht="15.75" x14ac:dyDescent="0.25">
      <c r="A16" s="2" t="str">
        <f>Student!B16</f>
        <v xml:space="preserve">GOMASHIE PRINCE </v>
      </c>
      <c r="B16" s="14">
        <v>54</v>
      </c>
    </row>
    <row r="17" spans="1:2" ht="15.75" x14ac:dyDescent="0.25">
      <c r="A17" s="2" t="str">
        <f>Student!B17</f>
        <v xml:space="preserve">NUMEGBOR WISDOM </v>
      </c>
      <c r="B17" s="14">
        <v>65</v>
      </c>
    </row>
    <row r="18" spans="1:2" ht="15.75" x14ac:dyDescent="0.25">
      <c r="A18" s="2" t="str">
        <f>Student!B18</f>
        <v xml:space="preserve">OFFEI JUSTICE </v>
      </c>
      <c r="B18" s="14">
        <v>57</v>
      </c>
    </row>
    <row r="19" spans="1:2" ht="15.75" x14ac:dyDescent="0.25">
      <c r="A19" s="2" t="str">
        <f>Student!B19</f>
        <v xml:space="preserve">OSEI BELVIS </v>
      </c>
      <c r="B19" s="14">
        <v>61</v>
      </c>
    </row>
    <row r="20" spans="1:2" ht="15.75" x14ac:dyDescent="0.25">
      <c r="A20" s="2" t="str">
        <f>Student!B20</f>
        <v xml:space="preserve">OTU KOFI SOLOMON  </v>
      </c>
      <c r="B20" s="14">
        <v>47</v>
      </c>
    </row>
    <row r="21" spans="1:2" ht="15.75" x14ac:dyDescent="0.25">
      <c r="A21" s="2" t="str">
        <f>Student!B21</f>
        <v xml:space="preserve">OWUSU RUBEN </v>
      </c>
      <c r="B21" s="14">
        <v>59</v>
      </c>
    </row>
    <row r="22" spans="1:2" ht="15.75" x14ac:dyDescent="0.25">
      <c r="A22" s="2" t="str">
        <f>Student!B22</f>
        <v xml:space="preserve">SEIDU IBRAHIM </v>
      </c>
      <c r="B22" s="14">
        <v>66</v>
      </c>
    </row>
    <row r="23" spans="1:2" ht="15.75" x14ac:dyDescent="0.25">
      <c r="A23" s="2" t="str">
        <f>Student!B23</f>
        <v xml:space="preserve">TAGBOR MICHAEL </v>
      </c>
      <c r="B23" s="14">
        <v>64</v>
      </c>
    </row>
    <row r="24" spans="1:2" ht="15.75" x14ac:dyDescent="0.25">
      <c r="A24" s="2" t="str">
        <f>Student!B24</f>
        <v xml:space="preserve">ACQUAH PRISCILLA  </v>
      </c>
      <c r="B24" s="14">
        <v>64</v>
      </c>
    </row>
    <row r="25" spans="1:2" ht="15.75" x14ac:dyDescent="0.25">
      <c r="A25" s="2" t="str">
        <f>Student!B25</f>
        <v xml:space="preserve">ADI ROSE  </v>
      </c>
      <c r="B25" s="14">
        <v>67</v>
      </c>
    </row>
    <row r="26" spans="1:2" ht="15.75" x14ac:dyDescent="0.25">
      <c r="A26" s="2" t="str">
        <f>Student!B26</f>
        <v xml:space="preserve">ADOMAKO PRISCILLA  </v>
      </c>
      <c r="B26" s="14">
        <v>65</v>
      </c>
    </row>
    <row r="27" spans="1:2" ht="15.75" x14ac:dyDescent="0.25">
      <c r="A27" s="2" t="str">
        <f>Student!B27</f>
        <v xml:space="preserve">AGBEMAZI PRECIOUS  </v>
      </c>
      <c r="B27" s="14">
        <v>62</v>
      </c>
    </row>
    <row r="28" spans="1:2" ht="15.75" x14ac:dyDescent="0.25">
      <c r="A28" s="2" t="str">
        <f>Student!B28</f>
        <v xml:space="preserve">AGBENYEFIA BRIDGET </v>
      </c>
      <c r="B28" s="14">
        <v>63</v>
      </c>
    </row>
    <row r="29" spans="1:2" ht="15.75" x14ac:dyDescent="0.25">
      <c r="A29" s="2" t="str">
        <f>Student!B29</f>
        <v xml:space="preserve">AKATAYURE REGINA  </v>
      </c>
      <c r="B29" s="14">
        <v>65</v>
      </c>
    </row>
    <row r="30" spans="1:2" ht="15.75" x14ac:dyDescent="0.25">
      <c r="A30" s="2" t="str">
        <f>Student!B30</f>
        <v>AKROFI DORCAS</v>
      </c>
      <c r="B30" s="14">
        <v>63</v>
      </c>
    </row>
    <row r="31" spans="1:2" ht="15.75" x14ac:dyDescent="0.25">
      <c r="A31" s="2" t="str">
        <f>Student!B31</f>
        <v xml:space="preserve">AMOAH SAFOA </v>
      </c>
      <c r="B31" s="14">
        <v>67</v>
      </c>
    </row>
    <row r="32" spans="1:2" ht="15.75" x14ac:dyDescent="0.25">
      <c r="A32" s="2" t="str">
        <f>Student!B32</f>
        <v>ANIM AMOAH NHYIRABA</v>
      </c>
      <c r="B32" s="14">
        <v>64</v>
      </c>
    </row>
    <row r="33" spans="1:2" ht="15.75" x14ac:dyDescent="0.25">
      <c r="A33" s="2" t="str">
        <f>Student!B33</f>
        <v xml:space="preserve">APPIAH GLADYS  </v>
      </c>
      <c r="B33" s="14">
        <v>66</v>
      </c>
    </row>
    <row r="34" spans="1:2" ht="15.75" x14ac:dyDescent="0.25">
      <c r="A34" s="2" t="str">
        <f>Student!B34</f>
        <v xml:space="preserve">ASAMOAH STELLA  </v>
      </c>
      <c r="B34" s="14">
        <v>67</v>
      </c>
    </row>
    <row r="35" spans="1:2" ht="15.75" x14ac:dyDescent="0.25">
      <c r="A35" s="2" t="str">
        <f>Student!B35</f>
        <v xml:space="preserve">ASHANGBOR ABIGAIL  </v>
      </c>
      <c r="B35" s="14">
        <v>63</v>
      </c>
    </row>
    <row r="36" spans="1:2" ht="15.75" x14ac:dyDescent="0.25">
      <c r="A36" s="2" t="str">
        <f>Student!B36</f>
        <v xml:space="preserve">ASIGBEY JOYCE  </v>
      </c>
      <c r="B36" s="14">
        <v>67</v>
      </c>
    </row>
    <row r="37" spans="1:2" ht="15.75" x14ac:dyDescent="0.25">
      <c r="A37" s="2" t="str">
        <f>Student!B37</f>
        <v xml:space="preserve">ATTIPOE EUNICE </v>
      </c>
      <c r="B37" s="14">
        <v>62</v>
      </c>
    </row>
    <row r="38" spans="1:2" ht="15.75" x14ac:dyDescent="0.25">
      <c r="A38" s="2" t="str">
        <f>Student!B38</f>
        <v xml:space="preserve">BAAH COMFORT  </v>
      </c>
      <c r="B38" s="14">
        <v>59</v>
      </c>
    </row>
    <row r="39" spans="1:2" ht="15.75" x14ac:dyDescent="0.25">
      <c r="A39" s="2" t="str">
        <f>Student!B39</f>
        <v xml:space="preserve">BOATENG AGNES  </v>
      </c>
      <c r="B39" s="14">
        <v>67</v>
      </c>
    </row>
    <row r="40" spans="1:2" ht="15.75" x14ac:dyDescent="0.25">
      <c r="A40" s="2" t="str">
        <f>Student!B40</f>
        <v xml:space="preserve">BONNEY CHARITY  </v>
      </c>
      <c r="B40" s="14"/>
    </row>
    <row r="41" spans="1:2" ht="15.75" x14ac:dyDescent="0.25">
      <c r="A41" s="2" t="str">
        <f>Student!B41</f>
        <v xml:space="preserve">DIXON HARRIET  </v>
      </c>
      <c r="B41" s="14">
        <v>62</v>
      </c>
    </row>
    <row r="42" spans="1:2" ht="15.75" x14ac:dyDescent="0.25">
      <c r="A42" s="2" t="str">
        <f>Student!B42</f>
        <v xml:space="preserve">DJABA BELINDA  </v>
      </c>
      <c r="B42" s="14">
        <v>57</v>
      </c>
    </row>
    <row r="43" spans="1:2" ht="15.75" x14ac:dyDescent="0.25">
      <c r="A43" s="2" t="str">
        <f>Student!B43</f>
        <v xml:space="preserve">ESSEL EMMANUELLA  </v>
      </c>
      <c r="B43" s="14">
        <v>58</v>
      </c>
    </row>
    <row r="44" spans="1:2" ht="15.75" x14ac:dyDescent="0.25">
      <c r="A44" s="2" t="str">
        <f>Student!B44</f>
        <v xml:space="preserve">GAMAH ANGELA  </v>
      </c>
      <c r="B44" s="14">
        <v>66</v>
      </c>
    </row>
    <row r="45" spans="1:2" ht="15.75" x14ac:dyDescent="0.25">
      <c r="A45" s="2" t="str">
        <f>Student!B45</f>
        <v xml:space="preserve">GAMOR ESTHER  </v>
      </c>
      <c r="B45" s="14">
        <v>65</v>
      </c>
    </row>
    <row r="46" spans="1:2" ht="15.75" x14ac:dyDescent="0.25">
      <c r="A46" s="2" t="str">
        <f>Student!B46</f>
        <v xml:space="preserve">GYEMENA SERWAH  </v>
      </c>
      <c r="B46" s="14">
        <v>59</v>
      </c>
    </row>
    <row r="47" spans="1:2" ht="15.75" x14ac:dyDescent="0.25">
      <c r="A47" s="2" t="str">
        <f>Student!B47</f>
        <v xml:space="preserve">HABLEAME SHILLA  </v>
      </c>
      <c r="B47" s="14">
        <v>64</v>
      </c>
    </row>
    <row r="48" spans="1:2" ht="15.75" x14ac:dyDescent="0.25">
      <c r="A48" s="2" t="str">
        <f>Student!B48</f>
        <v xml:space="preserve">MENSAH FLORENCE  </v>
      </c>
      <c r="B48" s="14">
        <v>67</v>
      </c>
    </row>
    <row r="49" spans="1:2" ht="15.75" x14ac:dyDescent="0.25">
      <c r="A49" s="2" t="str">
        <f>Student!B49</f>
        <v xml:space="preserve">MENSAH VANESSA  </v>
      </c>
      <c r="B49" s="14"/>
    </row>
    <row r="50" spans="1:2" ht="15.75" x14ac:dyDescent="0.25">
      <c r="A50" s="2" t="str">
        <f>Student!B50</f>
        <v xml:space="preserve">NKETIA POKUAA CECELIA  </v>
      </c>
      <c r="B50" s="14">
        <v>67</v>
      </c>
    </row>
    <row r="51" spans="1:2" ht="15.75" x14ac:dyDescent="0.25">
      <c r="A51" s="2" t="str">
        <f>Student!B51</f>
        <v xml:space="preserve">ODOI MARGARET  </v>
      </c>
      <c r="B51" s="14">
        <v>58</v>
      </c>
    </row>
    <row r="52" spans="1:2" ht="15.75" x14ac:dyDescent="0.25">
      <c r="A52" s="2" t="str">
        <f>Student!B52</f>
        <v xml:space="preserve">OKYERE PRISCILLA  </v>
      </c>
      <c r="B52" s="14">
        <v>65</v>
      </c>
    </row>
    <row r="53" spans="1:2" ht="15.75" x14ac:dyDescent="0.25">
      <c r="A53" s="2" t="str">
        <f>Student!B53</f>
        <v xml:space="preserve">SALIFU ZULAIHA  </v>
      </c>
      <c r="B53" s="14">
        <v>63</v>
      </c>
    </row>
    <row r="54" spans="1:2" ht="15.75" x14ac:dyDescent="0.25">
      <c r="A54" s="2" t="str">
        <f>Student!B54</f>
        <v>SEFA AMA OWUSUWAA</v>
      </c>
      <c r="B54" s="14">
        <v>66</v>
      </c>
    </row>
    <row r="55" spans="1:2" ht="15.75" x14ac:dyDescent="0.25">
      <c r="A55" s="2" t="str">
        <f>Student!B55</f>
        <v xml:space="preserve">TETTEH MAVIS  </v>
      </c>
      <c r="B55" s="14">
        <v>66</v>
      </c>
    </row>
    <row r="56" spans="1:2" ht="15.75" x14ac:dyDescent="0.25">
      <c r="A56" s="2" t="str">
        <f>Student!B56</f>
        <v xml:space="preserve">TWUMASI VERA  </v>
      </c>
      <c r="B56" s="14">
        <v>61</v>
      </c>
    </row>
    <row r="57" spans="1:2" ht="15.75" x14ac:dyDescent="0.25">
      <c r="A57" s="2" t="str">
        <f>Student!B57</f>
        <v xml:space="preserve">WORMENOR JULIA  </v>
      </c>
      <c r="B57" s="14">
        <v>67</v>
      </c>
    </row>
    <row r="58" spans="1:2" ht="15.75" x14ac:dyDescent="0.25">
      <c r="A58" s="2" t="str">
        <f>Student!B58</f>
        <v xml:space="preserve">YEBOAH OLIVIA  </v>
      </c>
      <c r="B58" s="14">
        <v>62</v>
      </c>
    </row>
    <row r="59" spans="1:2" ht="15.75" x14ac:dyDescent="0.25">
      <c r="A59" s="2" t="str">
        <f>Student!B59</f>
        <v>BRAHENE PRISCILLA</v>
      </c>
      <c r="B59" s="14"/>
    </row>
    <row r="60" spans="1:2" ht="15.75" x14ac:dyDescent="0.25">
      <c r="A60" s="2">
        <f>Student!B60</f>
        <v>0</v>
      </c>
      <c r="B60" s="14"/>
    </row>
    <row r="61" spans="1:2" ht="15.75" x14ac:dyDescent="0.25">
      <c r="A61" s="2">
        <f>Student!B61</f>
        <v>0</v>
      </c>
      <c r="B61" s="14"/>
    </row>
    <row r="62" spans="1:2" ht="15.75" x14ac:dyDescent="0.25">
      <c r="A62" s="2">
        <f>Student!B62</f>
        <v>0</v>
      </c>
      <c r="B62" s="14"/>
    </row>
    <row r="63" spans="1:2" ht="15.75" x14ac:dyDescent="0.25">
      <c r="A63" s="2">
        <f>Student!B63</f>
        <v>0</v>
      </c>
      <c r="B63" s="14"/>
    </row>
    <row r="64" spans="1:2" ht="15.75" x14ac:dyDescent="0.25">
      <c r="A64" s="2">
        <f>Student!B64</f>
        <v>0</v>
      </c>
      <c r="B64" s="14"/>
    </row>
    <row r="65" spans="1:2" ht="15.75" x14ac:dyDescent="0.25">
      <c r="A65" s="2">
        <f>Student!B65</f>
        <v>0</v>
      </c>
      <c r="B65" s="14"/>
    </row>
    <row r="66" spans="1:2" ht="15.75" x14ac:dyDescent="0.25">
      <c r="A66" s="2">
        <f>Student!B66</f>
        <v>0</v>
      </c>
      <c r="B66" s="14"/>
    </row>
    <row r="67" spans="1:2" ht="15.75" x14ac:dyDescent="0.25">
      <c r="A67" s="2">
        <f>Student!B67</f>
        <v>0</v>
      </c>
      <c r="B67" s="14"/>
    </row>
    <row r="68" spans="1:2" ht="15.75" x14ac:dyDescent="0.25">
      <c r="A68" s="2">
        <f>Student!B68</f>
        <v>0</v>
      </c>
      <c r="B68" s="14"/>
    </row>
    <row r="69" spans="1:2" ht="15.75" x14ac:dyDescent="0.25">
      <c r="A69" s="2">
        <f>Student!B69</f>
        <v>0</v>
      </c>
      <c r="B69" s="14"/>
    </row>
    <row r="70" spans="1:2" ht="15.75" x14ac:dyDescent="0.25">
      <c r="A70" s="2">
        <f>Student!B70</f>
        <v>0</v>
      </c>
      <c r="B70" s="14"/>
    </row>
    <row r="71" spans="1:2" ht="15.75" x14ac:dyDescent="0.25">
      <c r="A71" s="2">
        <f>Student!B71</f>
        <v>0</v>
      </c>
      <c r="B71" s="14"/>
    </row>
    <row r="72" spans="1:2" ht="15.75" x14ac:dyDescent="0.25">
      <c r="A72" s="2">
        <f>Student!B72</f>
        <v>0</v>
      </c>
      <c r="B72" s="14"/>
    </row>
    <row r="73" spans="1:2" ht="15.75" x14ac:dyDescent="0.25">
      <c r="A73" s="2">
        <f>Student!B73</f>
        <v>0</v>
      </c>
      <c r="B73" s="14"/>
    </row>
    <row r="74" spans="1:2" ht="15.75" x14ac:dyDescent="0.25">
      <c r="A74" s="2">
        <f>Student!B74</f>
        <v>0</v>
      </c>
      <c r="B74" s="14"/>
    </row>
    <row r="75" spans="1:2" ht="15.75" x14ac:dyDescent="0.25">
      <c r="A75" s="2">
        <f>Student!B75</f>
        <v>0</v>
      </c>
      <c r="B75" s="14"/>
    </row>
    <row r="76" spans="1:2" ht="15.75" x14ac:dyDescent="0.25">
      <c r="A76" s="2">
        <f>Student!B76</f>
        <v>0</v>
      </c>
      <c r="B76" s="14"/>
    </row>
    <row r="77" spans="1:2" ht="15.75" x14ac:dyDescent="0.25">
      <c r="A77" s="2">
        <f>Student!B77</f>
        <v>0</v>
      </c>
      <c r="B77" s="14"/>
    </row>
    <row r="78" spans="1:2" ht="15.75" x14ac:dyDescent="0.25">
      <c r="A78" s="2">
        <f>Student!B78</f>
        <v>0</v>
      </c>
      <c r="B78" s="14"/>
    </row>
    <row r="79" spans="1:2" ht="15.75" x14ac:dyDescent="0.25">
      <c r="A79" s="2">
        <f>Student!B79</f>
        <v>0</v>
      </c>
      <c r="B79" s="14"/>
    </row>
    <row r="80" spans="1:2" ht="15.75" x14ac:dyDescent="0.25">
      <c r="A80" s="2">
        <f>Student!B80</f>
        <v>0</v>
      </c>
      <c r="B80" s="14"/>
    </row>
    <row r="81" spans="1:2" ht="15.75" x14ac:dyDescent="0.25">
      <c r="A81" s="2">
        <f>Student!B81</f>
        <v>0</v>
      </c>
      <c r="B81" s="14"/>
    </row>
    <row r="82" spans="1:2" ht="15.75" x14ac:dyDescent="0.25">
      <c r="A82" s="2">
        <f>Student!B82</f>
        <v>0</v>
      </c>
      <c r="B82" s="14"/>
    </row>
    <row r="83" spans="1:2" ht="15.75" x14ac:dyDescent="0.25">
      <c r="A83" s="2">
        <f>Student!B83</f>
        <v>0</v>
      </c>
      <c r="B83" s="14"/>
    </row>
    <row r="84" spans="1:2" ht="15.75" x14ac:dyDescent="0.25">
      <c r="A84" s="2">
        <f>Student!B84</f>
        <v>0</v>
      </c>
      <c r="B84" s="14"/>
    </row>
    <row r="85" spans="1:2" ht="15.75" x14ac:dyDescent="0.25">
      <c r="A85" s="2">
        <f>Student!B85</f>
        <v>0</v>
      </c>
      <c r="B85" s="14"/>
    </row>
    <row r="86" spans="1:2" ht="15.75" x14ac:dyDescent="0.25">
      <c r="A86" s="2">
        <f>Student!B86</f>
        <v>0</v>
      </c>
      <c r="B86" s="14"/>
    </row>
    <row r="87" spans="1:2" ht="15.75" x14ac:dyDescent="0.25">
      <c r="A87" s="2">
        <f>Student!B87</f>
        <v>0</v>
      </c>
      <c r="B87" s="14"/>
    </row>
    <row r="88" spans="1:2" ht="15.75" x14ac:dyDescent="0.25">
      <c r="A88" s="2">
        <f>Student!B88</f>
        <v>0</v>
      </c>
      <c r="B88" s="14"/>
    </row>
    <row r="89" spans="1:2" ht="15.75" x14ac:dyDescent="0.25">
      <c r="A89" s="2">
        <f>Student!B89</f>
        <v>0</v>
      </c>
      <c r="B89" s="14"/>
    </row>
    <row r="90" spans="1:2" ht="15.75" x14ac:dyDescent="0.25">
      <c r="A90" s="2">
        <f>Student!B90</f>
        <v>0</v>
      </c>
      <c r="B90" s="14"/>
    </row>
    <row r="91" spans="1:2" ht="15.75" x14ac:dyDescent="0.25">
      <c r="A91" s="2">
        <f>Student!B91</f>
        <v>0</v>
      </c>
      <c r="B91" s="14"/>
    </row>
    <row r="92" spans="1:2" ht="15.75" x14ac:dyDescent="0.25">
      <c r="A92" s="2">
        <f>Student!B92</f>
        <v>0</v>
      </c>
      <c r="B92" s="14"/>
    </row>
    <row r="93" spans="1:2" ht="15.75" x14ac:dyDescent="0.25">
      <c r="A93" s="2">
        <f>Student!B93</f>
        <v>0</v>
      </c>
      <c r="B93" s="14"/>
    </row>
    <row r="94" spans="1:2" ht="15.75" x14ac:dyDescent="0.25">
      <c r="A94" s="2">
        <f>Student!B94</f>
        <v>0</v>
      </c>
      <c r="B94" s="14"/>
    </row>
    <row r="95" spans="1:2" ht="15.75" x14ac:dyDescent="0.25">
      <c r="A95" s="2">
        <f>Student!B95</f>
        <v>0</v>
      </c>
      <c r="B95" s="14"/>
    </row>
    <row r="96" spans="1:2" ht="15.75" x14ac:dyDescent="0.25">
      <c r="A96" s="2">
        <f>Student!B96</f>
        <v>0</v>
      </c>
      <c r="B96" s="14"/>
    </row>
    <row r="97" spans="1:2" ht="15.75" x14ac:dyDescent="0.25">
      <c r="A97" s="2">
        <f>Student!B97</f>
        <v>0</v>
      </c>
      <c r="B97" s="14"/>
    </row>
    <row r="98" spans="1:2" ht="15.75" x14ac:dyDescent="0.25">
      <c r="A98" s="2">
        <f>Student!B98</f>
        <v>0</v>
      </c>
      <c r="B98" s="14"/>
    </row>
    <row r="99" spans="1:2" ht="15.75" x14ac:dyDescent="0.25">
      <c r="A99" s="2">
        <f>Student!B99</f>
        <v>0</v>
      </c>
      <c r="B99" s="14"/>
    </row>
    <row r="100" spans="1:2" ht="15.75" x14ac:dyDescent="0.25">
      <c r="A100" s="2">
        <f>Student!B100</f>
        <v>0</v>
      </c>
      <c r="B100" s="14"/>
    </row>
    <row r="101" spans="1:2" ht="15.75" x14ac:dyDescent="0.25">
      <c r="A101" s="2">
        <f>Student!B101</f>
        <v>0</v>
      </c>
      <c r="B101" s="14"/>
    </row>
    <row r="102" spans="1:2" ht="15.75" x14ac:dyDescent="0.25">
      <c r="A102" s="2">
        <f>Student!B102</f>
        <v>0</v>
      </c>
      <c r="B102" s="14"/>
    </row>
    <row r="103" spans="1:2" ht="15.75" x14ac:dyDescent="0.25">
      <c r="A103" s="2">
        <f>Student!B103</f>
        <v>0</v>
      </c>
      <c r="B103" s="14"/>
    </row>
    <row r="104" spans="1:2" ht="15.75" x14ac:dyDescent="0.25">
      <c r="A104" s="2">
        <f>Student!B104</f>
        <v>0</v>
      </c>
      <c r="B104" s="14"/>
    </row>
    <row r="105" spans="1:2" ht="15.75" x14ac:dyDescent="0.25">
      <c r="A105" s="2">
        <f>Student!B105</f>
        <v>0</v>
      </c>
      <c r="B105" s="14"/>
    </row>
    <row r="106" spans="1:2" ht="15.75" x14ac:dyDescent="0.25">
      <c r="A106" s="2">
        <f>Student!B106</f>
        <v>0</v>
      </c>
      <c r="B106" s="14"/>
    </row>
    <row r="107" spans="1:2" ht="15.75" x14ac:dyDescent="0.25">
      <c r="A107" s="2">
        <f>Student!B107</f>
        <v>0</v>
      </c>
      <c r="B107" s="14"/>
    </row>
    <row r="108" spans="1:2" ht="15.75" x14ac:dyDescent="0.25">
      <c r="A108" s="2">
        <f>Student!B108</f>
        <v>0</v>
      </c>
      <c r="B108" s="14"/>
    </row>
    <row r="109" spans="1:2" ht="15.75" x14ac:dyDescent="0.25">
      <c r="A109" s="2">
        <f>Student!B109</f>
        <v>0</v>
      </c>
      <c r="B109" s="14"/>
    </row>
    <row r="110" spans="1:2" ht="15.75" x14ac:dyDescent="0.25">
      <c r="A110" s="2">
        <f>Student!B110</f>
        <v>0</v>
      </c>
      <c r="B110" s="14"/>
    </row>
    <row r="111" spans="1:2" ht="15.75" x14ac:dyDescent="0.25">
      <c r="A111" s="2">
        <f>Student!B111</f>
        <v>0</v>
      </c>
      <c r="B111" s="14"/>
    </row>
    <row r="112" spans="1:2" ht="15.75" x14ac:dyDescent="0.25">
      <c r="A112" s="2">
        <f>Student!B112</f>
        <v>0</v>
      </c>
      <c r="B112" s="14"/>
    </row>
    <row r="113" spans="1:2" ht="15.75" x14ac:dyDescent="0.25">
      <c r="A113" s="2">
        <f>Student!B113</f>
        <v>0</v>
      </c>
      <c r="B113" s="14"/>
    </row>
    <row r="114" spans="1:2" ht="15.75" x14ac:dyDescent="0.25">
      <c r="A114" s="2">
        <f>Student!B114</f>
        <v>0</v>
      </c>
      <c r="B114" s="14"/>
    </row>
    <row r="115" spans="1:2" ht="15.75" x14ac:dyDescent="0.25">
      <c r="A115" s="2">
        <f>Student!B115</f>
        <v>0</v>
      </c>
      <c r="B115" s="14"/>
    </row>
    <row r="116" spans="1:2" ht="15.75" x14ac:dyDescent="0.25">
      <c r="A116" s="2">
        <f>Student!B116</f>
        <v>0</v>
      </c>
      <c r="B116" s="14"/>
    </row>
    <row r="117" spans="1:2" ht="15.75" x14ac:dyDescent="0.25">
      <c r="A117" s="2">
        <f>Student!B117</f>
        <v>0</v>
      </c>
      <c r="B117" s="14"/>
    </row>
    <row r="118" spans="1:2" ht="15.75" x14ac:dyDescent="0.25">
      <c r="A118" s="2">
        <f>Student!B118</f>
        <v>0</v>
      </c>
      <c r="B118" s="14"/>
    </row>
    <row r="119" spans="1:2" ht="15.75" x14ac:dyDescent="0.25">
      <c r="A119" s="2">
        <f>Student!B119</f>
        <v>0</v>
      </c>
      <c r="B119" s="14"/>
    </row>
    <row r="120" spans="1:2" ht="15.75" x14ac:dyDescent="0.25">
      <c r="A120" s="2">
        <f>Student!B120</f>
        <v>0</v>
      </c>
      <c r="B120" s="14"/>
    </row>
    <row r="121" spans="1:2" ht="15.75" x14ac:dyDescent="0.25">
      <c r="A121" s="2">
        <f>Student!B121</f>
        <v>0</v>
      </c>
      <c r="B121" s="14"/>
    </row>
    <row r="122" spans="1:2" ht="15.75" x14ac:dyDescent="0.25">
      <c r="A122" s="2">
        <f>Student!B122</f>
        <v>0</v>
      </c>
      <c r="B122" s="14"/>
    </row>
    <row r="123" spans="1:2" ht="15.75" x14ac:dyDescent="0.25">
      <c r="A123" s="2">
        <f>Student!B123</f>
        <v>0</v>
      </c>
      <c r="B123" s="14"/>
    </row>
    <row r="124" spans="1:2" ht="15.75" x14ac:dyDescent="0.25">
      <c r="A124" s="2">
        <f>Student!B124</f>
        <v>0</v>
      </c>
      <c r="B124" s="14"/>
    </row>
    <row r="125" spans="1:2" ht="15.75" x14ac:dyDescent="0.25">
      <c r="A125" s="2">
        <f>Student!B125</f>
        <v>0</v>
      </c>
      <c r="B125" s="14"/>
    </row>
    <row r="126" spans="1:2" ht="15.75" x14ac:dyDescent="0.25">
      <c r="A126" s="2">
        <f>Student!B126</f>
        <v>0</v>
      </c>
      <c r="B126" s="14"/>
    </row>
    <row r="127" spans="1:2" ht="15.75" x14ac:dyDescent="0.25">
      <c r="A127" s="2">
        <f>Student!B127</f>
        <v>0</v>
      </c>
      <c r="B127" s="14"/>
    </row>
    <row r="128" spans="1:2" ht="15.75" x14ac:dyDescent="0.25">
      <c r="A128" s="2">
        <f>Student!B128</f>
        <v>0</v>
      </c>
      <c r="B128" s="14"/>
    </row>
    <row r="129" spans="1:2" ht="15.75" x14ac:dyDescent="0.25">
      <c r="A129" s="2">
        <f>Student!B129</f>
        <v>0</v>
      </c>
      <c r="B129" s="14"/>
    </row>
    <row r="130" spans="1:2" ht="15.75" x14ac:dyDescent="0.25">
      <c r="A130" s="2">
        <f>Student!B130</f>
        <v>0</v>
      </c>
      <c r="B130" s="14"/>
    </row>
    <row r="131" spans="1:2" ht="15.75" x14ac:dyDescent="0.25">
      <c r="A131" s="2">
        <f>Student!B131</f>
        <v>0</v>
      </c>
      <c r="B131" s="14"/>
    </row>
    <row r="132" spans="1:2" ht="15.75" x14ac:dyDescent="0.25">
      <c r="A132" s="2">
        <f>Student!B132</f>
        <v>0</v>
      </c>
      <c r="B132" s="14"/>
    </row>
    <row r="133" spans="1:2" ht="15.75" x14ac:dyDescent="0.25">
      <c r="A133" s="2">
        <f>Student!B133</f>
        <v>0</v>
      </c>
      <c r="B133" s="14"/>
    </row>
    <row r="134" spans="1:2" ht="15.75" x14ac:dyDescent="0.25">
      <c r="A134" s="2">
        <f>Student!B134</f>
        <v>0</v>
      </c>
      <c r="B134" s="14"/>
    </row>
    <row r="135" spans="1:2" ht="15.75" x14ac:dyDescent="0.25">
      <c r="A135" s="2">
        <f>Student!B135</f>
        <v>0</v>
      </c>
      <c r="B135" s="14"/>
    </row>
    <row r="136" spans="1:2" ht="15.75" x14ac:dyDescent="0.25">
      <c r="A136" s="2">
        <f>Student!B136</f>
        <v>0</v>
      </c>
      <c r="B136" s="14"/>
    </row>
    <row r="137" spans="1:2" ht="15.75" x14ac:dyDescent="0.25">
      <c r="A137" s="2">
        <f>Student!B137</f>
        <v>0</v>
      </c>
      <c r="B137" s="14"/>
    </row>
    <row r="138" spans="1:2" ht="15.75" x14ac:dyDescent="0.25">
      <c r="A138" s="2">
        <f>Student!B138</f>
        <v>0</v>
      </c>
      <c r="B138" s="14"/>
    </row>
    <row r="139" spans="1:2" ht="15.75" x14ac:dyDescent="0.25">
      <c r="A139" s="2">
        <f>Student!B139</f>
        <v>0</v>
      </c>
      <c r="B139" s="14"/>
    </row>
    <row r="140" spans="1:2" ht="15.75" x14ac:dyDescent="0.25">
      <c r="A140" s="2">
        <f>Student!B140</f>
        <v>0</v>
      </c>
      <c r="B140" s="14"/>
    </row>
    <row r="141" spans="1:2" ht="15.75" x14ac:dyDescent="0.25">
      <c r="A141" s="2"/>
      <c r="B141" s="14"/>
    </row>
    <row r="142" spans="1:2" ht="15.75" x14ac:dyDescent="0.25">
      <c r="A142" s="2"/>
      <c r="B142" s="14"/>
    </row>
    <row r="143" spans="1:2" ht="15.75" x14ac:dyDescent="0.25">
      <c r="A143" s="2"/>
      <c r="B143" s="14"/>
    </row>
    <row r="144" spans="1:2" ht="15.75" x14ac:dyDescent="0.25">
      <c r="A144" s="2"/>
      <c r="B144" s="14"/>
    </row>
    <row r="145" spans="1:2" ht="15.75" x14ac:dyDescent="0.25">
      <c r="A145" s="2"/>
      <c r="B145" s="14"/>
    </row>
    <row r="146" spans="1:2" ht="15.75" x14ac:dyDescent="0.25">
      <c r="A146" s="2"/>
      <c r="B146" s="14"/>
    </row>
    <row r="147" spans="1:2" ht="15.75" x14ac:dyDescent="0.25">
      <c r="A147" s="2"/>
      <c r="B147" s="14"/>
    </row>
    <row r="148" spans="1:2" ht="15.75" x14ac:dyDescent="0.25">
      <c r="A148" s="2"/>
      <c r="B148" s="14"/>
    </row>
    <row r="149" spans="1:2" ht="15.75" x14ac:dyDescent="0.25">
      <c r="A149" s="2"/>
      <c r="B149" s="14"/>
    </row>
    <row r="150" spans="1:2" ht="15.75" x14ac:dyDescent="0.25">
      <c r="A150" s="2"/>
      <c r="B150" s="14"/>
    </row>
    <row r="151" spans="1:2" ht="15.75" x14ac:dyDescent="0.25">
      <c r="A151" s="2"/>
      <c r="B151" s="14"/>
    </row>
    <row r="152" spans="1:2" ht="15.75" x14ac:dyDescent="0.25">
      <c r="A152" s="2"/>
      <c r="B152" s="14"/>
    </row>
    <row r="153" spans="1:2" ht="15.75" x14ac:dyDescent="0.25">
      <c r="A153" s="2"/>
      <c r="B153" s="14"/>
    </row>
    <row r="154" spans="1:2" ht="15.75" x14ac:dyDescent="0.25">
      <c r="A154" s="2"/>
      <c r="B154" s="14"/>
    </row>
    <row r="155" spans="1:2" ht="15.75" x14ac:dyDescent="0.25">
      <c r="A155" s="2"/>
      <c r="B155" s="14"/>
    </row>
    <row r="156" spans="1:2" ht="15.75" x14ac:dyDescent="0.25">
      <c r="A156" s="2"/>
      <c r="B156" s="14"/>
    </row>
    <row r="157" spans="1:2" ht="15.75" x14ac:dyDescent="0.25">
      <c r="A157" s="2"/>
      <c r="B157" s="14"/>
    </row>
    <row r="158" spans="1:2" ht="15.75" x14ac:dyDescent="0.25">
      <c r="A158" s="2"/>
      <c r="B158" s="14"/>
    </row>
    <row r="159" spans="1:2" ht="15.75" x14ac:dyDescent="0.25">
      <c r="A159" s="2"/>
      <c r="B159" s="14"/>
    </row>
    <row r="160" spans="1:2" ht="15.75" x14ac:dyDescent="0.25">
      <c r="A160" s="2"/>
      <c r="B160" s="14"/>
    </row>
    <row r="161" spans="1:2" ht="15.75" x14ac:dyDescent="0.25">
      <c r="A161" s="2"/>
      <c r="B161" s="14"/>
    </row>
    <row r="162" spans="1:2" ht="15.75" x14ac:dyDescent="0.25">
      <c r="A162" s="2"/>
      <c r="B162" s="14"/>
    </row>
    <row r="163" spans="1:2" ht="15.75" x14ac:dyDescent="0.25">
      <c r="A163" s="2"/>
      <c r="B163" s="14"/>
    </row>
    <row r="164" spans="1:2" ht="15.75" x14ac:dyDescent="0.25">
      <c r="A164" s="2"/>
      <c r="B164" s="14"/>
    </row>
    <row r="165" spans="1:2" ht="15.75" x14ac:dyDescent="0.25">
      <c r="A165" s="2"/>
      <c r="B165" s="14"/>
    </row>
    <row r="166" spans="1:2" ht="15.75" x14ac:dyDescent="0.25">
      <c r="A166" s="2"/>
      <c r="B166" s="14"/>
    </row>
    <row r="167" spans="1:2" ht="15.75" x14ac:dyDescent="0.25">
      <c r="A167" s="2"/>
      <c r="B167" s="14"/>
    </row>
    <row r="168" spans="1:2" ht="15.75" x14ac:dyDescent="0.25">
      <c r="A168" s="2"/>
      <c r="B168" s="14"/>
    </row>
    <row r="169" spans="1:2" ht="15.75" x14ac:dyDescent="0.25">
      <c r="A169" s="2"/>
      <c r="B169" s="14"/>
    </row>
    <row r="170" spans="1:2" ht="15.75" x14ac:dyDescent="0.25">
      <c r="A170" s="2"/>
      <c r="B170" s="14"/>
    </row>
    <row r="171" spans="1:2" ht="15.75" x14ac:dyDescent="0.25">
      <c r="A171" s="2"/>
      <c r="B171" s="14"/>
    </row>
    <row r="172" spans="1:2" ht="15.75" x14ac:dyDescent="0.25">
      <c r="A172" s="2"/>
      <c r="B172" s="14"/>
    </row>
    <row r="173" spans="1:2" ht="15.75" x14ac:dyDescent="0.25">
      <c r="A173" s="2"/>
      <c r="B173" s="14"/>
    </row>
    <row r="174" spans="1:2" ht="15.75" x14ac:dyDescent="0.25">
      <c r="A174" s="2"/>
      <c r="B174" s="14"/>
    </row>
    <row r="175" spans="1:2" ht="15.75" x14ac:dyDescent="0.25">
      <c r="A175" s="2"/>
      <c r="B175" s="14"/>
    </row>
    <row r="176" spans="1:2" ht="15.75" x14ac:dyDescent="0.25">
      <c r="A176" s="2"/>
      <c r="B176" s="14"/>
    </row>
    <row r="177" spans="1:2" ht="15.75" x14ac:dyDescent="0.25">
      <c r="A177" s="2"/>
      <c r="B177" s="14"/>
    </row>
    <row r="178" spans="1:2" ht="15.75" x14ac:dyDescent="0.25">
      <c r="A178" s="2"/>
      <c r="B178" s="14"/>
    </row>
    <row r="179" spans="1:2" ht="15.75" x14ac:dyDescent="0.25">
      <c r="A179" s="2"/>
      <c r="B179" s="14"/>
    </row>
    <row r="180" spans="1:2" ht="15.75" x14ac:dyDescent="0.25">
      <c r="A180" s="2"/>
      <c r="B180" s="14"/>
    </row>
    <row r="181" spans="1:2" ht="15.75" x14ac:dyDescent="0.25">
      <c r="A181" s="2"/>
      <c r="B181" s="14"/>
    </row>
    <row r="182" spans="1:2" ht="15.75" x14ac:dyDescent="0.25">
      <c r="A182" s="2"/>
      <c r="B182" s="14"/>
    </row>
    <row r="183" spans="1:2" ht="15.75" x14ac:dyDescent="0.25">
      <c r="A183" s="2"/>
      <c r="B183" s="14"/>
    </row>
    <row r="184" spans="1:2" ht="15.75" x14ac:dyDescent="0.25">
      <c r="A184" s="2"/>
      <c r="B184" s="14"/>
    </row>
    <row r="185" spans="1:2" ht="15.75" x14ac:dyDescent="0.25">
      <c r="A185" s="2"/>
      <c r="B185" s="14"/>
    </row>
    <row r="186" spans="1:2" ht="15.75" x14ac:dyDescent="0.25">
      <c r="A186" s="2"/>
      <c r="B186" s="14"/>
    </row>
    <row r="187" spans="1:2" ht="15.75" x14ac:dyDescent="0.25">
      <c r="A187" s="2"/>
      <c r="B187" s="14"/>
    </row>
    <row r="188" spans="1:2" ht="15.75" x14ac:dyDescent="0.25">
      <c r="A188" s="2"/>
      <c r="B188" s="14"/>
    </row>
    <row r="189" spans="1:2" ht="15.75" x14ac:dyDescent="0.25">
      <c r="A189" s="2"/>
      <c r="B189" s="14"/>
    </row>
    <row r="190" spans="1:2" ht="15.75" x14ac:dyDescent="0.25">
      <c r="A190" s="2"/>
      <c r="B190" s="14"/>
    </row>
    <row r="191" spans="1:2" ht="15.75" x14ac:dyDescent="0.25">
      <c r="A191" s="2"/>
      <c r="B191" s="14"/>
    </row>
    <row r="192" spans="1:2" ht="15.75" x14ac:dyDescent="0.25">
      <c r="A192" s="2"/>
      <c r="B192" s="14"/>
    </row>
    <row r="193" spans="1:2" ht="15.75" x14ac:dyDescent="0.25">
      <c r="A193" s="2"/>
      <c r="B193" s="14"/>
    </row>
    <row r="194" spans="1:2" ht="15.75" x14ac:dyDescent="0.25">
      <c r="A194" s="2"/>
      <c r="B194" s="14"/>
    </row>
    <row r="195" spans="1:2" ht="15.75" x14ac:dyDescent="0.25">
      <c r="A195" s="2"/>
      <c r="B195" s="14"/>
    </row>
    <row r="196" spans="1:2" ht="15.75" x14ac:dyDescent="0.25">
      <c r="A196" s="2"/>
      <c r="B196" s="14"/>
    </row>
    <row r="197" spans="1:2" ht="15.75" x14ac:dyDescent="0.25">
      <c r="A197" s="2"/>
      <c r="B197" s="14"/>
    </row>
    <row r="198" spans="1:2" ht="15.75" x14ac:dyDescent="0.25">
      <c r="A198" s="2"/>
      <c r="B198" s="14"/>
    </row>
    <row r="199" spans="1:2" ht="15.75" x14ac:dyDescent="0.25">
      <c r="A199" s="2"/>
      <c r="B199" s="14"/>
    </row>
    <row r="200" spans="1:2" ht="15.75" x14ac:dyDescent="0.25">
      <c r="A200" s="2"/>
      <c r="B200" s="14"/>
    </row>
    <row r="201" spans="1:2" ht="15.75" x14ac:dyDescent="0.25">
      <c r="A201" s="2"/>
      <c r="B201" s="14"/>
    </row>
    <row r="202" spans="1:2" ht="15.75" x14ac:dyDescent="0.25">
      <c r="A202" s="2"/>
      <c r="B202" s="14"/>
    </row>
    <row r="203" spans="1:2" ht="15.75" x14ac:dyDescent="0.25">
      <c r="A203" s="2"/>
      <c r="B203" s="14"/>
    </row>
    <row r="204" spans="1:2" ht="15.75" x14ac:dyDescent="0.25">
      <c r="A204" s="2"/>
      <c r="B204" s="14"/>
    </row>
    <row r="205" spans="1:2" ht="15.75" x14ac:dyDescent="0.25">
      <c r="A205" s="2"/>
      <c r="B205" s="14"/>
    </row>
    <row r="206" spans="1:2" ht="15.75" x14ac:dyDescent="0.25">
      <c r="A206" s="2"/>
      <c r="B206" s="14"/>
    </row>
    <row r="207" spans="1:2" ht="15.75" x14ac:dyDescent="0.25">
      <c r="A207" s="2"/>
      <c r="B207" s="14"/>
    </row>
    <row r="208" spans="1:2" ht="15.75" x14ac:dyDescent="0.25">
      <c r="A208" s="2"/>
      <c r="B208" s="14"/>
    </row>
    <row r="209" spans="1:2" ht="15.75" x14ac:dyDescent="0.25">
      <c r="A209" s="2"/>
      <c r="B209" s="14"/>
    </row>
    <row r="210" spans="1:2" ht="15.75" x14ac:dyDescent="0.25">
      <c r="A210" s="2"/>
      <c r="B210" s="14"/>
    </row>
    <row r="211" spans="1:2" ht="15.75" x14ac:dyDescent="0.25">
      <c r="A211" s="2"/>
      <c r="B211" s="14"/>
    </row>
    <row r="212" spans="1:2" ht="15.75" x14ac:dyDescent="0.25">
      <c r="A212" s="2"/>
      <c r="B212" s="14"/>
    </row>
    <row r="213" spans="1:2" ht="15.75" x14ac:dyDescent="0.25">
      <c r="A213" s="2"/>
      <c r="B213" s="14"/>
    </row>
    <row r="214" spans="1:2" ht="15.75" x14ac:dyDescent="0.25">
      <c r="A214" s="2"/>
      <c r="B214" s="14"/>
    </row>
    <row r="215" spans="1:2" ht="15.75" x14ac:dyDescent="0.25">
      <c r="A215" s="2"/>
      <c r="B215" s="14"/>
    </row>
    <row r="216" spans="1:2" ht="15.75" x14ac:dyDescent="0.25">
      <c r="A216" s="2"/>
      <c r="B216" s="14"/>
    </row>
    <row r="217" spans="1:2" ht="15.75" x14ac:dyDescent="0.25">
      <c r="A217" s="2"/>
      <c r="B217" s="14"/>
    </row>
    <row r="218" spans="1:2" ht="15.75" x14ac:dyDescent="0.25">
      <c r="A218" s="2"/>
      <c r="B218" s="14"/>
    </row>
    <row r="219" spans="1:2" ht="15.75" x14ac:dyDescent="0.25">
      <c r="A219" s="2"/>
      <c r="B219" s="14"/>
    </row>
    <row r="220" spans="1:2" ht="15.75" x14ac:dyDescent="0.25">
      <c r="A220" s="2"/>
      <c r="B220" s="14"/>
    </row>
    <row r="221" spans="1:2" ht="15.75" x14ac:dyDescent="0.25">
      <c r="A221" s="2"/>
      <c r="B221" s="14"/>
    </row>
    <row r="222" spans="1:2" ht="15.75" x14ac:dyDescent="0.25">
      <c r="A222" s="2"/>
      <c r="B222" s="14"/>
    </row>
    <row r="223" spans="1:2" ht="15.75" x14ac:dyDescent="0.25">
      <c r="A223" s="2"/>
      <c r="B223" s="14"/>
    </row>
    <row r="224" spans="1:2" ht="15.75" x14ac:dyDescent="0.25">
      <c r="A224" s="2"/>
      <c r="B224" s="14"/>
    </row>
    <row r="225" spans="1:2" ht="15.75" x14ac:dyDescent="0.25">
      <c r="A225" s="2"/>
      <c r="B225" s="14"/>
    </row>
    <row r="226" spans="1:2" ht="15.75" x14ac:dyDescent="0.25">
      <c r="A226" s="2"/>
      <c r="B226" s="14"/>
    </row>
    <row r="227" spans="1:2" ht="15.75" x14ac:dyDescent="0.25">
      <c r="A227" s="2"/>
      <c r="B227" s="14"/>
    </row>
    <row r="228" spans="1:2" ht="15.75" x14ac:dyDescent="0.25">
      <c r="A228" s="2"/>
      <c r="B228" s="14"/>
    </row>
    <row r="229" spans="1:2" ht="15.75" x14ac:dyDescent="0.25">
      <c r="A229" s="2"/>
      <c r="B229" s="14"/>
    </row>
    <row r="230" spans="1:2" ht="15.75" x14ac:dyDescent="0.25">
      <c r="A230" s="2"/>
      <c r="B230" s="14"/>
    </row>
    <row r="231" spans="1:2" ht="15.75" x14ac:dyDescent="0.25">
      <c r="A231" s="2"/>
      <c r="B231" s="14"/>
    </row>
    <row r="232" spans="1:2" ht="15.75" x14ac:dyDescent="0.25">
      <c r="A232" s="2"/>
      <c r="B232" s="14"/>
    </row>
    <row r="233" spans="1:2" ht="15.75" x14ac:dyDescent="0.25">
      <c r="A233" s="2"/>
      <c r="B233" s="14"/>
    </row>
    <row r="234" spans="1:2" ht="15.75" x14ac:dyDescent="0.25">
      <c r="A234" s="2"/>
      <c r="B234" s="14"/>
    </row>
    <row r="235" spans="1:2" ht="15.75" x14ac:dyDescent="0.25">
      <c r="A235" s="2"/>
      <c r="B235" s="14"/>
    </row>
    <row r="236" spans="1:2" ht="15.75" x14ac:dyDescent="0.25">
      <c r="A236" s="2"/>
      <c r="B236" s="14"/>
    </row>
    <row r="237" spans="1:2" ht="15.75" x14ac:dyDescent="0.25">
      <c r="A237" s="2"/>
      <c r="B237" s="14"/>
    </row>
    <row r="238" spans="1:2" ht="15.75" x14ac:dyDescent="0.25">
      <c r="A238" s="2"/>
      <c r="B238" s="14"/>
    </row>
    <row r="239" spans="1:2" ht="15.75" x14ac:dyDescent="0.25">
      <c r="A239" s="2"/>
      <c r="B239" s="14"/>
    </row>
    <row r="240" spans="1:2" ht="15.75" x14ac:dyDescent="0.25">
      <c r="A240" s="2"/>
      <c r="B240" s="14"/>
    </row>
    <row r="241" spans="1:2" ht="15.75" x14ac:dyDescent="0.25">
      <c r="A241" s="2"/>
      <c r="B241" s="14"/>
    </row>
    <row r="242" spans="1:2" ht="15.75" x14ac:dyDescent="0.25">
      <c r="A242" s="2"/>
      <c r="B242" s="14"/>
    </row>
    <row r="243" spans="1:2" ht="15.75" x14ac:dyDescent="0.25">
      <c r="A243" s="2"/>
      <c r="B243" s="14"/>
    </row>
    <row r="244" spans="1:2" ht="15.75" x14ac:dyDescent="0.25">
      <c r="A244" s="2"/>
      <c r="B244" s="14"/>
    </row>
    <row r="245" spans="1:2" ht="15.75" x14ac:dyDescent="0.25">
      <c r="A245" s="2"/>
      <c r="B245" s="14"/>
    </row>
    <row r="246" spans="1:2" ht="15.75" x14ac:dyDescent="0.25">
      <c r="A246" s="2"/>
      <c r="B246" s="14"/>
    </row>
    <row r="247" spans="1:2" ht="15.75" x14ac:dyDescent="0.25">
      <c r="A247" s="2"/>
      <c r="B247" s="14"/>
    </row>
    <row r="248" spans="1:2" ht="15.75" x14ac:dyDescent="0.25">
      <c r="A248" s="2"/>
      <c r="B248" s="14"/>
    </row>
    <row r="249" spans="1:2" ht="15.75" x14ac:dyDescent="0.25">
      <c r="A249" s="2"/>
      <c r="B249" s="14"/>
    </row>
    <row r="250" spans="1:2" ht="15.75" x14ac:dyDescent="0.25">
      <c r="A250" s="2"/>
      <c r="B250" s="14"/>
    </row>
    <row r="251" spans="1:2" ht="15.75" x14ac:dyDescent="0.25">
      <c r="A251" s="2"/>
      <c r="B251" s="14"/>
    </row>
    <row r="252" spans="1:2" ht="15.75" x14ac:dyDescent="0.25">
      <c r="A252" s="2"/>
      <c r="B252" s="14"/>
    </row>
    <row r="253" spans="1:2" ht="15.75" x14ac:dyDescent="0.25">
      <c r="A253" s="2"/>
      <c r="B253" s="14"/>
    </row>
    <row r="254" spans="1:2" ht="15.75" x14ac:dyDescent="0.25">
      <c r="A254" s="2"/>
      <c r="B254" s="14"/>
    </row>
    <row r="255" spans="1:2" ht="15.75" x14ac:dyDescent="0.25">
      <c r="A255" s="2"/>
      <c r="B255" s="14"/>
    </row>
    <row r="256" spans="1:2" ht="15.75" x14ac:dyDescent="0.25">
      <c r="A256" s="2"/>
      <c r="B256" s="14"/>
    </row>
    <row r="257" spans="1:2" ht="15.75" x14ac:dyDescent="0.25">
      <c r="A257" s="2"/>
      <c r="B257" s="14"/>
    </row>
    <row r="258" spans="1:2" ht="15.75" x14ac:dyDescent="0.25">
      <c r="A258" s="2"/>
      <c r="B258" s="14"/>
    </row>
    <row r="259" spans="1:2" ht="15.75" x14ac:dyDescent="0.25">
      <c r="A259" s="2"/>
      <c r="B259" s="14"/>
    </row>
    <row r="260" spans="1:2" ht="15.75" x14ac:dyDescent="0.25">
      <c r="A260" s="2"/>
      <c r="B260" s="14"/>
    </row>
    <row r="261" spans="1:2" ht="15.75" x14ac:dyDescent="0.25">
      <c r="A261" s="2"/>
      <c r="B261" s="14"/>
    </row>
    <row r="262" spans="1:2" ht="15.75" x14ac:dyDescent="0.25">
      <c r="A262" s="2"/>
      <c r="B262" s="14"/>
    </row>
    <row r="263" spans="1:2" ht="15.75" x14ac:dyDescent="0.25">
      <c r="A263" s="2"/>
      <c r="B263" s="14"/>
    </row>
    <row r="264" spans="1:2" ht="15.75" x14ac:dyDescent="0.25">
      <c r="A264" s="2"/>
      <c r="B264" s="14"/>
    </row>
    <row r="265" spans="1:2" ht="15.75" x14ac:dyDescent="0.25">
      <c r="A265" s="2"/>
      <c r="B265" s="14"/>
    </row>
    <row r="266" spans="1:2" ht="15.75" x14ac:dyDescent="0.25">
      <c r="A266" s="2"/>
      <c r="B266" s="14"/>
    </row>
    <row r="267" spans="1:2" ht="15.75" x14ac:dyDescent="0.25">
      <c r="A267" s="2"/>
      <c r="B267" s="14"/>
    </row>
    <row r="268" spans="1:2" ht="15.75" x14ac:dyDescent="0.25">
      <c r="A268" s="2"/>
      <c r="B268" s="14"/>
    </row>
    <row r="269" spans="1:2" ht="15.75" x14ac:dyDescent="0.25">
      <c r="A269" s="2"/>
      <c r="B269" s="14"/>
    </row>
    <row r="270" spans="1:2" ht="15.75" x14ac:dyDescent="0.25">
      <c r="A270" s="2"/>
      <c r="B270" s="14"/>
    </row>
    <row r="271" spans="1:2" ht="15.75" x14ac:dyDescent="0.25">
      <c r="A271" s="2"/>
      <c r="B271" s="14"/>
    </row>
    <row r="272" spans="1:2" ht="15.75" x14ac:dyDescent="0.25">
      <c r="A272" s="2"/>
      <c r="B272" s="14"/>
    </row>
    <row r="273" spans="1:2" ht="15.75" x14ac:dyDescent="0.25">
      <c r="A273" s="2"/>
      <c r="B273" s="14"/>
    </row>
    <row r="274" spans="1:2" ht="15.75" x14ac:dyDescent="0.25">
      <c r="A274" s="2"/>
      <c r="B274" s="14"/>
    </row>
    <row r="275" spans="1:2" ht="15.75" x14ac:dyDescent="0.25">
      <c r="A275" s="2"/>
      <c r="B275" s="14"/>
    </row>
    <row r="276" spans="1:2" ht="15.75" x14ac:dyDescent="0.25">
      <c r="A276" s="2"/>
      <c r="B276" s="14"/>
    </row>
    <row r="277" spans="1:2" ht="15.75" x14ac:dyDescent="0.25">
      <c r="A277" s="2"/>
      <c r="B277" s="14"/>
    </row>
    <row r="278" spans="1:2" ht="15.75" x14ac:dyDescent="0.25">
      <c r="A278" s="2"/>
      <c r="B278" s="14"/>
    </row>
    <row r="279" spans="1:2" ht="15.75" x14ac:dyDescent="0.25">
      <c r="A279" s="2"/>
      <c r="B279" s="14"/>
    </row>
    <row r="280" spans="1:2" ht="15.75" x14ac:dyDescent="0.25">
      <c r="A280" s="2"/>
      <c r="B280" s="14"/>
    </row>
    <row r="281" spans="1:2" ht="15.75" x14ac:dyDescent="0.25">
      <c r="A281" s="2"/>
      <c r="B281" s="14"/>
    </row>
    <row r="282" spans="1:2" ht="15.75" x14ac:dyDescent="0.25">
      <c r="A282" s="2"/>
      <c r="B282" s="14"/>
    </row>
    <row r="283" spans="1:2" ht="15.75" x14ac:dyDescent="0.25">
      <c r="A283" s="2"/>
      <c r="B283" s="14"/>
    </row>
    <row r="284" spans="1:2" ht="15.75" x14ac:dyDescent="0.25">
      <c r="A284" s="2"/>
      <c r="B284" s="14"/>
    </row>
    <row r="285" spans="1:2" ht="15.75" x14ac:dyDescent="0.25">
      <c r="A285" s="2"/>
      <c r="B285" s="14"/>
    </row>
    <row r="286" spans="1:2" ht="15.75" x14ac:dyDescent="0.25">
      <c r="A286" s="2"/>
      <c r="B286" s="14"/>
    </row>
    <row r="287" spans="1:2" ht="15.75" x14ac:dyDescent="0.25">
      <c r="A287" s="2"/>
      <c r="B287" s="14"/>
    </row>
    <row r="288" spans="1:2" ht="15.75" x14ac:dyDescent="0.25">
      <c r="A288" s="2"/>
      <c r="B288" s="14"/>
    </row>
    <row r="289" spans="1:2" ht="15.75" x14ac:dyDescent="0.25">
      <c r="A289" s="2"/>
      <c r="B289" s="14"/>
    </row>
    <row r="290" spans="1:2" ht="15.75" x14ac:dyDescent="0.25">
      <c r="A290" s="2"/>
      <c r="B290" s="14"/>
    </row>
    <row r="291" spans="1:2" ht="15.75" x14ac:dyDescent="0.25">
      <c r="A291" s="2"/>
      <c r="B291" s="14"/>
    </row>
    <row r="292" spans="1:2" ht="15.75" x14ac:dyDescent="0.25">
      <c r="A292" s="2"/>
      <c r="B292" s="14"/>
    </row>
    <row r="293" spans="1:2" ht="15.75" x14ac:dyDescent="0.25">
      <c r="A293" s="2"/>
      <c r="B293" s="14"/>
    </row>
    <row r="294" spans="1:2" ht="15.75" x14ac:dyDescent="0.25">
      <c r="A294" s="2"/>
      <c r="B294" s="14"/>
    </row>
    <row r="295" spans="1:2" ht="15.75" x14ac:dyDescent="0.25">
      <c r="A295" s="2"/>
      <c r="B295" s="14"/>
    </row>
    <row r="296" spans="1:2" ht="15.75" x14ac:dyDescent="0.25">
      <c r="A296" s="2"/>
      <c r="B296" s="14"/>
    </row>
    <row r="297" spans="1:2" ht="15.75" x14ac:dyDescent="0.25">
      <c r="A297" s="2"/>
      <c r="B297" s="14"/>
    </row>
    <row r="298" spans="1:2" ht="15.75" x14ac:dyDescent="0.25">
      <c r="A298" s="2"/>
      <c r="B298" s="14"/>
    </row>
    <row r="299" spans="1:2" ht="15.75" x14ac:dyDescent="0.25">
      <c r="A299" s="2"/>
      <c r="B299" s="14"/>
    </row>
    <row r="300" spans="1:2" ht="15.75" x14ac:dyDescent="0.25">
      <c r="A300" s="2"/>
      <c r="B300" s="14"/>
    </row>
    <row r="301" spans="1:2" ht="15.75" x14ac:dyDescent="0.25">
      <c r="A301" s="2"/>
      <c r="B301" s="14"/>
    </row>
    <row r="302" spans="1:2" ht="15.75" x14ac:dyDescent="0.25">
      <c r="A302" s="2"/>
      <c r="B302" s="14"/>
    </row>
    <row r="303" spans="1:2" ht="15.75" x14ac:dyDescent="0.25">
      <c r="A303" s="2"/>
      <c r="B303" s="14"/>
    </row>
    <row r="304" spans="1:2" ht="15.75" x14ac:dyDescent="0.25">
      <c r="A304" s="2"/>
      <c r="B304" s="14"/>
    </row>
    <row r="305" spans="1:2" ht="15.75" x14ac:dyDescent="0.25">
      <c r="A305" s="2"/>
      <c r="B305" s="14"/>
    </row>
    <row r="306" spans="1:2" ht="15.75" x14ac:dyDescent="0.25">
      <c r="A306" s="2"/>
      <c r="B306" s="14"/>
    </row>
    <row r="307" spans="1:2" ht="15.75" x14ac:dyDescent="0.25">
      <c r="A307" s="2"/>
      <c r="B307" s="14"/>
    </row>
    <row r="308" spans="1:2" ht="15.75" x14ac:dyDescent="0.25">
      <c r="A308" s="2"/>
      <c r="B308" s="14"/>
    </row>
    <row r="309" spans="1:2" ht="15.75" x14ac:dyDescent="0.25">
      <c r="A309" s="2"/>
      <c r="B309" s="14"/>
    </row>
    <row r="310" spans="1:2" ht="15.75" x14ac:dyDescent="0.25">
      <c r="A310" s="2"/>
      <c r="B310" s="14"/>
    </row>
    <row r="311" spans="1:2" ht="15.75" x14ac:dyDescent="0.25">
      <c r="A311" s="2"/>
      <c r="B311" s="14"/>
    </row>
    <row r="312" spans="1:2" ht="15.75" x14ac:dyDescent="0.25">
      <c r="A312" s="2"/>
      <c r="B312" s="14"/>
    </row>
    <row r="313" spans="1:2" ht="15.75" x14ac:dyDescent="0.25">
      <c r="A313" s="2"/>
      <c r="B313" s="14"/>
    </row>
    <row r="314" spans="1:2" ht="15.75" x14ac:dyDescent="0.25">
      <c r="A314" s="2"/>
      <c r="B314" s="14"/>
    </row>
    <row r="315" spans="1:2" ht="15.75" x14ac:dyDescent="0.25">
      <c r="A315" s="2"/>
      <c r="B315" s="14"/>
    </row>
    <row r="316" spans="1:2" ht="15.75" x14ac:dyDescent="0.25">
      <c r="A316" s="2"/>
      <c r="B316" s="14"/>
    </row>
    <row r="317" spans="1:2" ht="15.75" x14ac:dyDescent="0.25">
      <c r="A317" s="2"/>
      <c r="B317" s="14"/>
    </row>
    <row r="318" spans="1:2" ht="15.75" x14ac:dyDescent="0.25">
      <c r="A318" s="2"/>
      <c r="B318" s="14"/>
    </row>
    <row r="319" spans="1:2" ht="15.75" x14ac:dyDescent="0.25">
      <c r="A319" s="2"/>
      <c r="B319" s="14"/>
    </row>
    <row r="320" spans="1:2" ht="15.75" x14ac:dyDescent="0.25">
      <c r="A320" s="2"/>
      <c r="B320" s="14"/>
    </row>
    <row r="321" spans="1:2" ht="15.75" x14ac:dyDescent="0.25">
      <c r="A321" s="2"/>
      <c r="B321" s="14"/>
    </row>
    <row r="322" spans="1:2" ht="15.75" x14ac:dyDescent="0.25">
      <c r="A322" s="2"/>
      <c r="B322" s="14"/>
    </row>
    <row r="323" spans="1:2" ht="15.75" x14ac:dyDescent="0.25">
      <c r="A323" s="2"/>
      <c r="B323" s="14"/>
    </row>
    <row r="324" spans="1:2" ht="15.75" x14ac:dyDescent="0.25">
      <c r="A324" s="2"/>
      <c r="B324" s="14"/>
    </row>
    <row r="325" spans="1:2" ht="15.75" x14ac:dyDescent="0.25">
      <c r="A325" s="2"/>
      <c r="B325" s="14"/>
    </row>
    <row r="326" spans="1:2" ht="15.75" x14ac:dyDescent="0.25">
      <c r="A326" s="2"/>
      <c r="B326" s="14"/>
    </row>
    <row r="327" spans="1:2" ht="15.75" x14ac:dyDescent="0.25">
      <c r="A327" s="2"/>
      <c r="B327" s="14"/>
    </row>
    <row r="328" spans="1:2" ht="15.75" x14ac:dyDescent="0.25">
      <c r="A328" s="2"/>
      <c r="B328" s="1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103"/>
  <sheetViews>
    <sheetView topLeftCell="A4" workbookViewId="0">
      <selection activeCell="J38" sqref="J38"/>
    </sheetView>
  </sheetViews>
  <sheetFormatPr defaultRowHeight="15" x14ac:dyDescent="0.25"/>
  <cols>
    <col min="1" max="1" width="56.28515625" customWidth="1"/>
  </cols>
  <sheetData>
    <row r="1" spans="1:11" ht="159.7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">
        <v>4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30</v>
      </c>
      <c r="C2" s="1">
        <v>30</v>
      </c>
      <c r="D2" s="41">
        <v>16</v>
      </c>
      <c r="E2" s="1">
        <v>24</v>
      </c>
      <c r="F2" s="1">
        <v>24</v>
      </c>
      <c r="G2" s="1">
        <v>10</v>
      </c>
      <c r="H2" s="1">
        <v>10</v>
      </c>
      <c r="I2" s="1">
        <v>5</v>
      </c>
      <c r="J2" s="44">
        <v>22</v>
      </c>
      <c r="K2" s="1">
        <v>24</v>
      </c>
    </row>
    <row r="3" spans="1:11" ht="15.75" x14ac:dyDescent="0.25">
      <c r="A3" s="1" t="str">
        <f>Student!B3</f>
        <v xml:space="preserve">AGBENU JORDAN </v>
      </c>
      <c r="B3" s="1">
        <v>17</v>
      </c>
      <c r="C3" s="1">
        <v>17</v>
      </c>
      <c r="D3" s="41">
        <v>13</v>
      </c>
      <c r="E3" s="1">
        <v>30</v>
      </c>
      <c r="F3" s="1">
        <v>30</v>
      </c>
      <c r="G3" s="1">
        <v>10</v>
      </c>
      <c r="H3" s="1">
        <v>20</v>
      </c>
      <c r="I3" s="1">
        <v>10</v>
      </c>
      <c r="J3" s="44">
        <v>10</v>
      </c>
      <c r="K3" s="1">
        <v>30</v>
      </c>
    </row>
    <row r="4" spans="1:11" ht="15.75" x14ac:dyDescent="0.25">
      <c r="A4" s="1" t="str">
        <f>Student!B4</f>
        <v>AGBO PRINCE</v>
      </c>
      <c r="B4" s="1">
        <v>18</v>
      </c>
      <c r="C4" s="1">
        <v>18</v>
      </c>
      <c r="D4" s="41">
        <v>17</v>
      </c>
      <c r="E4" s="1">
        <v>28</v>
      </c>
      <c r="F4" s="1">
        <v>28</v>
      </c>
      <c r="G4" s="1">
        <v>25</v>
      </c>
      <c r="H4" s="1">
        <v>16</v>
      </c>
      <c r="I4" s="1">
        <v>8</v>
      </c>
      <c r="J4" s="44">
        <v>5</v>
      </c>
      <c r="K4" s="1">
        <v>28</v>
      </c>
    </row>
    <row r="5" spans="1:11" ht="15.75" x14ac:dyDescent="0.25">
      <c r="A5" s="1" t="str">
        <f>Student!B5</f>
        <v xml:space="preserve">AGBOTSE EBENEZER </v>
      </c>
      <c r="B5" s="1">
        <v>12</v>
      </c>
      <c r="C5" s="1">
        <v>23</v>
      </c>
      <c r="D5" s="41">
        <v>2</v>
      </c>
      <c r="E5" s="1">
        <v>18</v>
      </c>
      <c r="F5" s="1">
        <v>18</v>
      </c>
      <c r="G5" s="1">
        <v>10</v>
      </c>
      <c r="H5" s="1">
        <v>12</v>
      </c>
      <c r="I5" s="1">
        <v>18</v>
      </c>
      <c r="J5" s="44">
        <v>16</v>
      </c>
      <c r="K5" s="1">
        <v>18</v>
      </c>
    </row>
    <row r="6" spans="1:11" ht="15.75" x14ac:dyDescent="0.25">
      <c r="A6" s="1" t="str">
        <f>Student!B6</f>
        <v xml:space="preserve">APPIAH EMMANUEL </v>
      </c>
      <c r="B6" s="1">
        <v>16</v>
      </c>
      <c r="C6" s="1">
        <v>12</v>
      </c>
      <c r="D6" s="41">
        <v>13</v>
      </c>
      <c r="E6" s="1">
        <v>2</v>
      </c>
      <c r="F6" s="1">
        <v>16</v>
      </c>
      <c r="G6" s="1">
        <v>10</v>
      </c>
      <c r="H6" s="1">
        <v>10</v>
      </c>
      <c r="I6" s="1">
        <v>2</v>
      </c>
      <c r="J6" s="44">
        <v>1</v>
      </c>
      <c r="K6" s="1">
        <v>16</v>
      </c>
    </row>
    <row r="7" spans="1:11" ht="15.75" x14ac:dyDescent="0.25">
      <c r="A7" s="1" t="str">
        <f>Student!B7</f>
        <v xml:space="preserve">ASARE RICHMOND </v>
      </c>
      <c r="B7" s="1">
        <v>18</v>
      </c>
      <c r="C7" s="1">
        <v>16</v>
      </c>
      <c r="D7" s="41">
        <v>18</v>
      </c>
      <c r="E7" s="1">
        <v>27</v>
      </c>
      <c r="F7" s="1">
        <v>27</v>
      </c>
      <c r="G7" s="1">
        <v>10</v>
      </c>
      <c r="H7" s="1">
        <v>10</v>
      </c>
      <c r="I7" s="1">
        <v>2</v>
      </c>
      <c r="J7" s="44">
        <v>2</v>
      </c>
      <c r="K7" s="1">
        <v>27</v>
      </c>
    </row>
    <row r="8" spans="1:11" ht="15.75" x14ac:dyDescent="0.25">
      <c r="A8" s="1" t="str">
        <f>Student!B8</f>
        <v xml:space="preserve">ASIAMAH JOSEPH </v>
      </c>
      <c r="B8" s="1">
        <v>18</v>
      </c>
      <c r="C8" s="1">
        <v>18</v>
      </c>
      <c r="D8" s="41">
        <v>11</v>
      </c>
      <c r="E8" s="1">
        <v>2</v>
      </c>
      <c r="F8" s="1">
        <v>23</v>
      </c>
      <c r="G8" s="1">
        <v>10</v>
      </c>
      <c r="H8" s="1">
        <v>10</v>
      </c>
      <c r="I8" s="1">
        <v>5</v>
      </c>
      <c r="J8" s="44">
        <v>23</v>
      </c>
      <c r="K8" s="1">
        <v>12</v>
      </c>
    </row>
    <row r="9" spans="1:11" ht="15.75" x14ac:dyDescent="0.25">
      <c r="A9" s="1" t="str">
        <f>Student!B9</f>
        <v>AWUAH KEKELI JERRY</v>
      </c>
      <c r="B9" s="1">
        <v>20</v>
      </c>
      <c r="C9" s="1">
        <v>20</v>
      </c>
      <c r="D9" s="41">
        <v>15</v>
      </c>
      <c r="E9" s="1">
        <v>30</v>
      </c>
      <c r="F9" s="1">
        <v>30</v>
      </c>
      <c r="G9" s="1">
        <v>10</v>
      </c>
      <c r="H9" s="1">
        <v>10</v>
      </c>
      <c r="I9" s="1">
        <v>9</v>
      </c>
      <c r="J9" s="44">
        <v>10</v>
      </c>
      <c r="K9" s="1">
        <v>30</v>
      </c>
    </row>
    <row r="10" spans="1:11" ht="15.75" x14ac:dyDescent="0.25">
      <c r="A10" s="1" t="str">
        <f>Student!B10</f>
        <v xml:space="preserve">BAWA BASSIT </v>
      </c>
      <c r="B10" s="1">
        <v>20</v>
      </c>
      <c r="C10" s="1">
        <v>20</v>
      </c>
      <c r="D10" s="41">
        <v>16</v>
      </c>
      <c r="E10" s="1">
        <v>24</v>
      </c>
      <c r="F10" s="1">
        <v>24</v>
      </c>
      <c r="G10" s="1">
        <v>16</v>
      </c>
      <c r="H10" s="1">
        <v>10</v>
      </c>
      <c r="I10" s="1">
        <v>14</v>
      </c>
      <c r="J10" s="44">
        <v>7</v>
      </c>
      <c r="K10" s="1">
        <v>24</v>
      </c>
    </row>
    <row r="11" spans="1:11" ht="15.75" x14ac:dyDescent="0.25">
      <c r="A11" s="1" t="str">
        <f>Student!B11</f>
        <v xml:space="preserve">DANQWAH PHILIP </v>
      </c>
      <c r="B11" s="1">
        <v>20</v>
      </c>
      <c r="C11" s="1">
        <v>21</v>
      </c>
      <c r="D11" s="41">
        <v>15</v>
      </c>
      <c r="E11" s="1">
        <v>15</v>
      </c>
      <c r="F11" s="1">
        <v>15</v>
      </c>
      <c r="G11" s="1">
        <v>25</v>
      </c>
      <c r="H11" s="1">
        <v>10</v>
      </c>
      <c r="I11" s="1">
        <v>11</v>
      </c>
      <c r="J11" s="44">
        <v>10</v>
      </c>
      <c r="K11" s="1">
        <v>15</v>
      </c>
    </row>
    <row r="12" spans="1:11" ht="15.75" x14ac:dyDescent="0.25">
      <c r="A12" s="1" t="str">
        <f>Student!B12</f>
        <v>DEDIHA GIDEON</v>
      </c>
      <c r="B12" s="1">
        <v>16</v>
      </c>
      <c r="C12" s="1">
        <v>16</v>
      </c>
      <c r="D12" s="41">
        <v>7</v>
      </c>
      <c r="E12" s="1">
        <v>2</v>
      </c>
      <c r="F12" s="1">
        <v>2</v>
      </c>
      <c r="G12" s="1">
        <v>17</v>
      </c>
      <c r="H12" s="1">
        <v>10</v>
      </c>
      <c r="I12" s="1">
        <v>8</v>
      </c>
      <c r="J12" s="44">
        <v>7</v>
      </c>
      <c r="K12" s="1">
        <v>12</v>
      </c>
    </row>
    <row r="13" spans="1:11" ht="15.75" x14ac:dyDescent="0.25">
      <c r="A13" s="1" t="str">
        <f>Student!B13</f>
        <v xml:space="preserve">ENCHILL KENNETH  </v>
      </c>
      <c r="B13" s="1">
        <v>24</v>
      </c>
      <c r="C13" s="1">
        <v>24</v>
      </c>
      <c r="D13" s="41">
        <v>14</v>
      </c>
      <c r="E13" s="1">
        <v>1</v>
      </c>
      <c r="F13" s="1">
        <v>1</v>
      </c>
      <c r="G13" s="1">
        <v>10</v>
      </c>
      <c r="H13" s="1">
        <v>10</v>
      </c>
      <c r="I13" s="1">
        <v>10</v>
      </c>
      <c r="J13" s="44">
        <v>12</v>
      </c>
      <c r="K13" s="1">
        <v>12</v>
      </c>
    </row>
    <row r="14" spans="1:11" ht="15.75" x14ac:dyDescent="0.25">
      <c r="A14" s="1" t="str">
        <f>Student!B14</f>
        <v xml:space="preserve">ENTSIE FRANCIS </v>
      </c>
      <c r="B14" s="1">
        <v>18</v>
      </c>
      <c r="C14" s="1">
        <v>18</v>
      </c>
      <c r="D14" s="41">
        <v>8</v>
      </c>
      <c r="E14" s="1">
        <v>18</v>
      </c>
      <c r="F14" s="1">
        <v>18</v>
      </c>
      <c r="G14" s="1">
        <v>10</v>
      </c>
      <c r="H14" s="1">
        <v>15</v>
      </c>
      <c r="I14" s="1">
        <v>18</v>
      </c>
      <c r="J14" s="44">
        <v>18</v>
      </c>
      <c r="K14" s="1">
        <v>18</v>
      </c>
    </row>
    <row r="15" spans="1:11" ht="15.75" x14ac:dyDescent="0.25">
      <c r="A15" s="1" t="str">
        <f>Student!B15</f>
        <v xml:space="preserve">ESHUN EVANS </v>
      </c>
      <c r="B15" s="1">
        <v>20</v>
      </c>
      <c r="C15" s="1">
        <v>20</v>
      </c>
      <c r="D15" s="41">
        <v>16</v>
      </c>
      <c r="E15" s="1">
        <v>2</v>
      </c>
      <c r="F15" s="1">
        <v>18</v>
      </c>
      <c r="G15" s="1">
        <v>10</v>
      </c>
      <c r="H15" s="1">
        <v>10</v>
      </c>
      <c r="I15" s="1">
        <v>7</v>
      </c>
      <c r="J15" s="44">
        <v>4</v>
      </c>
      <c r="K15" s="1">
        <v>15</v>
      </c>
    </row>
    <row r="16" spans="1:11" ht="15.75" x14ac:dyDescent="0.25">
      <c r="A16" s="1" t="str">
        <f>Student!B16</f>
        <v xml:space="preserve">GOMASHIE PRINCE </v>
      </c>
      <c r="B16" s="1">
        <v>27</v>
      </c>
      <c r="C16" s="1">
        <v>27</v>
      </c>
      <c r="D16" s="41">
        <v>17</v>
      </c>
      <c r="E16" s="1">
        <v>15</v>
      </c>
      <c r="F16" s="1">
        <v>15</v>
      </c>
      <c r="G16" s="1">
        <v>10</v>
      </c>
      <c r="H16" s="1">
        <v>16</v>
      </c>
      <c r="I16" s="1">
        <v>13</v>
      </c>
      <c r="J16" s="44">
        <v>12</v>
      </c>
      <c r="K16" s="1">
        <v>17</v>
      </c>
    </row>
    <row r="17" spans="1:11" ht="15.75" x14ac:dyDescent="0.25">
      <c r="A17" s="1" t="str">
        <f>Student!B17</f>
        <v xml:space="preserve">NUMEGBOR WISDOM </v>
      </c>
      <c r="B17" s="1">
        <v>27</v>
      </c>
      <c r="C17" s="1">
        <v>27</v>
      </c>
      <c r="D17" s="41">
        <v>12</v>
      </c>
      <c r="E17" s="1">
        <v>2</v>
      </c>
      <c r="F17" s="1">
        <v>17</v>
      </c>
      <c r="G17" s="1">
        <v>10</v>
      </c>
      <c r="H17" s="1">
        <v>18</v>
      </c>
      <c r="I17" s="1">
        <v>6</v>
      </c>
      <c r="J17" s="44">
        <v>10</v>
      </c>
      <c r="K17" s="1">
        <v>15</v>
      </c>
    </row>
    <row r="18" spans="1:11" ht="15.75" x14ac:dyDescent="0.25">
      <c r="A18" s="1" t="str">
        <f>Student!B18</f>
        <v xml:space="preserve">OFFEI JUSTICE </v>
      </c>
      <c r="B18" s="1">
        <v>24</v>
      </c>
      <c r="C18" s="1">
        <v>24</v>
      </c>
      <c r="D18" s="41">
        <v>12</v>
      </c>
      <c r="E18" s="1">
        <v>24</v>
      </c>
      <c r="F18" s="1">
        <v>24</v>
      </c>
      <c r="G18" s="1">
        <v>10</v>
      </c>
      <c r="H18" s="1">
        <v>10</v>
      </c>
      <c r="I18" s="1">
        <v>17</v>
      </c>
      <c r="J18" s="44">
        <v>17</v>
      </c>
      <c r="K18" s="1">
        <v>24</v>
      </c>
    </row>
    <row r="19" spans="1:11" ht="15.75" x14ac:dyDescent="0.25">
      <c r="A19" s="1" t="str">
        <f>Student!B19</f>
        <v xml:space="preserve">OSEI BELVIS </v>
      </c>
      <c r="B19" s="1">
        <v>24</v>
      </c>
      <c r="C19" s="1">
        <v>24</v>
      </c>
      <c r="D19" s="41">
        <v>17</v>
      </c>
      <c r="E19" s="1">
        <v>12</v>
      </c>
      <c r="F19" s="1">
        <v>12</v>
      </c>
      <c r="G19" s="1">
        <v>10</v>
      </c>
      <c r="H19" s="1">
        <v>10</v>
      </c>
      <c r="I19" s="1">
        <v>14</v>
      </c>
      <c r="J19" s="44">
        <v>15</v>
      </c>
      <c r="K19" s="1">
        <v>12</v>
      </c>
    </row>
    <row r="20" spans="1:11" ht="15.75" x14ac:dyDescent="0.25">
      <c r="A20" s="1" t="str">
        <f>Student!B20</f>
        <v xml:space="preserve">OTU KOFI SOLOMON  </v>
      </c>
      <c r="B20" s="1">
        <v>18</v>
      </c>
      <c r="C20" s="1">
        <v>18</v>
      </c>
      <c r="D20" s="41">
        <v>16</v>
      </c>
      <c r="E20" s="1">
        <v>1</v>
      </c>
      <c r="F20" s="1">
        <v>16</v>
      </c>
      <c r="G20" s="1">
        <v>10</v>
      </c>
      <c r="H20" s="1">
        <v>18</v>
      </c>
      <c r="I20" s="1">
        <v>13</v>
      </c>
      <c r="J20" s="44">
        <v>19</v>
      </c>
      <c r="K20" s="1">
        <v>14</v>
      </c>
    </row>
    <row r="21" spans="1:11" ht="15.75" x14ac:dyDescent="0.25">
      <c r="A21" s="1" t="str">
        <f>Student!B21</f>
        <v xml:space="preserve">OWUSU RUBEN </v>
      </c>
      <c r="B21" s="1">
        <v>23</v>
      </c>
      <c r="C21" s="1">
        <v>23</v>
      </c>
      <c r="D21" s="41">
        <v>2</v>
      </c>
      <c r="E21" s="1">
        <v>2</v>
      </c>
      <c r="F21" s="1">
        <v>18</v>
      </c>
      <c r="G21" s="1">
        <v>10</v>
      </c>
      <c r="H21" s="1">
        <v>10</v>
      </c>
      <c r="I21" s="1">
        <v>7</v>
      </c>
      <c r="J21" s="44">
        <v>1</v>
      </c>
      <c r="K21" s="1">
        <v>16</v>
      </c>
    </row>
    <row r="22" spans="1:11" ht="15.75" x14ac:dyDescent="0.25">
      <c r="A22" s="1" t="str">
        <f>Student!B22</f>
        <v xml:space="preserve">SEIDU IBRAHIM </v>
      </c>
      <c r="B22" s="1">
        <v>21</v>
      </c>
      <c r="C22" s="1">
        <v>21</v>
      </c>
      <c r="D22" s="41">
        <v>2</v>
      </c>
      <c r="E22" s="1">
        <v>2</v>
      </c>
      <c r="F22" s="1">
        <v>17</v>
      </c>
      <c r="G22" s="1">
        <v>10</v>
      </c>
      <c r="H22" s="1">
        <v>10</v>
      </c>
      <c r="I22" s="1">
        <v>5</v>
      </c>
      <c r="J22" s="44">
        <v>1</v>
      </c>
      <c r="K22" s="1">
        <v>17</v>
      </c>
    </row>
    <row r="23" spans="1:11" ht="15.75" x14ac:dyDescent="0.25">
      <c r="A23" s="1" t="str">
        <f>Student!B23</f>
        <v xml:space="preserve">TAGBOR MICHAEL </v>
      </c>
      <c r="B23" s="1">
        <v>16</v>
      </c>
      <c r="C23" s="1">
        <v>16</v>
      </c>
      <c r="D23" s="41">
        <v>12</v>
      </c>
      <c r="E23" s="1">
        <v>2</v>
      </c>
      <c r="F23" s="1">
        <v>18</v>
      </c>
      <c r="G23" s="1">
        <v>21</v>
      </c>
      <c r="H23" s="1">
        <v>10</v>
      </c>
      <c r="I23" s="1">
        <v>9</v>
      </c>
      <c r="J23" s="44">
        <v>25</v>
      </c>
      <c r="K23" s="1">
        <v>18</v>
      </c>
    </row>
    <row r="24" spans="1:11" ht="15.75" x14ac:dyDescent="0.25">
      <c r="A24" s="1" t="str">
        <f>Student!B24</f>
        <v xml:space="preserve">ACQUAH PRISCILLA  </v>
      </c>
      <c r="B24" s="1">
        <v>28</v>
      </c>
      <c r="C24" s="1">
        <v>28</v>
      </c>
      <c r="D24" s="41">
        <v>2</v>
      </c>
      <c r="E24" s="1">
        <v>18</v>
      </c>
      <c r="F24" s="1">
        <v>24</v>
      </c>
      <c r="G24" s="1">
        <v>28</v>
      </c>
      <c r="H24" s="1">
        <v>16</v>
      </c>
      <c r="I24" s="1">
        <v>17</v>
      </c>
      <c r="J24" s="44">
        <v>15</v>
      </c>
      <c r="K24" s="1">
        <v>18</v>
      </c>
    </row>
    <row r="25" spans="1:11" ht="15.75" x14ac:dyDescent="0.25">
      <c r="A25" s="1" t="str">
        <f>Student!B25</f>
        <v xml:space="preserve">ADI ROSE  </v>
      </c>
      <c r="B25" s="1">
        <v>25</v>
      </c>
      <c r="C25" s="1">
        <v>25</v>
      </c>
      <c r="D25" s="41">
        <v>2</v>
      </c>
      <c r="E25" s="1">
        <v>24</v>
      </c>
      <c r="F25" s="1">
        <v>30</v>
      </c>
      <c r="G25" s="1">
        <v>10</v>
      </c>
      <c r="H25" s="1">
        <v>10</v>
      </c>
      <c r="I25" s="1">
        <v>11</v>
      </c>
      <c r="J25" s="44">
        <v>9</v>
      </c>
      <c r="K25" s="1">
        <v>24</v>
      </c>
    </row>
    <row r="26" spans="1:11" ht="15.75" x14ac:dyDescent="0.25">
      <c r="A26" s="1" t="str">
        <f>Student!B26</f>
        <v xml:space="preserve">ADOMAKO PRISCILLA  </v>
      </c>
      <c r="B26" s="1">
        <v>14</v>
      </c>
      <c r="C26" s="1">
        <v>14</v>
      </c>
      <c r="D26" s="41">
        <v>2</v>
      </c>
      <c r="E26" s="1">
        <v>30</v>
      </c>
      <c r="F26" s="1">
        <v>26</v>
      </c>
      <c r="G26" s="1">
        <v>27</v>
      </c>
      <c r="H26" s="1">
        <v>10</v>
      </c>
      <c r="I26" s="1">
        <v>9</v>
      </c>
      <c r="J26" s="44">
        <v>8</v>
      </c>
      <c r="K26" s="1">
        <v>30</v>
      </c>
    </row>
    <row r="27" spans="1:11" ht="15.75" x14ac:dyDescent="0.25">
      <c r="A27" s="1" t="str">
        <f>Student!B27</f>
        <v xml:space="preserve">AGBEMAZI PRECIOUS  </v>
      </c>
      <c r="B27" s="1">
        <v>29</v>
      </c>
      <c r="C27" s="1">
        <v>29</v>
      </c>
      <c r="D27" s="41">
        <v>2</v>
      </c>
      <c r="E27" s="1">
        <v>26</v>
      </c>
      <c r="F27" s="1">
        <v>26</v>
      </c>
      <c r="G27" s="1">
        <v>17</v>
      </c>
      <c r="H27" s="1">
        <v>10</v>
      </c>
      <c r="I27" s="1">
        <v>19</v>
      </c>
      <c r="J27" s="44">
        <v>19</v>
      </c>
      <c r="K27" s="1">
        <v>26</v>
      </c>
    </row>
    <row r="28" spans="1:11" ht="15.75" x14ac:dyDescent="0.25">
      <c r="A28" s="1" t="str">
        <f>Student!B28</f>
        <v xml:space="preserve">AGBENYEFIA BRIDGET </v>
      </c>
      <c r="B28" s="1">
        <v>20</v>
      </c>
      <c r="C28" s="1">
        <v>20</v>
      </c>
      <c r="D28" s="41">
        <v>2</v>
      </c>
      <c r="E28" s="1">
        <v>26</v>
      </c>
      <c r="F28" s="1">
        <v>18</v>
      </c>
      <c r="G28" s="1">
        <v>10</v>
      </c>
      <c r="H28" s="1">
        <v>10</v>
      </c>
      <c r="I28" s="1">
        <v>15</v>
      </c>
      <c r="J28" s="44">
        <v>11</v>
      </c>
      <c r="K28" s="1">
        <v>26</v>
      </c>
    </row>
    <row r="29" spans="1:11" ht="15.75" x14ac:dyDescent="0.25">
      <c r="A29" s="1" t="str">
        <f>Student!B29</f>
        <v xml:space="preserve">AKATAYURE REGINA  </v>
      </c>
      <c r="B29" s="1">
        <v>20</v>
      </c>
      <c r="C29" s="1">
        <v>20</v>
      </c>
      <c r="D29" s="41">
        <v>2</v>
      </c>
      <c r="E29" s="1">
        <v>18</v>
      </c>
      <c r="F29" s="1">
        <v>17</v>
      </c>
      <c r="G29" s="1">
        <v>10</v>
      </c>
      <c r="H29" s="1">
        <v>10</v>
      </c>
      <c r="I29" s="1">
        <v>16</v>
      </c>
      <c r="J29" s="44">
        <v>4</v>
      </c>
      <c r="K29" s="1">
        <v>18</v>
      </c>
    </row>
    <row r="30" spans="1:11" ht="15.75" x14ac:dyDescent="0.25">
      <c r="A30" s="1" t="str">
        <f>Student!B30</f>
        <v>AKROFI DORCAS</v>
      </c>
      <c r="B30" s="1">
        <v>15</v>
      </c>
      <c r="C30" s="1">
        <v>29</v>
      </c>
      <c r="D30" s="41">
        <v>20</v>
      </c>
      <c r="E30" s="1">
        <v>1</v>
      </c>
      <c r="F30" s="1">
        <v>27</v>
      </c>
      <c r="G30" s="1">
        <v>10</v>
      </c>
      <c r="H30" s="1">
        <v>10</v>
      </c>
      <c r="I30" s="1">
        <v>19</v>
      </c>
      <c r="J30" s="44">
        <v>6</v>
      </c>
      <c r="K30" s="1">
        <v>14</v>
      </c>
    </row>
    <row r="31" spans="1:11" ht="15.75" x14ac:dyDescent="0.25">
      <c r="A31" s="1" t="str">
        <f>Student!B31</f>
        <v xml:space="preserve">AMOAH SAFOA </v>
      </c>
      <c r="B31" s="1">
        <v>28</v>
      </c>
      <c r="C31" s="1">
        <v>28</v>
      </c>
      <c r="D31" s="41">
        <v>20</v>
      </c>
      <c r="E31" s="1">
        <v>27</v>
      </c>
      <c r="F31" s="1">
        <v>24</v>
      </c>
      <c r="G31" s="1">
        <v>10</v>
      </c>
      <c r="H31" s="1">
        <v>10</v>
      </c>
      <c r="I31" s="1">
        <v>10</v>
      </c>
      <c r="J31" s="44">
        <v>11</v>
      </c>
      <c r="K31" s="1">
        <v>27</v>
      </c>
    </row>
    <row r="32" spans="1:11" ht="15.75" x14ac:dyDescent="0.25">
      <c r="A32" s="1" t="str">
        <f>Student!B32</f>
        <v>ANIM AMOAH NHYIRABA</v>
      </c>
      <c r="B32" s="1">
        <v>22</v>
      </c>
      <c r="C32" s="1">
        <v>22</v>
      </c>
      <c r="D32" s="41">
        <v>17</v>
      </c>
      <c r="E32" s="1">
        <v>24</v>
      </c>
      <c r="F32" s="1">
        <v>21</v>
      </c>
      <c r="G32" s="1">
        <v>10</v>
      </c>
      <c r="H32" s="1">
        <v>10</v>
      </c>
      <c r="I32" s="1">
        <v>2</v>
      </c>
      <c r="J32" s="44">
        <v>16</v>
      </c>
      <c r="K32" s="1">
        <v>24</v>
      </c>
    </row>
    <row r="33" spans="1:11" ht="15.75" x14ac:dyDescent="0.25">
      <c r="A33" s="1" t="str">
        <f>Student!B33</f>
        <v xml:space="preserve">APPIAH GLADYS  </v>
      </c>
      <c r="B33" s="1">
        <v>30</v>
      </c>
      <c r="C33" s="1">
        <v>30</v>
      </c>
      <c r="D33" s="41">
        <v>20</v>
      </c>
      <c r="E33" s="1">
        <v>21</v>
      </c>
      <c r="F33" s="1">
        <v>9</v>
      </c>
      <c r="G33" s="1">
        <v>10</v>
      </c>
      <c r="H33" s="1">
        <v>10</v>
      </c>
      <c r="I33" s="1">
        <v>15</v>
      </c>
      <c r="J33" s="44">
        <v>10</v>
      </c>
      <c r="K33" s="1">
        <v>21</v>
      </c>
    </row>
    <row r="34" spans="1:11" ht="15.75" x14ac:dyDescent="0.25">
      <c r="A34" s="1" t="str">
        <f>Student!B34</f>
        <v xml:space="preserve">ASAMOAH STELLA  </v>
      </c>
      <c r="B34" s="1">
        <v>29</v>
      </c>
      <c r="C34" s="1">
        <v>29</v>
      </c>
      <c r="D34" s="41">
        <v>2</v>
      </c>
      <c r="E34" s="1">
        <v>9</v>
      </c>
      <c r="F34" s="1">
        <v>27</v>
      </c>
      <c r="G34" s="1">
        <v>10</v>
      </c>
      <c r="H34" s="1">
        <v>10</v>
      </c>
      <c r="I34" s="1">
        <v>8</v>
      </c>
      <c r="J34" s="44">
        <v>5</v>
      </c>
      <c r="K34" s="1">
        <v>9</v>
      </c>
    </row>
    <row r="35" spans="1:11" ht="15.75" x14ac:dyDescent="0.25">
      <c r="A35" s="1" t="str">
        <f>Student!B35</f>
        <v xml:space="preserve">ASHANGBOR ABIGAIL  </v>
      </c>
      <c r="B35" s="1">
        <v>19</v>
      </c>
      <c r="C35" s="1">
        <v>19</v>
      </c>
      <c r="D35" s="41">
        <v>15</v>
      </c>
      <c r="E35" s="1">
        <v>27</v>
      </c>
      <c r="F35" s="1">
        <v>12</v>
      </c>
      <c r="G35" s="1">
        <v>10</v>
      </c>
      <c r="H35" s="1">
        <v>16</v>
      </c>
      <c r="I35" s="1">
        <v>5</v>
      </c>
      <c r="J35" s="44">
        <v>14</v>
      </c>
      <c r="K35" s="1">
        <v>27</v>
      </c>
    </row>
    <row r="36" spans="1:11" ht="15.75" x14ac:dyDescent="0.25">
      <c r="A36" s="1" t="str">
        <f>Student!B36</f>
        <v xml:space="preserve">ASIGBEY JOYCE  </v>
      </c>
      <c r="B36" s="1">
        <v>30</v>
      </c>
      <c r="C36" s="1">
        <v>29</v>
      </c>
      <c r="D36" s="41">
        <v>2</v>
      </c>
      <c r="E36" s="1">
        <v>12</v>
      </c>
      <c r="F36" s="1">
        <v>27</v>
      </c>
      <c r="G36" s="1">
        <v>10</v>
      </c>
      <c r="H36" s="1">
        <v>10</v>
      </c>
      <c r="I36" s="1">
        <v>11</v>
      </c>
      <c r="J36" s="44">
        <v>25</v>
      </c>
      <c r="K36" s="1">
        <v>12</v>
      </c>
    </row>
    <row r="37" spans="1:11" ht="15.75" x14ac:dyDescent="0.25">
      <c r="A37" s="1" t="str">
        <f>Student!B37</f>
        <v xml:space="preserve">ATTIPOE EUNICE </v>
      </c>
      <c r="B37" s="1">
        <v>29</v>
      </c>
      <c r="C37" s="1">
        <v>30</v>
      </c>
      <c r="D37" s="41">
        <v>19</v>
      </c>
      <c r="E37" s="1">
        <v>30</v>
      </c>
      <c r="F37" s="1">
        <v>17</v>
      </c>
      <c r="G37" s="1">
        <v>20</v>
      </c>
      <c r="H37" s="1">
        <v>17</v>
      </c>
      <c r="I37" s="1">
        <v>11</v>
      </c>
      <c r="J37" s="44">
        <v>7</v>
      </c>
      <c r="K37" s="1">
        <v>30</v>
      </c>
    </row>
    <row r="38" spans="1:11" ht="15.75" x14ac:dyDescent="0.25">
      <c r="A38" s="1" t="str">
        <f>Student!B38</f>
        <v xml:space="preserve">BAAH COMFORT  </v>
      </c>
      <c r="B38" s="1">
        <v>28</v>
      </c>
      <c r="C38" s="1">
        <v>15</v>
      </c>
      <c r="D38" s="41">
        <v>2</v>
      </c>
      <c r="E38" s="1">
        <v>6</v>
      </c>
      <c r="F38" s="1">
        <v>30</v>
      </c>
      <c r="G38" s="1">
        <v>10</v>
      </c>
      <c r="H38" s="1">
        <v>10</v>
      </c>
      <c r="I38" s="1">
        <v>8</v>
      </c>
      <c r="J38" s="44">
        <v>1</v>
      </c>
      <c r="K38" s="1">
        <v>6</v>
      </c>
    </row>
    <row r="39" spans="1:11" ht="15.75" x14ac:dyDescent="0.25">
      <c r="A39" s="1" t="str">
        <f>Student!B39</f>
        <v xml:space="preserve">BOATENG AGNES  </v>
      </c>
      <c r="B39" s="1">
        <v>28</v>
      </c>
      <c r="C39" s="1">
        <v>28</v>
      </c>
      <c r="D39" s="41">
        <v>20</v>
      </c>
      <c r="E39" s="1">
        <v>30</v>
      </c>
      <c r="F39" s="1">
        <v>30</v>
      </c>
      <c r="G39" s="1">
        <v>10</v>
      </c>
      <c r="H39" s="1">
        <v>10</v>
      </c>
      <c r="I39" s="1">
        <v>13</v>
      </c>
      <c r="J39" s="44">
        <v>13</v>
      </c>
      <c r="K39" s="1">
        <v>30</v>
      </c>
    </row>
    <row r="40" spans="1:11" ht="15.75" x14ac:dyDescent="0.25">
      <c r="A40" s="1" t="str">
        <f>Student!B40</f>
        <v xml:space="preserve">BONNEY CHARITY  </v>
      </c>
      <c r="B40" s="1"/>
      <c r="C40" s="1"/>
      <c r="D40" s="41"/>
      <c r="E40" s="1"/>
      <c r="F40" s="1"/>
      <c r="G40" s="1"/>
      <c r="H40" s="1"/>
      <c r="I40" s="1"/>
      <c r="J40" s="44"/>
      <c r="K40" s="1"/>
    </row>
    <row r="41" spans="1:11" ht="15.75" x14ac:dyDescent="0.25">
      <c r="A41" s="1" t="s">
        <v>167</v>
      </c>
      <c r="B41" s="1"/>
      <c r="C41" s="1"/>
      <c r="D41" s="41"/>
      <c r="E41" s="1"/>
      <c r="F41" s="1"/>
      <c r="G41" s="1"/>
      <c r="H41" s="1"/>
      <c r="I41" s="1"/>
      <c r="J41" s="44"/>
      <c r="K41" s="1"/>
    </row>
    <row r="42" spans="1:11" ht="15.75" x14ac:dyDescent="0.25">
      <c r="A42" s="1" t="str">
        <f>Student!B41</f>
        <v xml:space="preserve">DIXON HARRIET  </v>
      </c>
      <c r="B42" s="1">
        <v>25</v>
      </c>
      <c r="C42" s="1">
        <v>25</v>
      </c>
      <c r="D42" s="41">
        <v>20</v>
      </c>
      <c r="E42" s="1">
        <v>30</v>
      </c>
      <c r="F42" s="1">
        <v>30</v>
      </c>
      <c r="G42" s="1">
        <v>2</v>
      </c>
      <c r="H42" s="1">
        <v>5</v>
      </c>
      <c r="I42" s="1">
        <v>19</v>
      </c>
      <c r="J42" s="44">
        <v>13</v>
      </c>
      <c r="K42" s="1">
        <v>30</v>
      </c>
    </row>
    <row r="43" spans="1:11" ht="15.75" x14ac:dyDescent="0.25">
      <c r="A43" s="1" t="str">
        <f>Student!B42</f>
        <v xml:space="preserve">DJABA BELINDA  </v>
      </c>
      <c r="B43" s="1">
        <v>25</v>
      </c>
      <c r="C43" s="1">
        <v>25</v>
      </c>
      <c r="D43" s="41">
        <v>19</v>
      </c>
      <c r="E43" s="1">
        <v>12</v>
      </c>
      <c r="F43" s="1">
        <v>12</v>
      </c>
      <c r="G43" s="1">
        <v>2</v>
      </c>
      <c r="H43" s="1">
        <v>5</v>
      </c>
      <c r="I43" s="1">
        <v>7</v>
      </c>
      <c r="J43" s="44">
        <v>4</v>
      </c>
      <c r="K43" s="1">
        <v>12</v>
      </c>
    </row>
    <row r="44" spans="1:11" ht="15.75" x14ac:dyDescent="0.25">
      <c r="A44" s="1" t="str">
        <f>Student!B43</f>
        <v xml:space="preserve">ESSEL EMMANUELLA  </v>
      </c>
      <c r="B44" s="1">
        <v>29</v>
      </c>
      <c r="C44" s="1">
        <v>29</v>
      </c>
      <c r="D44" s="41">
        <v>2</v>
      </c>
      <c r="E44" s="1">
        <v>24</v>
      </c>
      <c r="F44" s="1">
        <v>24</v>
      </c>
      <c r="G44" s="1">
        <v>2</v>
      </c>
      <c r="H44" s="1">
        <v>10</v>
      </c>
      <c r="I44" s="1">
        <v>11</v>
      </c>
      <c r="J44" s="44">
        <v>8</v>
      </c>
      <c r="K44" s="1">
        <v>24</v>
      </c>
    </row>
    <row r="45" spans="1:11" ht="15.75" x14ac:dyDescent="0.25">
      <c r="A45" s="1" t="str">
        <f>Student!B44</f>
        <v xml:space="preserve">GAMAH ANGELA  </v>
      </c>
      <c r="B45" s="1">
        <v>30</v>
      </c>
      <c r="C45" s="1">
        <v>30</v>
      </c>
      <c r="D45" s="41">
        <v>20</v>
      </c>
      <c r="E45" s="1">
        <v>30</v>
      </c>
      <c r="F45" s="1">
        <v>30</v>
      </c>
      <c r="G45" s="1">
        <v>2</v>
      </c>
      <c r="H45" s="1">
        <v>10</v>
      </c>
      <c r="I45" s="1">
        <v>13</v>
      </c>
      <c r="J45" s="44">
        <v>26</v>
      </c>
      <c r="K45" s="1">
        <v>30</v>
      </c>
    </row>
    <row r="46" spans="1:11" ht="15.75" x14ac:dyDescent="0.25">
      <c r="A46" s="1" t="str">
        <f>Student!B45</f>
        <v xml:space="preserve">GAMOR ESTHER  </v>
      </c>
      <c r="B46" s="1">
        <v>30</v>
      </c>
      <c r="C46" s="1">
        <v>30</v>
      </c>
      <c r="D46" s="41">
        <v>2</v>
      </c>
      <c r="E46" s="1">
        <v>12</v>
      </c>
      <c r="F46" s="1">
        <v>12</v>
      </c>
      <c r="G46" s="1">
        <v>2</v>
      </c>
      <c r="H46" s="1">
        <v>5</v>
      </c>
      <c r="I46" s="1">
        <v>20</v>
      </c>
      <c r="J46" s="44">
        <v>25</v>
      </c>
      <c r="K46" s="1">
        <v>12</v>
      </c>
    </row>
    <row r="47" spans="1:11" ht="15.75" x14ac:dyDescent="0.25">
      <c r="A47" s="1" t="str">
        <f>Student!B46</f>
        <v xml:space="preserve">GYEMENA SERWAH  </v>
      </c>
      <c r="B47" s="1">
        <v>26</v>
      </c>
      <c r="C47" s="1">
        <v>26</v>
      </c>
      <c r="D47" s="41">
        <v>17</v>
      </c>
      <c r="E47" s="1">
        <v>12</v>
      </c>
      <c r="F47" s="1">
        <v>12</v>
      </c>
      <c r="G47" s="1">
        <v>2</v>
      </c>
      <c r="H47" s="1">
        <v>15</v>
      </c>
      <c r="I47" s="1">
        <v>10</v>
      </c>
      <c r="J47" s="44">
        <v>8</v>
      </c>
      <c r="K47" s="1">
        <v>12</v>
      </c>
    </row>
    <row r="48" spans="1:11" ht="15.75" x14ac:dyDescent="0.25">
      <c r="A48" s="1" t="str">
        <f>Student!B47</f>
        <v xml:space="preserve">HABLEAME SHILLA  </v>
      </c>
      <c r="B48" s="1">
        <v>21</v>
      </c>
      <c r="C48" s="1">
        <v>21</v>
      </c>
      <c r="D48" s="41">
        <v>20</v>
      </c>
      <c r="E48" s="1">
        <v>6</v>
      </c>
      <c r="F48" s="1">
        <v>15</v>
      </c>
      <c r="G48" s="1">
        <v>16</v>
      </c>
      <c r="H48" s="1">
        <v>9</v>
      </c>
      <c r="I48" s="1">
        <v>13</v>
      </c>
      <c r="J48" s="44">
        <v>14</v>
      </c>
      <c r="K48" s="1">
        <v>6</v>
      </c>
    </row>
    <row r="49" spans="1:11" ht="15.75" x14ac:dyDescent="0.25">
      <c r="A49" s="1" t="str">
        <f>Student!B48</f>
        <v xml:space="preserve">MENSAH FLORENCE  </v>
      </c>
      <c r="B49" s="1">
        <v>23</v>
      </c>
      <c r="C49" s="1">
        <v>23</v>
      </c>
      <c r="D49" s="41">
        <v>20</v>
      </c>
      <c r="E49" s="1">
        <v>30</v>
      </c>
      <c r="F49" s="1">
        <v>23</v>
      </c>
      <c r="G49" s="1">
        <v>2</v>
      </c>
      <c r="H49" s="1">
        <v>5</v>
      </c>
      <c r="I49" s="1">
        <v>10</v>
      </c>
      <c r="J49" s="44">
        <v>19</v>
      </c>
      <c r="K49" s="1">
        <v>30</v>
      </c>
    </row>
    <row r="50" spans="1:11" ht="15.75" x14ac:dyDescent="0.25">
      <c r="A50" s="1" t="str">
        <f>Student!B49</f>
        <v xml:space="preserve">MENSAH VANESSA  </v>
      </c>
      <c r="B50" s="1"/>
      <c r="C50" s="1"/>
      <c r="D50" s="41"/>
      <c r="E50" s="1"/>
      <c r="F50" s="1"/>
      <c r="G50" s="1"/>
      <c r="H50" s="1"/>
      <c r="I50" s="1"/>
      <c r="J50" s="44"/>
      <c r="K50" s="1"/>
    </row>
    <row r="51" spans="1:11" ht="15.75" x14ac:dyDescent="0.25">
      <c r="A51" s="1" t="str">
        <f>Student!B50</f>
        <v xml:space="preserve">NKETIA POKUAA CECELIA  </v>
      </c>
      <c r="B51" s="1">
        <v>21</v>
      </c>
      <c r="C51" s="1">
        <v>29</v>
      </c>
      <c r="D51" s="41">
        <v>20</v>
      </c>
      <c r="E51" s="1">
        <v>24</v>
      </c>
      <c r="F51" s="1">
        <v>24</v>
      </c>
      <c r="G51" s="1">
        <v>11</v>
      </c>
      <c r="H51" s="1">
        <v>5</v>
      </c>
      <c r="I51" s="1">
        <v>18</v>
      </c>
      <c r="J51" s="44">
        <v>8</v>
      </c>
      <c r="K51" s="1">
        <v>24</v>
      </c>
    </row>
    <row r="52" spans="1:11" ht="15.75" x14ac:dyDescent="0.25">
      <c r="A52" s="1" t="str">
        <f>Student!B51</f>
        <v xml:space="preserve">ODOI MARGARET  </v>
      </c>
      <c r="B52" s="1">
        <v>28</v>
      </c>
      <c r="C52" s="1">
        <v>28</v>
      </c>
      <c r="D52" s="41">
        <v>20</v>
      </c>
      <c r="E52" s="1">
        <v>2</v>
      </c>
      <c r="F52" s="1">
        <v>2</v>
      </c>
      <c r="G52" s="1">
        <v>2</v>
      </c>
      <c r="H52" s="1">
        <v>16</v>
      </c>
      <c r="I52" s="1">
        <v>5</v>
      </c>
      <c r="J52" s="44">
        <v>0</v>
      </c>
      <c r="K52" s="1">
        <v>2</v>
      </c>
    </row>
    <row r="53" spans="1:11" ht="15.75" x14ac:dyDescent="0.25">
      <c r="A53" s="1" t="str">
        <f>Student!B52</f>
        <v xml:space="preserve">OKYERE PRISCILLA  </v>
      </c>
      <c r="B53" s="1">
        <v>28</v>
      </c>
      <c r="C53" s="1">
        <v>28</v>
      </c>
      <c r="D53" s="41">
        <v>13</v>
      </c>
      <c r="E53" s="1">
        <v>30</v>
      </c>
      <c r="F53" s="1">
        <v>30</v>
      </c>
      <c r="G53" s="1">
        <v>20</v>
      </c>
      <c r="H53" s="1">
        <v>6</v>
      </c>
      <c r="I53" s="1">
        <v>18</v>
      </c>
      <c r="J53" s="44">
        <v>23</v>
      </c>
      <c r="K53" s="1">
        <v>30</v>
      </c>
    </row>
    <row r="54" spans="1:11" ht="15.75" x14ac:dyDescent="0.25">
      <c r="A54" s="1" t="str">
        <f>Student!B53</f>
        <v xml:space="preserve">SALIFU ZULAIHA  </v>
      </c>
      <c r="B54" s="1">
        <v>22</v>
      </c>
      <c r="C54" s="1">
        <v>22</v>
      </c>
      <c r="D54" s="41">
        <v>2</v>
      </c>
      <c r="E54" s="1">
        <v>27</v>
      </c>
      <c r="F54" s="1">
        <v>27</v>
      </c>
      <c r="G54" s="1">
        <v>2</v>
      </c>
      <c r="H54" s="1">
        <v>8</v>
      </c>
      <c r="I54" s="1">
        <v>12</v>
      </c>
      <c r="J54" s="44">
        <v>11</v>
      </c>
      <c r="K54" s="1">
        <v>27</v>
      </c>
    </row>
    <row r="55" spans="1:11" ht="15.75" x14ac:dyDescent="0.25">
      <c r="A55" s="1" t="str">
        <f>Student!B54</f>
        <v>SEFA AMA OWUSUWAA</v>
      </c>
      <c r="B55" s="1">
        <v>26</v>
      </c>
      <c r="C55" s="1">
        <v>26</v>
      </c>
      <c r="D55" s="41">
        <v>2</v>
      </c>
      <c r="E55" s="1">
        <v>12</v>
      </c>
      <c r="F55" s="1">
        <v>12</v>
      </c>
      <c r="G55" s="1">
        <v>7</v>
      </c>
      <c r="H55" s="1">
        <v>5</v>
      </c>
      <c r="I55" s="1">
        <v>12</v>
      </c>
      <c r="J55" s="44">
        <v>20</v>
      </c>
      <c r="K55" s="1">
        <v>12</v>
      </c>
    </row>
    <row r="56" spans="1:11" ht="15.75" x14ac:dyDescent="0.25">
      <c r="A56" s="1" t="str">
        <f>Student!B55</f>
        <v xml:space="preserve">TETTEH MAVIS  </v>
      </c>
      <c r="B56" s="1">
        <v>30</v>
      </c>
      <c r="C56" s="1">
        <v>30</v>
      </c>
      <c r="D56" s="41">
        <v>20</v>
      </c>
      <c r="E56" s="1">
        <v>24</v>
      </c>
      <c r="F56" s="1">
        <v>15</v>
      </c>
      <c r="G56" s="1">
        <v>2</v>
      </c>
      <c r="H56" s="1">
        <v>10</v>
      </c>
      <c r="I56" s="1">
        <v>14</v>
      </c>
      <c r="J56" s="44">
        <v>14</v>
      </c>
      <c r="K56" s="1">
        <v>24</v>
      </c>
    </row>
    <row r="57" spans="1:11" ht="15.75" x14ac:dyDescent="0.25">
      <c r="A57" s="1" t="str">
        <f>Student!B56</f>
        <v xml:space="preserve">TWUMASI VERA  </v>
      </c>
      <c r="B57" s="1">
        <v>23</v>
      </c>
      <c r="C57" s="1">
        <v>23</v>
      </c>
      <c r="D57" s="41">
        <v>20</v>
      </c>
      <c r="E57" s="1">
        <v>15</v>
      </c>
      <c r="F57" s="1">
        <v>15</v>
      </c>
      <c r="G57" s="1">
        <v>2</v>
      </c>
      <c r="H57" s="1">
        <v>5</v>
      </c>
      <c r="I57" s="1">
        <v>20</v>
      </c>
      <c r="J57" s="44">
        <v>26</v>
      </c>
      <c r="K57" s="1">
        <v>15</v>
      </c>
    </row>
    <row r="58" spans="1:11" ht="15.75" x14ac:dyDescent="0.25">
      <c r="A58" s="1" t="str">
        <f>Student!B57</f>
        <v xml:space="preserve">WORMENOR JULIA  </v>
      </c>
      <c r="B58" s="1">
        <v>30</v>
      </c>
      <c r="C58" s="1">
        <v>30</v>
      </c>
      <c r="D58" s="41">
        <v>20</v>
      </c>
      <c r="E58" s="1">
        <v>30</v>
      </c>
      <c r="F58" s="1">
        <v>30</v>
      </c>
      <c r="G58" s="1">
        <v>2</v>
      </c>
      <c r="H58" s="1">
        <v>19</v>
      </c>
      <c r="I58" s="1">
        <v>20</v>
      </c>
      <c r="J58" s="44">
        <v>26</v>
      </c>
      <c r="K58" s="1">
        <v>30</v>
      </c>
    </row>
    <row r="59" spans="1:11" ht="15.75" x14ac:dyDescent="0.25">
      <c r="A59" s="1" t="str">
        <f>Student!B58</f>
        <v xml:space="preserve">YEBOAH OLIVIA  </v>
      </c>
      <c r="B59" s="1">
        <v>29</v>
      </c>
      <c r="C59" s="1">
        <v>29</v>
      </c>
      <c r="D59" s="41">
        <v>20</v>
      </c>
      <c r="E59" s="1">
        <v>12</v>
      </c>
      <c r="F59" s="1">
        <v>12</v>
      </c>
      <c r="G59" s="1">
        <v>12</v>
      </c>
      <c r="H59" s="1">
        <v>5</v>
      </c>
      <c r="I59" s="1">
        <v>8</v>
      </c>
      <c r="J59" s="44">
        <v>10</v>
      </c>
      <c r="K59" s="1">
        <v>12</v>
      </c>
    </row>
    <row r="60" spans="1:11" ht="15.75" x14ac:dyDescent="0.25">
      <c r="A60" s="1" t="str">
        <f>Student!B59</f>
        <v>BRAHENE PRISCILLA</v>
      </c>
      <c r="B60" s="1"/>
      <c r="C60" s="1"/>
      <c r="D60" s="41"/>
      <c r="E60" s="1"/>
      <c r="F60" s="1"/>
      <c r="G60" s="1"/>
      <c r="H60" s="1"/>
      <c r="I60" s="1"/>
      <c r="J60" s="45"/>
      <c r="K60" s="1"/>
    </row>
    <row r="61" spans="1:11" ht="15.75" x14ac:dyDescent="0.25">
      <c r="A61" s="1">
        <f>Student!B60</f>
        <v>0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 x14ac:dyDescent="0.2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 x14ac:dyDescent="0.2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 x14ac:dyDescent="0.2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 x14ac:dyDescent="0.2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 x14ac:dyDescent="0.2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</sheetData>
  <dataValidations count="1">
    <dataValidation type="whole" allowBlank="1" showInputMessage="1" showErrorMessage="1" errorTitle="Invalid Entery!" error="Value shoud not be more than 30." sqref="B41:I41 K41 B2:K40 B42:K278" xr:uid="{00000000-0002-0000-08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V179"/>
  <sheetViews>
    <sheetView topLeftCell="A58" zoomScale="103" workbookViewId="0"/>
  </sheetViews>
  <sheetFormatPr defaultRowHeight="15" x14ac:dyDescent="0.25"/>
  <cols>
    <col min="1" max="1" width="18.5703125" customWidth="1"/>
    <col min="2" max="2" width="42.85546875" customWidth="1"/>
  </cols>
  <sheetData>
    <row r="1" spans="1:22" ht="159.75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76</v>
      </c>
      <c r="N1" s="16" t="s">
        <v>77</v>
      </c>
      <c r="O1" s="16" t="s">
        <v>78</v>
      </c>
      <c r="P1" s="16" t="s">
        <v>79</v>
      </c>
      <c r="Q1" s="16" t="s">
        <v>80</v>
      </c>
      <c r="R1" s="16" t="s">
        <v>81</v>
      </c>
      <c r="S1" s="16" t="s">
        <v>82</v>
      </c>
      <c r="T1" s="16" t="s">
        <v>83</v>
      </c>
      <c r="U1" s="16" t="s">
        <v>84</v>
      </c>
      <c r="V1" s="16" t="s">
        <v>85</v>
      </c>
    </row>
    <row r="2" spans="1:22" ht="15.75" x14ac:dyDescent="0.25">
      <c r="A2" s="5">
        <f>Student!A2</f>
        <v>4056</v>
      </c>
      <c r="B2" s="21" t="str">
        <f>Student!B2</f>
        <v xml:space="preserve">AGBENOR  ALFRED </v>
      </c>
      <c r="C2" s="20">
        <v>56</v>
      </c>
      <c r="D2" s="20">
        <v>56</v>
      </c>
      <c r="E2" s="20">
        <v>74</v>
      </c>
      <c r="F2" s="20">
        <v>25</v>
      </c>
      <c r="G2" s="20">
        <v>41</v>
      </c>
      <c r="H2" s="20">
        <v>19</v>
      </c>
      <c r="I2" s="20">
        <v>44</v>
      </c>
      <c r="J2" s="20">
        <v>51</v>
      </c>
      <c r="K2" s="20">
        <v>61</v>
      </c>
      <c r="L2" s="20">
        <v>57</v>
      </c>
      <c r="M2" s="26">
        <f t="shared" ref="M2:M65" si="0">50%*C2</f>
        <v>28</v>
      </c>
      <c r="N2" s="26">
        <f t="shared" ref="N2:V2" si="1">50%*D2</f>
        <v>28</v>
      </c>
      <c r="O2" s="26">
        <f t="shared" si="1"/>
        <v>37</v>
      </c>
      <c r="P2" s="26">
        <f t="shared" si="1"/>
        <v>12.5</v>
      </c>
      <c r="Q2" s="26">
        <f t="shared" si="1"/>
        <v>20.5</v>
      </c>
      <c r="R2" s="26">
        <f t="shared" si="1"/>
        <v>9.5</v>
      </c>
      <c r="S2" s="26">
        <f t="shared" si="1"/>
        <v>22</v>
      </c>
      <c r="T2" s="26">
        <f t="shared" ref="T2" si="2">50%*J2</f>
        <v>25.5</v>
      </c>
      <c r="U2" s="26">
        <f t="shared" ref="U2" si="3">50%*K2</f>
        <v>30.5</v>
      </c>
      <c r="V2" s="26">
        <f t="shared" si="1"/>
        <v>28.5</v>
      </c>
    </row>
    <row r="3" spans="1:22" ht="15.75" x14ac:dyDescent="0.25">
      <c r="A3" s="5">
        <f>Student!A3</f>
        <v>567</v>
      </c>
      <c r="B3" s="21" t="str">
        <f>Student!B3</f>
        <v xml:space="preserve">AGBENU JORDAN </v>
      </c>
      <c r="C3" s="20">
        <v>41</v>
      </c>
      <c r="D3" s="20">
        <v>41</v>
      </c>
      <c r="E3" s="20">
        <v>51</v>
      </c>
      <c r="F3" s="20">
        <v>30</v>
      </c>
      <c r="G3" s="20">
        <v>22</v>
      </c>
      <c r="H3" s="20">
        <v>14</v>
      </c>
      <c r="I3" s="20">
        <v>42</v>
      </c>
      <c r="J3" s="20">
        <v>25</v>
      </c>
      <c r="K3" s="20">
        <v>39</v>
      </c>
      <c r="L3" s="20">
        <v>45</v>
      </c>
      <c r="M3" s="26">
        <f t="shared" si="0"/>
        <v>20.5</v>
      </c>
      <c r="N3" s="26">
        <f t="shared" ref="N3:O65" si="4">50%*D3</f>
        <v>20.5</v>
      </c>
      <c r="O3" s="26">
        <f t="shared" ref="O3:O65" si="5">50%*E3</f>
        <v>25.5</v>
      </c>
      <c r="P3" s="26">
        <f t="shared" ref="P3:P65" si="6">50%*F3</f>
        <v>15</v>
      </c>
      <c r="Q3" s="26">
        <f t="shared" ref="Q3:Q65" si="7">50%*G3</f>
        <v>11</v>
      </c>
      <c r="R3" s="26">
        <f t="shared" ref="R3:R65" si="8">50%*H3</f>
        <v>7</v>
      </c>
      <c r="S3" s="26">
        <f t="shared" ref="S3:S65" si="9">50%*I3</f>
        <v>21</v>
      </c>
      <c r="T3" s="26">
        <f t="shared" ref="T3:T65" si="10">50%*J3</f>
        <v>12.5</v>
      </c>
      <c r="U3" s="26">
        <f t="shared" ref="U3:U65" si="11">50%*K3</f>
        <v>19.5</v>
      </c>
      <c r="V3" s="26">
        <f t="shared" ref="V3:V65" si="12">50%*L3</f>
        <v>22.5</v>
      </c>
    </row>
    <row r="4" spans="1:22" ht="15.75" x14ac:dyDescent="0.25">
      <c r="A4" s="5">
        <f>Student!A4</f>
        <v>749</v>
      </c>
      <c r="B4" s="21" t="str">
        <f>Student!B4</f>
        <v>AGBO PRINCE</v>
      </c>
      <c r="C4" s="20">
        <v>26</v>
      </c>
      <c r="D4" s="20">
        <v>26</v>
      </c>
      <c r="E4" s="20">
        <v>79</v>
      </c>
      <c r="F4" s="20">
        <v>13</v>
      </c>
      <c r="G4" s="20">
        <v>32</v>
      </c>
      <c r="H4" s="20">
        <v>27</v>
      </c>
      <c r="I4" s="20">
        <v>44</v>
      </c>
      <c r="J4" s="20">
        <v>29</v>
      </c>
      <c r="K4" s="20">
        <v>42</v>
      </c>
      <c r="L4" s="20">
        <v>26</v>
      </c>
      <c r="M4" s="26">
        <f t="shared" si="0"/>
        <v>13</v>
      </c>
      <c r="N4" s="26">
        <f t="shared" si="4"/>
        <v>13</v>
      </c>
      <c r="O4" s="26">
        <f t="shared" si="5"/>
        <v>39.5</v>
      </c>
      <c r="P4" s="26">
        <f t="shared" si="6"/>
        <v>6.5</v>
      </c>
      <c r="Q4" s="26">
        <f t="shared" si="7"/>
        <v>16</v>
      </c>
      <c r="R4" s="26">
        <f t="shared" si="8"/>
        <v>13.5</v>
      </c>
      <c r="S4" s="26">
        <f t="shared" si="9"/>
        <v>22</v>
      </c>
      <c r="T4" s="26">
        <f t="shared" si="10"/>
        <v>14.5</v>
      </c>
      <c r="U4" s="26">
        <f t="shared" si="11"/>
        <v>21</v>
      </c>
      <c r="V4" s="26">
        <f t="shared" si="12"/>
        <v>13</v>
      </c>
    </row>
    <row r="5" spans="1:22" ht="15.75" x14ac:dyDescent="0.25">
      <c r="A5" s="5">
        <f>Student!A5</f>
        <v>2050</v>
      </c>
      <c r="B5" s="21" t="str">
        <f>Student!B5</f>
        <v xml:space="preserve">AGBOTSE EBENEZER </v>
      </c>
      <c r="C5" s="20">
        <v>42</v>
      </c>
      <c r="D5" s="20">
        <v>42</v>
      </c>
      <c r="E5" s="20">
        <v>62</v>
      </c>
      <c r="F5" s="20">
        <v>26</v>
      </c>
      <c r="G5" s="20">
        <v>31</v>
      </c>
      <c r="H5" s="20">
        <v>18</v>
      </c>
      <c r="I5" s="20">
        <v>34</v>
      </c>
      <c r="J5" s="20">
        <v>17</v>
      </c>
      <c r="K5" s="20">
        <v>40</v>
      </c>
      <c r="L5" s="20">
        <v>30</v>
      </c>
      <c r="M5" s="26">
        <f t="shared" si="0"/>
        <v>21</v>
      </c>
      <c r="N5" s="26">
        <f t="shared" si="4"/>
        <v>21</v>
      </c>
      <c r="O5" s="26">
        <f t="shared" si="5"/>
        <v>31</v>
      </c>
      <c r="P5" s="26">
        <f t="shared" si="6"/>
        <v>13</v>
      </c>
      <c r="Q5" s="26">
        <f t="shared" si="7"/>
        <v>15.5</v>
      </c>
      <c r="R5" s="26">
        <f t="shared" si="8"/>
        <v>9</v>
      </c>
      <c r="S5" s="26">
        <f t="shared" si="9"/>
        <v>17</v>
      </c>
      <c r="T5" s="26">
        <f t="shared" si="10"/>
        <v>8.5</v>
      </c>
      <c r="U5" s="26">
        <f t="shared" si="11"/>
        <v>20</v>
      </c>
      <c r="V5" s="26">
        <f t="shared" si="12"/>
        <v>15</v>
      </c>
    </row>
    <row r="6" spans="1:22" ht="15.75" x14ac:dyDescent="0.25">
      <c r="A6" s="5">
        <f>Student!A6</f>
        <v>696</v>
      </c>
      <c r="B6" s="21" t="str">
        <f>Student!B6</f>
        <v xml:space="preserve">APPIAH EMMANUEL </v>
      </c>
      <c r="C6" s="20">
        <v>34</v>
      </c>
      <c r="D6" s="20">
        <v>34</v>
      </c>
      <c r="E6" s="20">
        <v>48</v>
      </c>
      <c r="F6" s="20">
        <v>12</v>
      </c>
      <c r="G6" s="20">
        <v>23</v>
      </c>
      <c r="H6" s="20">
        <v>14</v>
      </c>
      <c r="I6" s="20">
        <v>42</v>
      </c>
      <c r="J6" s="20">
        <v>32</v>
      </c>
      <c r="K6" s="20">
        <v>43</v>
      </c>
      <c r="L6" s="20">
        <v>36</v>
      </c>
      <c r="M6" s="26">
        <f t="shared" si="0"/>
        <v>17</v>
      </c>
      <c r="N6" s="26">
        <f t="shared" si="4"/>
        <v>17</v>
      </c>
      <c r="O6" s="26">
        <f t="shared" si="5"/>
        <v>24</v>
      </c>
      <c r="P6" s="26">
        <f t="shared" si="6"/>
        <v>6</v>
      </c>
      <c r="Q6" s="26">
        <f t="shared" si="7"/>
        <v>11.5</v>
      </c>
      <c r="R6" s="26">
        <f t="shared" si="8"/>
        <v>7</v>
      </c>
      <c r="S6" s="26">
        <f t="shared" si="9"/>
        <v>21</v>
      </c>
      <c r="T6" s="26">
        <f t="shared" si="10"/>
        <v>16</v>
      </c>
      <c r="U6" s="26">
        <f t="shared" si="11"/>
        <v>21.5</v>
      </c>
      <c r="V6" s="26">
        <f t="shared" si="12"/>
        <v>18</v>
      </c>
    </row>
    <row r="7" spans="1:22" ht="15.75" x14ac:dyDescent="0.25">
      <c r="A7" s="5">
        <f>Student!A7</f>
        <v>435</v>
      </c>
      <c r="B7" s="21" t="str">
        <f>Student!B7</f>
        <v xml:space="preserve">ASARE RICHMOND </v>
      </c>
      <c r="C7" s="20">
        <v>34</v>
      </c>
      <c r="D7" s="20">
        <v>34</v>
      </c>
      <c r="E7" s="20">
        <v>55</v>
      </c>
      <c r="F7" s="20">
        <v>24</v>
      </c>
      <c r="G7" s="20">
        <v>29</v>
      </c>
      <c r="H7" s="20">
        <v>12</v>
      </c>
      <c r="I7" s="20">
        <v>44</v>
      </c>
      <c r="J7" s="20">
        <v>36</v>
      </c>
      <c r="K7" s="20">
        <v>42</v>
      </c>
      <c r="L7" s="20">
        <v>36</v>
      </c>
      <c r="M7" s="26">
        <f t="shared" si="0"/>
        <v>17</v>
      </c>
      <c r="N7" s="26">
        <f t="shared" si="4"/>
        <v>17</v>
      </c>
      <c r="O7" s="26">
        <f t="shared" si="5"/>
        <v>27.5</v>
      </c>
      <c r="P7" s="26">
        <f t="shared" si="6"/>
        <v>12</v>
      </c>
      <c r="Q7" s="26">
        <f t="shared" si="7"/>
        <v>14.5</v>
      </c>
      <c r="R7" s="26">
        <f t="shared" si="8"/>
        <v>6</v>
      </c>
      <c r="S7" s="26">
        <f t="shared" si="9"/>
        <v>22</v>
      </c>
      <c r="T7" s="26">
        <f t="shared" si="10"/>
        <v>18</v>
      </c>
      <c r="U7" s="26">
        <f t="shared" si="11"/>
        <v>21</v>
      </c>
      <c r="V7" s="26">
        <f t="shared" si="12"/>
        <v>18</v>
      </c>
    </row>
    <row r="8" spans="1:22" ht="15.75" x14ac:dyDescent="0.25">
      <c r="A8" s="5">
        <f>Student!A8</f>
        <v>4240</v>
      </c>
      <c r="B8" s="21" t="str">
        <f>Student!B8</f>
        <v xml:space="preserve">ASIAMAH JOSEPH </v>
      </c>
      <c r="C8" s="20">
        <v>11</v>
      </c>
      <c r="D8" s="20">
        <v>11</v>
      </c>
      <c r="E8" s="20">
        <v>28</v>
      </c>
      <c r="F8" s="20">
        <v>9</v>
      </c>
      <c r="G8" s="20">
        <v>17</v>
      </c>
      <c r="H8" s="20">
        <v>18</v>
      </c>
      <c r="I8" s="20">
        <v>24</v>
      </c>
      <c r="J8" s="20">
        <v>14</v>
      </c>
      <c r="K8" s="20">
        <v>20</v>
      </c>
      <c r="L8" s="20">
        <v>23</v>
      </c>
      <c r="M8" s="26">
        <f t="shared" si="0"/>
        <v>5.5</v>
      </c>
      <c r="N8" s="26">
        <f t="shared" si="4"/>
        <v>5.5</v>
      </c>
      <c r="O8" s="26">
        <f t="shared" si="5"/>
        <v>14</v>
      </c>
      <c r="P8" s="26">
        <f t="shared" si="6"/>
        <v>4.5</v>
      </c>
      <c r="Q8" s="26">
        <f t="shared" si="7"/>
        <v>8.5</v>
      </c>
      <c r="R8" s="26">
        <f t="shared" si="8"/>
        <v>9</v>
      </c>
      <c r="S8" s="26">
        <f t="shared" si="9"/>
        <v>12</v>
      </c>
      <c r="T8" s="26">
        <f t="shared" si="10"/>
        <v>7</v>
      </c>
      <c r="U8" s="26">
        <f t="shared" si="11"/>
        <v>10</v>
      </c>
      <c r="V8" s="26">
        <f t="shared" si="12"/>
        <v>11.5</v>
      </c>
    </row>
    <row r="9" spans="1:22" ht="15.75" x14ac:dyDescent="0.25">
      <c r="A9" s="5">
        <f>Student!A9</f>
        <v>727</v>
      </c>
      <c r="B9" s="21" t="str">
        <f>Student!B9</f>
        <v>AWUAH KEKELI JERRY</v>
      </c>
      <c r="C9" s="20">
        <v>30</v>
      </c>
      <c r="D9" s="20">
        <v>30</v>
      </c>
      <c r="E9" s="20">
        <v>44</v>
      </c>
      <c r="F9" s="20">
        <v>18</v>
      </c>
      <c r="G9" s="20">
        <v>31</v>
      </c>
      <c r="H9" s="20">
        <v>17</v>
      </c>
      <c r="I9" s="20">
        <v>32</v>
      </c>
      <c r="J9" s="20">
        <v>18</v>
      </c>
      <c r="K9" s="20">
        <v>38</v>
      </c>
      <c r="L9" s="20">
        <v>53</v>
      </c>
      <c r="M9" s="26">
        <f t="shared" si="0"/>
        <v>15</v>
      </c>
      <c r="N9" s="26">
        <f t="shared" si="4"/>
        <v>15</v>
      </c>
      <c r="O9" s="26">
        <f t="shared" si="5"/>
        <v>22</v>
      </c>
      <c r="P9" s="26">
        <f t="shared" si="6"/>
        <v>9</v>
      </c>
      <c r="Q9" s="26">
        <f t="shared" si="7"/>
        <v>15.5</v>
      </c>
      <c r="R9" s="26">
        <f t="shared" si="8"/>
        <v>8.5</v>
      </c>
      <c r="S9" s="26">
        <f t="shared" si="9"/>
        <v>16</v>
      </c>
      <c r="T9" s="26">
        <f t="shared" si="10"/>
        <v>9</v>
      </c>
      <c r="U9" s="26">
        <f t="shared" si="11"/>
        <v>19</v>
      </c>
      <c r="V9" s="26">
        <f t="shared" si="12"/>
        <v>26.5</v>
      </c>
    </row>
    <row r="10" spans="1:22" ht="15.75" x14ac:dyDescent="0.25">
      <c r="A10" s="5">
        <f>Student!A10</f>
        <v>385</v>
      </c>
      <c r="B10" s="21" t="str">
        <f>Student!B10</f>
        <v xml:space="preserve">BAWA BASSIT </v>
      </c>
      <c r="C10" s="20">
        <v>35</v>
      </c>
      <c r="D10" s="20">
        <v>35</v>
      </c>
      <c r="E10" s="20">
        <v>84</v>
      </c>
      <c r="F10" s="20">
        <v>21</v>
      </c>
      <c r="G10" s="20">
        <v>30</v>
      </c>
      <c r="H10" s="20">
        <v>21</v>
      </c>
      <c r="I10" s="20">
        <v>44</v>
      </c>
      <c r="J10" s="20">
        <v>18</v>
      </c>
      <c r="K10" s="20">
        <v>38</v>
      </c>
      <c r="L10" s="20">
        <v>31</v>
      </c>
      <c r="M10" s="26">
        <f t="shared" si="0"/>
        <v>17.5</v>
      </c>
      <c r="N10" s="26">
        <f t="shared" si="4"/>
        <v>17.5</v>
      </c>
      <c r="O10" s="26">
        <f t="shared" si="5"/>
        <v>42</v>
      </c>
      <c r="P10" s="26">
        <f t="shared" si="6"/>
        <v>10.5</v>
      </c>
      <c r="Q10" s="26">
        <f t="shared" si="7"/>
        <v>15</v>
      </c>
      <c r="R10" s="26">
        <f t="shared" si="8"/>
        <v>10.5</v>
      </c>
      <c r="S10" s="26">
        <f t="shared" si="9"/>
        <v>22</v>
      </c>
      <c r="T10" s="26">
        <f t="shared" si="10"/>
        <v>9</v>
      </c>
      <c r="U10" s="26">
        <f t="shared" si="11"/>
        <v>19</v>
      </c>
      <c r="V10" s="26">
        <f t="shared" si="12"/>
        <v>15.5</v>
      </c>
    </row>
    <row r="11" spans="1:22" ht="15.75" x14ac:dyDescent="0.25">
      <c r="A11" s="5" t="str">
        <f>Student!A11</f>
        <v>A319</v>
      </c>
      <c r="B11" s="21" t="str">
        <f>Student!B11</f>
        <v xml:space="preserve">DANQWAH PHILIP </v>
      </c>
      <c r="C11" s="20">
        <v>19</v>
      </c>
      <c r="D11" s="20">
        <v>19</v>
      </c>
      <c r="E11" s="20">
        <v>48</v>
      </c>
      <c r="F11" s="20">
        <v>14</v>
      </c>
      <c r="G11" s="20">
        <v>16</v>
      </c>
      <c r="H11" s="20">
        <v>22</v>
      </c>
      <c r="I11" s="20">
        <v>43</v>
      </c>
      <c r="J11" s="20">
        <v>22</v>
      </c>
      <c r="K11" s="20">
        <v>15</v>
      </c>
      <c r="L11" s="20">
        <v>33</v>
      </c>
      <c r="M11" s="26">
        <f t="shared" si="0"/>
        <v>9.5</v>
      </c>
      <c r="N11" s="26">
        <f t="shared" si="4"/>
        <v>9.5</v>
      </c>
      <c r="O11" s="26">
        <f t="shared" si="5"/>
        <v>24</v>
      </c>
      <c r="P11" s="26">
        <f t="shared" si="6"/>
        <v>7</v>
      </c>
      <c r="Q11" s="26">
        <f t="shared" si="7"/>
        <v>8</v>
      </c>
      <c r="R11" s="26">
        <f t="shared" si="8"/>
        <v>11</v>
      </c>
      <c r="S11" s="26">
        <f t="shared" si="9"/>
        <v>21.5</v>
      </c>
      <c r="T11" s="26">
        <f t="shared" si="10"/>
        <v>11</v>
      </c>
      <c r="U11" s="26">
        <f t="shared" si="11"/>
        <v>7.5</v>
      </c>
      <c r="V11" s="26">
        <f t="shared" si="12"/>
        <v>16.5</v>
      </c>
    </row>
    <row r="12" spans="1:22" ht="15.75" x14ac:dyDescent="0.25">
      <c r="A12" s="5">
        <f>Student!A12</f>
        <v>714</v>
      </c>
      <c r="B12" s="21" t="str">
        <f>Student!B12</f>
        <v>DEDIHA GIDEON</v>
      </c>
      <c r="C12" s="20">
        <v>36</v>
      </c>
      <c r="D12" s="20">
        <v>36</v>
      </c>
      <c r="E12" s="20">
        <v>40</v>
      </c>
      <c r="F12" s="20">
        <v>14</v>
      </c>
      <c r="G12" s="20">
        <v>28</v>
      </c>
      <c r="H12" s="20">
        <v>24</v>
      </c>
      <c r="I12" s="20">
        <v>39</v>
      </c>
      <c r="J12" s="20">
        <v>15</v>
      </c>
      <c r="K12" s="20">
        <v>40</v>
      </c>
      <c r="L12" s="20">
        <v>31</v>
      </c>
      <c r="M12" s="26">
        <f t="shared" si="0"/>
        <v>18</v>
      </c>
      <c r="N12" s="26">
        <f t="shared" si="4"/>
        <v>18</v>
      </c>
      <c r="O12" s="26">
        <f t="shared" si="5"/>
        <v>20</v>
      </c>
      <c r="P12" s="26">
        <f t="shared" si="6"/>
        <v>7</v>
      </c>
      <c r="Q12" s="26">
        <f t="shared" si="7"/>
        <v>14</v>
      </c>
      <c r="R12" s="26">
        <f t="shared" si="8"/>
        <v>12</v>
      </c>
      <c r="S12" s="26">
        <f t="shared" si="9"/>
        <v>19.5</v>
      </c>
      <c r="T12" s="26">
        <f t="shared" si="10"/>
        <v>7.5</v>
      </c>
      <c r="U12" s="26">
        <f t="shared" si="11"/>
        <v>20</v>
      </c>
      <c r="V12" s="26">
        <f t="shared" si="12"/>
        <v>15.5</v>
      </c>
    </row>
    <row r="13" spans="1:22" ht="15.75" x14ac:dyDescent="0.25">
      <c r="A13" s="5">
        <f>Student!A13</f>
        <v>7334</v>
      </c>
      <c r="B13" s="21" t="str">
        <f>Student!B13</f>
        <v xml:space="preserve">ENCHILL KENNETH  </v>
      </c>
      <c r="C13" s="20">
        <v>32</v>
      </c>
      <c r="D13" s="20">
        <v>32</v>
      </c>
      <c r="E13" s="20">
        <v>43</v>
      </c>
      <c r="F13" s="20">
        <v>19</v>
      </c>
      <c r="G13" s="20">
        <v>31</v>
      </c>
      <c r="H13" s="20">
        <v>21</v>
      </c>
      <c r="I13" s="20">
        <v>31</v>
      </c>
      <c r="J13" s="20">
        <v>21</v>
      </c>
      <c r="K13" s="20">
        <v>29</v>
      </c>
      <c r="L13" s="20">
        <v>27</v>
      </c>
      <c r="M13" s="26">
        <f t="shared" si="0"/>
        <v>16</v>
      </c>
      <c r="N13" s="26">
        <f t="shared" si="4"/>
        <v>16</v>
      </c>
      <c r="O13" s="26">
        <f t="shared" si="5"/>
        <v>21.5</v>
      </c>
      <c r="P13" s="26">
        <f t="shared" si="6"/>
        <v>9.5</v>
      </c>
      <c r="Q13" s="26">
        <f t="shared" si="7"/>
        <v>15.5</v>
      </c>
      <c r="R13" s="26">
        <f t="shared" si="8"/>
        <v>10.5</v>
      </c>
      <c r="S13" s="26">
        <f t="shared" si="9"/>
        <v>15.5</v>
      </c>
      <c r="T13" s="26">
        <f t="shared" si="10"/>
        <v>10.5</v>
      </c>
      <c r="U13" s="26">
        <f t="shared" si="11"/>
        <v>14.5</v>
      </c>
      <c r="V13" s="26">
        <f t="shared" si="12"/>
        <v>13.5</v>
      </c>
    </row>
    <row r="14" spans="1:22" ht="15.75" x14ac:dyDescent="0.25">
      <c r="A14" s="5">
        <f>Student!A14</f>
        <v>437</v>
      </c>
      <c r="B14" s="21" t="str">
        <f>Student!B14</f>
        <v xml:space="preserve">ENTSIE FRANCIS </v>
      </c>
      <c r="C14" s="20">
        <v>27</v>
      </c>
      <c r="D14" s="20">
        <v>27</v>
      </c>
      <c r="E14" s="20">
        <v>82</v>
      </c>
      <c r="F14" s="20">
        <v>18</v>
      </c>
      <c r="G14" s="20">
        <v>32</v>
      </c>
      <c r="H14" s="20">
        <v>27</v>
      </c>
      <c r="I14" s="20">
        <v>24</v>
      </c>
      <c r="J14" s="20">
        <v>21</v>
      </c>
      <c r="K14" s="20">
        <v>47</v>
      </c>
      <c r="L14" s="20">
        <v>34</v>
      </c>
      <c r="M14" s="26">
        <f t="shared" si="0"/>
        <v>13.5</v>
      </c>
      <c r="N14" s="26">
        <f t="shared" si="4"/>
        <v>13.5</v>
      </c>
      <c r="O14" s="26">
        <f t="shared" si="5"/>
        <v>41</v>
      </c>
      <c r="P14" s="26">
        <f t="shared" si="6"/>
        <v>9</v>
      </c>
      <c r="Q14" s="26">
        <f t="shared" si="7"/>
        <v>16</v>
      </c>
      <c r="R14" s="26">
        <f t="shared" si="8"/>
        <v>13.5</v>
      </c>
      <c r="S14" s="26">
        <f t="shared" si="9"/>
        <v>12</v>
      </c>
      <c r="T14" s="26">
        <f t="shared" si="10"/>
        <v>10.5</v>
      </c>
      <c r="U14" s="26">
        <f t="shared" si="11"/>
        <v>23.5</v>
      </c>
      <c r="V14" s="26">
        <f t="shared" si="12"/>
        <v>17</v>
      </c>
    </row>
    <row r="15" spans="1:22" ht="15.75" x14ac:dyDescent="0.25">
      <c r="A15" s="5">
        <f>Student!A15</f>
        <v>271</v>
      </c>
      <c r="B15" s="21" t="str">
        <f>Student!B15</f>
        <v xml:space="preserve">ESHUN EVANS </v>
      </c>
      <c r="C15" s="20">
        <v>26</v>
      </c>
      <c r="D15" s="20">
        <v>26</v>
      </c>
      <c r="E15" s="20">
        <v>64</v>
      </c>
      <c r="F15" s="20">
        <v>5</v>
      </c>
      <c r="G15" s="20">
        <v>15</v>
      </c>
      <c r="H15" s="20">
        <v>16</v>
      </c>
      <c r="I15" s="20">
        <v>53</v>
      </c>
      <c r="J15" s="20">
        <v>15</v>
      </c>
      <c r="K15" s="20">
        <v>34</v>
      </c>
      <c r="L15" s="20">
        <v>35</v>
      </c>
      <c r="M15" s="26">
        <f t="shared" si="0"/>
        <v>13</v>
      </c>
      <c r="N15" s="26">
        <f t="shared" si="4"/>
        <v>13</v>
      </c>
      <c r="O15" s="26">
        <f t="shared" si="5"/>
        <v>32</v>
      </c>
      <c r="P15" s="26">
        <f t="shared" si="6"/>
        <v>2.5</v>
      </c>
      <c r="Q15" s="26">
        <f t="shared" si="7"/>
        <v>7.5</v>
      </c>
      <c r="R15" s="26">
        <f t="shared" si="8"/>
        <v>8</v>
      </c>
      <c r="S15" s="26">
        <f t="shared" si="9"/>
        <v>26.5</v>
      </c>
      <c r="T15" s="26">
        <f t="shared" si="10"/>
        <v>7.5</v>
      </c>
      <c r="U15" s="26">
        <f t="shared" si="11"/>
        <v>17</v>
      </c>
      <c r="V15" s="26">
        <f t="shared" si="12"/>
        <v>17.5</v>
      </c>
    </row>
    <row r="16" spans="1:22" ht="15.75" x14ac:dyDescent="0.25">
      <c r="A16" s="5">
        <f>Student!A16</f>
        <v>300</v>
      </c>
      <c r="B16" s="21" t="str">
        <f>Student!B16</f>
        <v xml:space="preserve">GOMASHIE PRINCE </v>
      </c>
      <c r="C16" s="20">
        <v>40</v>
      </c>
      <c r="D16" s="20">
        <v>19</v>
      </c>
      <c r="E16" s="20">
        <v>65</v>
      </c>
      <c r="F16" s="20">
        <v>24</v>
      </c>
      <c r="G16" s="20">
        <v>31</v>
      </c>
      <c r="H16" s="20">
        <v>31</v>
      </c>
      <c r="I16" s="20">
        <v>55</v>
      </c>
      <c r="J16" s="20">
        <v>48</v>
      </c>
      <c r="K16" s="20">
        <v>45</v>
      </c>
      <c r="L16" s="20">
        <v>61</v>
      </c>
      <c r="M16" s="26">
        <f t="shared" si="0"/>
        <v>20</v>
      </c>
      <c r="N16" s="26">
        <f t="shared" si="4"/>
        <v>9.5</v>
      </c>
      <c r="O16" s="26">
        <f t="shared" si="5"/>
        <v>32.5</v>
      </c>
      <c r="P16" s="26">
        <f t="shared" si="6"/>
        <v>12</v>
      </c>
      <c r="Q16" s="26">
        <f t="shared" si="7"/>
        <v>15.5</v>
      </c>
      <c r="R16" s="26">
        <f t="shared" si="8"/>
        <v>15.5</v>
      </c>
      <c r="S16" s="26">
        <f t="shared" si="9"/>
        <v>27.5</v>
      </c>
      <c r="T16" s="26">
        <f t="shared" si="10"/>
        <v>24</v>
      </c>
      <c r="U16" s="26">
        <f t="shared" si="11"/>
        <v>22.5</v>
      </c>
      <c r="V16" s="26">
        <f t="shared" si="12"/>
        <v>30.5</v>
      </c>
    </row>
    <row r="17" spans="1:22" ht="15.75" x14ac:dyDescent="0.25">
      <c r="A17" s="5" t="str">
        <f>Student!A17</f>
        <v>A070</v>
      </c>
      <c r="B17" s="21" t="str">
        <f>Student!B17</f>
        <v xml:space="preserve">NUMEGBOR WISDOM </v>
      </c>
      <c r="C17" s="20">
        <v>12</v>
      </c>
      <c r="D17" s="20">
        <v>12</v>
      </c>
      <c r="E17" s="20">
        <v>63</v>
      </c>
      <c r="F17" s="20">
        <v>12</v>
      </c>
      <c r="G17" s="20">
        <v>40</v>
      </c>
      <c r="H17" s="20"/>
      <c r="I17" s="20">
        <v>30</v>
      </c>
      <c r="J17" s="20">
        <v>14</v>
      </c>
      <c r="K17" s="20">
        <v>5</v>
      </c>
      <c r="L17" s="20">
        <v>27</v>
      </c>
      <c r="M17" s="26">
        <f t="shared" si="0"/>
        <v>6</v>
      </c>
      <c r="N17" s="26">
        <f t="shared" si="4"/>
        <v>6</v>
      </c>
      <c r="O17" s="26">
        <f t="shared" si="5"/>
        <v>31.5</v>
      </c>
      <c r="P17" s="26">
        <f t="shared" si="6"/>
        <v>6</v>
      </c>
      <c r="Q17" s="26">
        <f t="shared" si="7"/>
        <v>20</v>
      </c>
      <c r="R17" s="26">
        <f t="shared" si="8"/>
        <v>0</v>
      </c>
      <c r="S17" s="26">
        <f t="shared" si="9"/>
        <v>15</v>
      </c>
      <c r="T17" s="26">
        <f t="shared" si="10"/>
        <v>7</v>
      </c>
      <c r="U17" s="26">
        <f t="shared" si="11"/>
        <v>2.5</v>
      </c>
      <c r="V17" s="26">
        <f t="shared" si="12"/>
        <v>13.5</v>
      </c>
    </row>
    <row r="18" spans="1:22" ht="15.75" x14ac:dyDescent="0.25">
      <c r="A18" s="5">
        <f>Student!A18</f>
        <v>267</v>
      </c>
      <c r="B18" s="21" t="str">
        <f>Student!B18</f>
        <v xml:space="preserve">OFFEI JUSTICE </v>
      </c>
      <c r="C18" s="20">
        <v>44</v>
      </c>
      <c r="D18" s="20">
        <v>44</v>
      </c>
      <c r="E18" s="20">
        <v>78</v>
      </c>
      <c r="F18" s="20">
        <v>17</v>
      </c>
      <c r="G18" s="20">
        <v>44</v>
      </c>
      <c r="H18" s="20">
        <v>28</v>
      </c>
      <c r="I18" s="20">
        <v>48</v>
      </c>
      <c r="J18" s="20">
        <v>38</v>
      </c>
      <c r="K18" s="20">
        <v>59</v>
      </c>
      <c r="L18" s="20">
        <v>40</v>
      </c>
      <c r="M18" s="26">
        <f t="shared" si="0"/>
        <v>22</v>
      </c>
      <c r="N18" s="26">
        <f t="shared" si="4"/>
        <v>22</v>
      </c>
      <c r="O18" s="26">
        <f t="shared" si="5"/>
        <v>39</v>
      </c>
      <c r="P18" s="26">
        <f t="shared" si="6"/>
        <v>8.5</v>
      </c>
      <c r="Q18" s="26">
        <f t="shared" si="7"/>
        <v>22</v>
      </c>
      <c r="R18" s="26">
        <f t="shared" si="8"/>
        <v>14</v>
      </c>
      <c r="S18" s="26">
        <f t="shared" si="9"/>
        <v>24</v>
      </c>
      <c r="T18" s="26">
        <f t="shared" si="10"/>
        <v>19</v>
      </c>
      <c r="U18" s="26">
        <f t="shared" si="11"/>
        <v>29.5</v>
      </c>
      <c r="V18" s="26">
        <f t="shared" si="12"/>
        <v>20</v>
      </c>
    </row>
    <row r="19" spans="1:22" ht="15.75" x14ac:dyDescent="0.25">
      <c r="A19" s="5">
        <f>Student!A19</f>
        <v>503</v>
      </c>
      <c r="B19" s="21" t="str">
        <f>Student!B19</f>
        <v xml:space="preserve">OSEI BELVIS </v>
      </c>
      <c r="C19" s="20">
        <v>45</v>
      </c>
      <c r="D19" s="20">
        <v>45</v>
      </c>
      <c r="E19" s="20">
        <v>80</v>
      </c>
      <c r="F19" s="20">
        <v>24</v>
      </c>
      <c r="G19" s="20">
        <v>24</v>
      </c>
      <c r="H19" s="20">
        <v>13</v>
      </c>
      <c r="I19" s="20">
        <v>39</v>
      </c>
      <c r="J19" s="20">
        <v>52</v>
      </c>
      <c r="K19" s="20">
        <v>56</v>
      </c>
      <c r="L19" s="20">
        <v>42</v>
      </c>
      <c r="M19" s="26">
        <f t="shared" si="0"/>
        <v>22.5</v>
      </c>
      <c r="N19" s="26">
        <f t="shared" si="4"/>
        <v>22.5</v>
      </c>
      <c r="O19" s="26">
        <f t="shared" si="5"/>
        <v>40</v>
      </c>
      <c r="P19" s="26">
        <f t="shared" si="6"/>
        <v>12</v>
      </c>
      <c r="Q19" s="26">
        <f t="shared" si="7"/>
        <v>12</v>
      </c>
      <c r="R19" s="26">
        <f t="shared" si="8"/>
        <v>6.5</v>
      </c>
      <c r="S19" s="26">
        <f t="shared" si="9"/>
        <v>19.5</v>
      </c>
      <c r="T19" s="26">
        <f t="shared" si="10"/>
        <v>26</v>
      </c>
      <c r="U19" s="26">
        <f t="shared" si="11"/>
        <v>28</v>
      </c>
      <c r="V19" s="26">
        <f t="shared" si="12"/>
        <v>21</v>
      </c>
    </row>
    <row r="20" spans="1:22" ht="15.75" x14ac:dyDescent="0.25">
      <c r="A20" s="5">
        <f>Student!A20</f>
        <v>459</v>
      </c>
      <c r="B20" s="21" t="str">
        <f>Student!B20</f>
        <v xml:space="preserve">OTU KOFI SOLOMON  </v>
      </c>
      <c r="C20" s="20">
        <v>33</v>
      </c>
      <c r="D20" s="20">
        <v>35</v>
      </c>
      <c r="E20" s="20">
        <v>51</v>
      </c>
      <c r="F20" s="20">
        <v>13</v>
      </c>
      <c r="G20" s="20">
        <v>29</v>
      </c>
      <c r="H20" s="20">
        <v>23</v>
      </c>
      <c r="I20" s="20">
        <v>40</v>
      </c>
      <c r="J20" s="20">
        <v>28</v>
      </c>
      <c r="K20" s="20">
        <v>44</v>
      </c>
      <c r="L20" s="20">
        <v>52</v>
      </c>
      <c r="M20" s="26">
        <f t="shared" si="0"/>
        <v>16.5</v>
      </c>
      <c r="N20" s="26">
        <f t="shared" si="4"/>
        <v>17.5</v>
      </c>
      <c r="O20" s="26">
        <f t="shared" si="5"/>
        <v>25.5</v>
      </c>
      <c r="P20" s="26">
        <f t="shared" si="6"/>
        <v>6.5</v>
      </c>
      <c r="Q20" s="26">
        <f t="shared" si="7"/>
        <v>14.5</v>
      </c>
      <c r="R20" s="26">
        <f t="shared" si="8"/>
        <v>11.5</v>
      </c>
      <c r="S20" s="26">
        <f t="shared" si="9"/>
        <v>20</v>
      </c>
      <c r="T20" s="26">
        <f t="shared" si="10"/>
        <v>14</v>
      </c>
      <c r="U20" s="26">
        <f t="shared" si="11"/>
        <v>22</v>
      </c>
      <c r="V20" s="26">
        <f t="shared" si="12"/>
        <v>26</v>
      </c>
    </row>
    <row r="21" spans="1:22" ht="15.75" x14ac:dyDescent="0.25">
      <c r="A21" s="5">
        <f>Student!A21</f>
        <v>436</v>
      </c>
      <c r="B21" s="21" t="str">
        <f>Student!B21</f>
        <v xml:space="preserve">OWUSU RUBEN </v>
      </c>
      <c r="C21" s="20">
        <v>23</v>
      </c>
      <c r="D21" s="20">
        <v>23</v>
      </c>
      <c r="E21" s="20">
        <v>49</v>
      </c>
      <c r="F21" s="20">
        <v>17</v>
      </c>
      <c r="G21" s="20">
        <v>32</v>
      </c>
      <c r="H21" s="20">
        <v>8</v>
      </c>
      <c r="I21" s="20">
        <v>19</v>
      </c>
      <c r="J21" s="20">
        <v>13</v>
      </c>
      <c r="K21" s="20">
        <v>32</v>
      </c>
      <c r="L21" s="20">
        <v>21</v>
      </c>
      <c r="M21" s="26">
        <f t="shared" si="0"/>
        <v>11.5</v>
      </c>
      <c r="N21" s="26">
        <f t="shared" si="4"/>
        <v>11.5</v>
      </c>
      <c r="O21" s="26">
        <f t="shared" si="5"/>
        <v>24.5</v>
      </c>
      <c r="P21" s="26">
        <f t="shared" si="6"/>
        <v>8.5</v>
      </c>
      <c r="Q21" s="26">
        <f t="shared" si="7"/>
        <v>16</v>
      </c>
      <c r="R21" s="26">
        <f t="shared" si="8"/>
        <v>4</v>
      </c>
      <c r="S21" s="26">
        <f t="shared" si="9"/>
        <v>9.5</v>
      </c>
      <c r="T21" s="26">
        <f t="shared" si="10"/>
        <v>6.5</v>
      </c>
      <c r="U21" s="26">
        <f t="shared" si="11"/>
        <v>16</v>
      </c>
      <c r="V21" s="26">
        <f t="shared" si="12"/>
        <v>10.5</v>
      </c>
    </row>
    <row r="22" spans="1:22" ht="15.75" x14ac:dyDescent="0.25">
      <c r="A22" s="5">
        <f>Student!A22</f>
        <v>309</v>
      </c>
      <c r="B22" s="21" t="str">
        <f>Student!B22</f>
        <v xml:space="preserve">SEIDU IBRAHIM </v>
      </c>
      <c r="C22" s="20">
        <v>23</v>
      </c>
      <c r="D22" s="20">
        <v>23</v>
      </c>
      <c r="E22" s="20">
        <v>41</v>
      </c>
      <c r="F22" s="20">
        <v>18</v>
      </c>
      <c r="G22" s="20">
        <v>27</v>
      </c>
      <c r="H22" s="20">
        <v>12</v>
      </c>
      <c r="I22" s="20">
        <v>7</v>
      </c>
      <c r="J22" s="20">
        <v>9</v>
      </c>
      <c r="K22" s="20">
        <v>22</v>
      </c>
      <c r="L22" s="20">
        <v>31</v>
      </c>
      <c r="M22" s="26">
        <f t="shared" si="0"/>
        <v>11.5</v>
      </c>
      <c r="N22" s="26">
        <f t="shared" si="4"/>
        <v>11.5</v>
      </c>
      <c r="O22" s="26">
        <f t="shared" si="5"/>
        <v>20.5</v>
      </c>
      <c r="P22" s="26">
        <f t="shared" si="6"/>
        <v>9</v>
      </c>
      <c r="Q22" s="26">
        <f t="shared" si="7"/>
        <v>13.5</v>
      </c>
      <c r="R22" s="26">
        <f t="shared" si="8"/>
        <v>6</v>
      </c>
      <c r="S22" s="26">
        <f t="shared" si="9"/>
        <v>3.5</v>
      </c>
      <c r="T22" s="26">
        <f t="shared" si="10"/>
        <v>4.5</v>
      </c>
      <c r="U22" s="26">
        <f t="shared" si="11"/>
        <v>11</v>
      </c>
      <c r="V22" s="26">
        <f t="shared" si="12"/>
        <v>15.5</v>
      </c>
    </row>
    <row r="23" spans="1:22" ht="15.75" x14ac:dyDescent="0.25">
      <c r="A23" s="5">
        <f>Student!A23</f>
        <v>645</v>
      </c>
      <c r="B23" s="21" t="str">
        <f>Student!B23</f>
        <v xml:space="preserve">TAGBOR MICHAEL </v>
      </c>
      <c r="C23" s="20">
        <v>27</v>
      </c>
      <c r="D23" s="20">
        <v>27</v>
      </c>
      <c r="E23" s="20">
        <v>47</v>
      </c>
      <c r="F23" s="20">
        <v>23</v>
      </c>
      <c r="G23" s="20">
        <v>29</v>
      </c>
      <c r="H23" s="20">
        <v>24</v>
      </c>
      <c r="I23" s="20">
        <v>33</v>
      </c>
      <c r="J23" s="20">
        <v>21</v>
      </c>
      <c r="K23" s="20">
        <v>32</v>
      </c>
      <c r="L23" s="20">
        <v>37</v>
      </c>
      <c r="M23" s="26">
        <f t="shared" si="0"/>
        <v>13.5</v>
      </c>
      <c r="N23" s="26">
        <f t="shared" si="4"/>
        <v>13.5</v>
      </c>
      <c r="O23" s="26">
        <f t="shared" si="5"/>
        <v>23.5</v>
      </c>
      <c r="P23" s="26">
        <f t="shared" si="6"/>
        <v>11.5</v>
      </c>
      <c r="Q23" s="26">
        <f t="shared" si="7"/>
        <v>14.5</v>
      </c>
      <c r="R23" s="26">
        <f t="shared" si="8"/>
        <v>12</v>
      </c>
      <c r="S23" s="26">
        <f t="shared" si="9"/>
        <v>16.5</v>
      </c>
      <c r="T23" s="26">
        <f t="shared" si="10"/>
        <v>10.5</v>
      </c>
      <c r="U23" s="26">
        <f t="shared" si="11"/>
        <v>16</v>
      </c>
      <c r="V23" s="26">
        <f t="shared" si="12"/>
        <v>18.5</v>
      </c>
    </row>
    <row r="24" spans="1:22" ht="15.75" x14ac:dyDescent="0.25">
      <c r="A24" s="5">
        <f>Student!A24</f>
        <v>4070</v>
      </c>
      <c r="B24" s="21" t="str">
        <f>Student!B24</f>
        <v xml:space="preserve">ACQUAH PRISCILLA  </v>
      </c>
      <c r="C24" s="20">
        <v>32</v>
      </c>
      <c r="D24" s="20">
        <v>32</v>
      </c>
      <c r="E24" s="20">
        <v>73</v>
      </c>
      <c r="F24" s="20">
        <v>18</v>
      </c>
      <c r="G24" s="20">
        <v>47</v>
      </c>
      <c r="H24" s="20">
        <v>30</v>
      </c>
      <c r="I24" s="20">
        <v>46</v>
      </c>
      <c r="J24" s="20">
        <v>28</v>
      </c>
      <c r="K24" s="20">
        <v>52</v>
      </c>
      <c r="L24" s="20">
        <v>39</v>
      </c>
      <c r="M24" s="26">
        <f t="shared" si="0"/>
        <v>16</v>
      </c>
      <c r="N24" s="26">
        <f t="shared" si="4"/>
        <v>16</v>
      </c>
      <c r="O24" s="26">
        <f t="shared" si="5"/>
        <v>36.5</v>
      </c>
      <c r="P24" s="26">
        <f t="shared" si="6"/>
        <v>9</v>
      </c>
      <c r="Q24" s="26">
        <f t="shared" si="7"/>
        <v>23.5</v>
      </c>
      <c r="R24" s="26">
        <f t="shared" si="8"/>
        <v>15</v>
      </c>
      <c r="S24" s="26">
        <f t="shared" si="9"/>
        <v>23</v>
      </c>
      <c r="T24" s="26">
        <f t="shared" si="10"/>
        <v>14</v>
      </c>
      <c r="U24" s="26">
        <f t="shared" si="11"/>
        <v>26</v>
      </c>
      <c r="V24" s="26">
        <f t="shared" si="12"/>
        <v>19.5</v>
      </c>
    </row>
    <row r="25" spans="1:22" ht="15.75" x14ac:dyDescent="0.25">
      <c r="A25" s="5">
        <f>Student!A25</f>
        <v>624</v>
      </c>
      <c r="B25" s="21" t="str">
        <f>Student!B25</f>
        <v xml:space="preserve">ADI ROSE  </v>
      </c>
      <c r="C25" s="20">
        <v>18</v>
      </c>
      <c r="D25" s="20">
        <v>18</v>
      </c>
      <c r="E25" s="20">
        <v>55</v>
      </c>
      <c r="F25" s="20">
        <v>25</v>
      </c>
      <c r="G25" s="20">
        <v>36</v>
      </c>
      <c r="H25" s="20">
        <v>36</v>
      </c>
      <c r="I25" s="20">
        <v>55</v>
      </c>
      <c r="J25" s="20">
        <v>41</v>
      </c>
      <c r="K25" s="20">
        <v>36</v>
      </c>
      <c r="L25" s="20">
        <v>33</v>
      </c>
      <c r="M25" s="26">
        <f t="shared" si="0"/>
        <v>9</v>
      </c>
      <c r="N25" s="26">
        <f t="shared" si="4"/>
        <v>9</v>
      </c>
      <c r="O25" s="26">
        <f t="shared" si="5"/>
        <v>27.5</v>
      </c>
      <c r="P25" s="26">
        <f t="shared" si="6"/>
        <v>12.5</v>
      </c>
      <c r="Q25" s="26">
        <f t="shared" si="7"/>
        <v>18</v>
      </c>
      <c r="R25" s="26">
        <f t="shared" si="8"/>
        <v>18</v>
      </c>
      <c r="S25" s="26">
        <f t="shared" si="9"/>
        <v>27.5</v>
      </c>
      <c r="T25" s="26">
        <f t="shared" si="10"/>
        <v>20.5</v>
      </c>
      <c r="U25" s="26">
        <f t="shared" si="11"/>
        <v>18</v>
      </c>
      <c r="V25" s="26">
        <f t="shared" si="12"/>
        <v>16.5</v>
      </c>
    </row>
    <row r="26" spans="1:22" ht="15.75" x14ac:dyDescent="0.25">
      <c r="A26" s="5">
        <f>Student!A26</f>
        <v>387</v>
      </c>
      <c r="B26" s="21" t="str">
        <f>Student!B26</f>
        <v xml:space="preserve">ADOMAKO PRISCILLA  </v>
      </c>
      <c r="C26" s="20">
        <v>26</v>
      </c>
      <c r="D26" s="20">
        <v>26</v>
      </c>
      <c r="E26" s="20">
        <v>66</v>
      </c>
      <c r="F26" s="20">
        <v>23</v>
      </c>
      <c r="G26" s="20">
        <v>46</v>
      </c>
      <c r="H26" s="20">
        <v>21</v>
      </c>
      <c r="I26" s="20">
        <v>38</v>
      </c>
      <c r="J26" s="20">
        <v>29</v>
      </c>
      <c r="K26" s="20">
        <v>35</v>
      </c>
      <c r="L26" s="20">
        <v>39</v>
      </c>
      <c r="M26" s="26">
        <f t="shared" si="0"/>
        <v>13</v>
      </c>
      <c r="N26" s="26">
        <f t="shared" si="4"/>
        <v>13</v>
      </c>
      <c r="O26" s="26">
        <f t="shared" si="5"/>
        <v>33</v>
      </c>
      <c r="P26" s="26">
        <f t="shared" si="6"/>
        <v>11.5</v>
      </c>
      <c r="Q26" s="26">
        <f t="shared" si="7"/>
        <v>23</v>
      </c>
      <c r="R26" s="26">
        <f t="shared" si="8"/>
        <v>10.5</v>
      </c>
      <c r="S26" s="26">
        <f t="shared" si="9"/>
        <v>19</v>
      </c>
      <c r="T26" s="26">
        <f t="shared" si="10"/>
        <v>14.5</v>
      </c>
      <c r="U26" s="26">
        <f t="shared" si="11"/>
        <v>17.5</v>
      </c>
      <c r="V26" s="26">
        <f t="shared" si="12"/>
        <v>19.5</v>
      </c>
    </row>
    <row r="27" spans="1:22" ht="15.75" x14ac:dyDescent="0.25">
      <c r="A27" s="5">
        <f>Student!A27</f>
        <v>554</v>
      </c>
      <c r="B27" s="21" t="str">
        <f>Student!B27</f>
        <v xml:space="preserve">AGBEMAZI PRECIOUS  </v>
      </c>
      <c r="C27" s="20">
        <v>28</v>
      </c>
      <c r="D27" s="20">
        <v>28</v>
      </c>
      <c r="E27" s="20">
        <v>45</v>
      </c>
      <c r="F27" s="20">
        <v>20</v>
      </c>
      <c r="G27" s="20">
        <v>25</v>
      </c>
      <c r="H27" s="20">
        <v>15</v>
      </c>
      <c r="I27" s="20">
        <v>38</v>
      </c>
      <c r="J27" s="20">
        <v>49</v>
      </c>
      <c r="K27" s="20">
        <v>50</v>
      </c>
      <c r="L27" s="20">
        <v>37</v>
      </c>
      <c r="M27" s="26">
        <f t="shared" si="0"/>
        <v>14</v>
      </c>
      <c r="N27" s="26">
        <f t="shared" si="4"/>
        <v>14</v>
      </c>
      <c r="O27" s="26">
        <f t="shared" si="5"/>
        <v>22.5</v>
      </c>
      <c r="P27" s="26">
        <f t="shared" si="6"/>
        <v>10</v>
      </c>
      <c r="Q27" s="26">
        <f t="shared" si="7"/>
        <v>12.5</v>
      </c>
      <c r="R27" s="26">
        <f t="shared" si="8"/>
        <v>7.5</v>
      </c>
      <c r="S27" s="26">
        <f t="shared" si="9"/>
        <v>19</v>
      </c>
      <c r="T27" s="26">
        <f t="shared" si="10"/>
        <v>24.5</v>
      </c>
      <c r="U27" s="26">
        <f t="shared" si="11"/>
        <v>25</v>
      </c>
      <c r="V27" s="26">
        <f t="shared" si="12"/>
        <v>18.5</v>
      </c>
    </row>
    <row r="28" spans="1:22" ht="15.75" x14ac:dyDescent="0.25">
      <c r="A28" s="5">
        <f>Student!A28</f>
        <v>365</v>
      </c>
      <c r="B28" s="21" t="str">
        <f>Student!B28</f>
        <v xml:space="preserve">AGBENYEFIA BRIDGET </v>
      </c>
      <c r="C28" s="20">
        <v>32</v>
      </c>
      <c r="D28" s="20">
        <v>32</v>
      </c>
      <c r="E28" s="20">
        <v>69</v>
      </c>
      <c r="F28" s="20">
        <v>9</v>
      </c>
      <c r="G28" s="20">
        <v>34</v>
      </c>
      <c r="H28" s="20">
        <v>16</v>
      </c>
      <c r="I28" s="20">
        <v>39</v>
      </c>
      <c r="J28" s="20">
        <v>37</v>
      </c>
      <c r="K28" s="20">
        <v>35</v>
      </c>
      <c r="L28" s="20">
        <v>37</v>
      </c>
      <c r="M28" s="26">
        <f t="shared" si="0"/>
        <v>16</v>
      </c>
      <c r="N28" s="26">
        <f t="shared" si="4"/>
        <v>16</v>
      </c>
      <c r="O28" s="26">
        <f t="shared" si="5"/>
        <v>34.5</v>
      </c>
      <c r="P28" s="26">
        <f t="shared" si="6"/>
        <v>4.5</v>
      </c>
      <c r="Q28" s="26">
        <f t="shared" si="7"/>
        <v>17</v>
      </c>
      <c r="R28" s="26">
        <f t="shared" si="8"/>
        <v>8</v>
      </c>
      <c r="S28" s="26">
        <f t="shared" si="9"/>
        <v>19.5</v>
      </c>
      <c r="T28" s="26">
        <f t="shared" si="10"/>
        <v>18.5</v>
      </c>
      <c r="U28" s="26">
        <f t="shared" si="11"/>
        <v>17.5</v>
      </c>
      <c r="V28" s="26">
        <f t="shared" si="12"/>
        <v>18.5</v>
      </c>
    </row>
    <row r="29" spans="1:22" ht="15.75" x14ac:dyDescent="0.25">
      <c r="A29" s="5">
        <f>Student!A29</f>
        <v>445</v>
      </c>
      <c r="B29" s="21" t="str">
        <f>Student!B29</f>
        <v xml:space="preserve">AKATAYURE REGINA  </v>
      </c>
      <c r="C29" s="20">
        <v>23</v>
      </c>
      <c r="D29" s="20">
        <v>23</v>
      </c>
      <c r="E29" s="20">
        <v>58</v>
      </c>
      <c r="F29" s="20">
        <v>9</v>
      </c>
      <c r="G29" s="20">
        <v>16</v>
      </c>
      <c r="H29" s="20">
        <v>10</v>
      </c>
      <c r="I29" s="20">
        <v>29</v>
      </c>
      <c r="J29" s="20">
        <v>18</v>
      </c>
      <c r="K29" s="20">
        <v>31</v>
      </c>
      <c r="L29" s="20">
        <v>22</v>
      </c>
      <c r="M29" s="26">
        <f t="shared" si="0"/>
        <v>11.5</v>
      </c>
      <c r="N29" s="26">
        <f t="shared" si="4"/>
        <v>11.5</v>
      </c>
      <c r="O29" s="26">
        <f t="shared" si="5"/>
        <v>29</v>
      </c>
      <c r="P29" s="26">
        <f t="shared" si="6"/>
        <v>4.5</v>
      </c>
      <c r="Q29" s="26">
        <f t="shared" si="7"/>
        <v>8</v>
      </c>
      <c r="R29" s="26">
        <f t="shared" si="8"/>
        <v>5</v>
      </c>
      <c r="S29" s="26">
        <f t="shared" si="9"/>
        <v>14.5</v>
      </c>
      <c r="T29" s="26">
        <f t="shared" si="10"/>
        <v>9</v>
      </c>
      <c r="U29" s="26">
        <f t="shared" si="11"/>
        <v>15.5</v>
      </c>
      <c r="V29" s="26">
        <f t="shared" si="12"/>
        <v>11</v>
      </c>
    </row>
    <row r="30" spans="1:22" ht="15.75" x14ac:dyDescent="0.25">
      <c r="A30" s="5" t="str">
        <f>Student!A30</f>
        <v>A071</v>
      </c>
      <c r="B30" s="21" t="str">
        <f>Student!B30</f>
        <v>AKROFI DORCAS</v>
      </c>
      <c r="C30" s="20">
        <v>32</v>
      </c>
      <c r="D30" s="20">
        <v>32</v>
      </c>
      <c r="E30" s="20">
        <v>43</v>
      </c>
      <c r="F30" s="20">
        <v>15</v>
      </c>
      <c r="G30" s="20">
        <v>31</v>
      </c>
      <c r="H30" s="20">
        <v>18</v>
      </c>
      <c r="I30" s="20">
        <v>31</v>
      </c>
      <c r="J30" s="20">
        <v>25</v>
      </c>
      <c r="K30" s="20">
        <v>31</v>
      </c>
      <c r="L30" s="20">
        <v>21</v>
      </c>
      <c r="M30" s="26">
        <f t="shared" si="0"/>
        <v>16</v>
      </c>
      <c r="N30" s="26">
        <f t="shared" si="4"/>
        <v>16</v>
      </c>
      <c r="O30" s="26">
        <f t="shared" si="5"/>
        <v>21.5</v>
      </c>
      <c r="P30" s="26">
        <f t="shared" si="6"/>
        <v>7.5</v>
      </c>
      <c r="Q30" s="26">
        <f t="shared" si="7"/>
        <v>15.5</v>
      </c>
      <c r="R30" s="26">
        <f t="shared" si="8"/>
        <v>9</v>
      </c>
      <c r="S30" s="26">
        <f t="shared" si="9"/>
        <v>15.5</v>
      </c>
      <c r="T30" s="26">
        <f t="shared" si="10"/>
        <v>12.5</v>
      </c>
      <c r="U30" s="26">
        <f t="shared" si="11"/>
        <v>15.5</v>
      </c>
      <c r="V30" s="26">
        <f t="shared" si="12"/>
        <v>10.5</v>
      </c>
    </row>
    <row r="31" spans="1:22" ht="15.75" x14ac:dyDescent="0.25">
      <c r="A31" s="5">
        <f>Student!A31</f>
        <v>511</v>
      </c>
      <c r="B31" s="21" t="str">
        <f>Student!B31</f>
        <v xml:space="preserve">AMOAH SAFOA </v>
      </c>
      <c r="C31" s="20">
        <v>43</v>
      </c>
      <c r="D31" s="20">
        <v>43</v>
      </c>
      <c r="E31" s="20">
        <v>65</v>
      </c>
      <c r="F31" s="20">
        <v>27</v>
      </c>
      <c r="G31" s="20">
        <v>44</v>
      </c>
      <c r="H31" s="20">
        <v>31</v>
      </c>
      <c r="I31" s="20">
        <v>34</v>
      </c>
      <c r="J31" s="20">
        <v>28</v>
      </c>
      <c r="K31" s="20">
        <v>44</v>
      </c>
      <c r="L31" s="20">
        <v>39</v>
      </c>
      <c r="M31" s="26">
        <f t="shared" si="0"/>
        <v>21.5</v>
      </c>
      <c r="N31" s="26">
        <f t="shared" si="4"/>
        <v>21.5</v>
      </c>
      <c r="O31" s="26">
        <f t="shared" si="5"/>
        <v>32.5</v>
      </c>
      <c r="P31" s="26">
        <f t="shared" si="6"/>
        <v>13.5</v>
      </c>
      <c r="Q31" s="26">
        <f t="shared" si="7"/>
        <v>22</v>
      </c>
      <c r="R31" s="26">
        <f t="shared" si="8"/>
        <v>15.5</v>
      </c>
      <c r="S31" s="26">
        <f t="shared" si="9"/>
        <v>17</v>
      </c>
      <c r="T31" s="26">
        <f t="shared" si="10"/>
        <v>14</v>
      </c>
      <c r="U31" s="26">
        <f t="shared" si="11"/>
        <v>22</v>
      </c>
      <c r="V31" s="26">
        <f t="shared" si="12"/>
        <v>19.5</v>
      </c>
    </row>
    <row r="32" spans="1:22" ht="15.75" x14ac:dyDescent="0.25">
      <c r="A32" s="5">
        <f>Student!A32</f>
        <v>698</v>
      </c>
      <c r="B32" s="21" t="str">
        <f>Student!B32</f>
        <v>ANIM AMOAH NHYIRABA</v>
      </c>
      <c r="C32" s="20">
        <v>32</v>
      </c>
      <c r="D32" s="20">
        <v>32</v>
      </c>
      <c r="E32" s="20">
        <v>67</v>
      </c>
      <c r="F32" s="20">
        <v>22</v>
      </c>
      <c r="G32" s="20">
        <v>49</v>
      </c>
      <c r="H32" s="20">
        <v>25</v>
      </c>
      <c r="I32" s="20">
        <v>61</v>
      </c>
      <c r="J32" s="20">
        <v>30</v>
      </c>
      <c r="K32" s="20">
        <v>45</v>
      </c>
      <c r="L32" s="20">
        <v>38</v>
      </c>
      <c r="M32" s="26">
        <f t="shared" si="0"/>
        <v>16</v>
      </c>
      <c r="N32" s="26">
        <f t="shared" si="4"/>
        <v>16</v>
      </c>
      <c r="O32" s="26">
        <f t="shared" si="5"/>
        <v>33.5</v>
      </c>
      <c r="P32" s="26">
        <f t="shared" si="6"/>
        <v>11</v>
      </c>
      <c r="Q32" s="26">
        <f t="shared" si="7"/>
        <v>24.5</v>
      </c>
      <c r="R32" s="26">
        <f t="shared" si="8"/>
        <v>12.5</v>
      </c>
      <c r="S32" s="26">
        <f t="shared" si="9"/>
        <v>30.5</v>
      </c>
      <c r="T32" s="26">
        <f t="shared" si="10"/>
        <v>15</v>
      </c>
      <c r="U32" s="26">
        <f t="shared" si="11"/>
        <v>22.5</v>
      </c>
      <c r="V32" s="26">
        <f t="shared" si="12"/>
        <v>19</v>
      </c>
    </row>
    <row r="33" spans="1:22" ht="15.75" x14ac:dyDescent="0.25">
      <c r="A33" s="5">
        <f>Student!A33</f>
        <v>432</v>
      </c>
      <c r="B33" s="21" t="str">
        <f>Student!B33</f>
        <v xml:space="preserve">APPIAH GLADYS  </v>
      </c>
      <c r="C33" s="20">
        <v>42</v>
      </c>
      <c r="D33" s="20">
        <v>42</v>
      </c>
      <c r="E33" s="20">
        <v>82</v>
      </c>
      <c r="F33" s="20">
        <v>22</v>
      </c>
      <c r="G33" s="20">
        <v>61</v>
      </c>
      <c r="H33" s="20">
        <v>31</v>
      </c>
      <c r="I33" s="20">
        <v>49</v>
      </c>
      <c r="J33" s="20">
        <v>54</v>
      </c>
      <c r="K33" s="20">
        <v>54</v>
      </c>
      <c r="L33" s="20">
        <v>37</v>
      </c>
      <c r="M33" s="26">
        <f t="shared" si="0"/>
        <v>21</v>
      </c>
      <c r="N33" s="26">
        <f t="shared" si="4"/>
        <v>21</v>
      </c>
      <c r="O33" s="26">
        <f t="shared" si="5"/>
        <v>41</v>
      </c>
      <c r="P33" s="26">
        <f t="shared" si="6"/>
        <v>11</v>
      </c>
      <c r="Q33" s="26">
        <f t="shared" si="7"/>
        <v>30.5</v>
      </c>
      <c r="R33" s="26">
        <f t="shared" si="8"/>
        <v>15.5</v>
      </c>
      <c r="S33" s="26">
        <f t="shared" si="9"/>
        <v>24.5</v>
      </c>
      <c r="T33" s="26">
        <f t="shared" si="10"/>
        <v>27</v>
      </c>
      <c r="U33" s="26">
        <f t="shared" si="11"/>
        <v>27</v>
      </c>
      <c r="V33" s="26">
        <f t="shared" si="12"/>
        <v>18.5</v>
      </c>
    </row>
    <row r="34" spans="1:22" ht="15.75" x14ac:dyDescent="0.25">
      <c r="A34" s="5">
        <f>Student!A34</f>
        <v>320</v>
      </c>
      <c r="B34" s="21" t="str">
        <f>Student!B34</f>
        <v xml:space="preserve">ASAMOAH STELLA  </v>
      </c>
      <c r="C34" s="20">
        <v>30</v>
      </c>
      <c r="D34" s="20">
        <v>30</v>
      </c>
      <c r="E34" s="20">
        <v>44</v>
      </c>
      <c r="F34" s="20">
        <v>22</v>
      </c>
      <c r="G34" s="20">
        <v>34</v>
      </c>
      <c r="H34" s="20">
        <v>29</v>
      </c>
      <c r="I34" s="20">
        <v>41</v>
      </c>
      <c r="J34" s="20">
        <v>18</v>
      </c>
      <c r="K34" s="20">
        <v>44</v>
      </c>
      <c r="L34" s="20">
        <v>27</v>
      </c>
      <c r="M34" s="26">
        <f t="shared" si="0"/>
        <v>15</v>
      </c>
      <c r="N34" s="26">
        <f t="shared" si="4"/>
        <v>15</v>
      </c>
      <c r="O34" s="26">
        <f t="shared" si="5"/>
        <v>22</v>
      </c>
      <c r="P34" s="26">
        <f t="shared" si="6"/>
        <v>11</v>
      </c>
      <c r="Q34" s="26">
        <f t="shared" si="7"/>
        <v>17</v>
      </c>
      <c r="R34" s="26">
        <f t="shared" si="8"/>
        <v>14.5</v>
      </c>
      <c r="S34" s="26">
        <f t="shared" si="9"/>
        <v>20.5</v>
      </c>
      <c r="T34" s="26">
        <f t="shared" si="10"/>
        <v>9</v>
      </c>
      <c r="U34" s="26">
        <f t="shared" si="11"/>
        <v>22</v>
      </c>
      <c r="V34" s="26">
        <f t="shared" si="12"/>
        <v>13.5</v>
      </c>
    </row>
    <row r="35" spans="1:22" ht="15.75" x14ac:dyDescent="0.25">
      <c r="A35" s="5">
        <f>Student!A35</f>
        <v>2325</v>
      </c>
      <c r="B35" s="21" t="str">
        <f>Student!B35</f>
        <v xml:space="preserve">ASHANGBOR ABIGAIL  </v>
      </c>
      <c r="C35" s="20">
        <v>31</v>
      </c>
      <c r="D35" s="20">
        <v>31</v>
      </c>
      <c r="E35" s="20">
        <v>55</v>
      </c>
      <c r="F35" s="20">
        <v>9</v>
      </c>
      <c r="G35" s="20">
        <v>18</v>
      </c>
      <c r="H35" s="20">
        <v>24</v>
      </c>
      <c r="I35" s="20">
        <v>34</v>
      </c>
      <c r="J35" s="20">
        <v>14</v>
      </c>
      <c r="K35" s="20">
        <v>30</v>
      </c>
      <c r="L35" s="20">
        <v>21</v>
      </c>
      <c r="M35" s="26">
        <f t="shared" si="0"/>
        <v>15.5</v>
      </c>
      <c r="N35" s="26">
        <f t="shared" si="4"/>
        <v>15.5</v>
      </c>
      <c r="O35" s="26">
        <f t="shared" si="5"/>
        <v>27.5</v>
      </c>
      <c r="P35" s="26">
        <f t="shared" si="6"/>
        <v>4.5</v>
      </c>
      <c r="Q35" s="26">
        <f t="shared" si="7"/>
        <v>9</v>
      </c>
      <c r="R35" s="26">
        <f t="shared" si="8"/>
        <v>12</v>
      </c>
      <c r="S35" s="26">
        <f t="shared" si="9"/>
        <v>17</v>
      </c>
      <c r="T35" s="26">
        <f t="shared" si="10"/>
        <v>7</v>
      </c>
      <c r="U35" s="26">
        <f t="shared" si="11"/>
        <v>15</v>
      </c>
      <c r="V35" s="26">
        <f t="shared" si="12"/>
        <v>10.5</v>
      </c>
    </row>
    <row r="36" spans="1:22" ht="15.75" x14ac:dyDescent="0.25">
      <c r="A36" s="5">
        <f>Student!A36</f>
        <v>272</v>
      </c>
      <c r="B36" s="21" t="str">
        <f>Student!B36</f>
        <v xml:space="preserve">ASIGBEY JOYCE  </v>
      </c>
      <c r="C36" s="20">
        <v>30</v>
      </c>
      <c r="D36" s="20">
        <v>30</v>
      </c>
      <c r="E36" s="20">
        <v>60</v>
      </c>
      <c r="F36" s="20">
        <v>14</v>
      </c>
      <c r="G36" s="20">
        <v>14</v>
      </c>
      <c r="H36" s="20">
        <v>20</v>
      </c>
      <c r="I36" s="20">
        <v>38</v>
      </c>
      <c r="J36" s="20">
        <v>20</v>
      </c>
      <c r="K36" s="20">
        <v>27</v>
      </c>
      <c r="L36" s="20">
        <v>34</v>
      </c>
      <c r="M36" s="26">
        <f t="shared" si="0"/>
        <v>15</v>
      </c>
      <c r="N36" s="26">
        <f t="shared" si="4"/>
        <v>15</v>
      </c>
      <c r="O36" s="26">
        <f t="shared" si="5"/>
        <v>30</v>
      </c>
      <c r="P36" s="26">
        <f t="shared" si="6"/>
        <v>7</v>
      </c>
      <c r="Q36" s="26">
        <f t="shared" si="7"/>
        <v>7</v>
      </c>
      <c r="R36" s="26">
        <f t="shared" si="8"/>
        <v>10</v>
      </c>
      <c r="S36" s="26">
        <f t="shared" si="9"/>
        <v>19</v>
      </c>
      <c r="T36" s="26">
        <f t="shared" si="10"/>
        <v>10</v>
      </c>
      <c r="U36" s="26">
        <f t="shared" si="11"/>
        <v>13.5</v>
      </c>
      <c r="V36" s="26">
        <f t="shared" si="12"/>
        <v>17</v>
      </c>
    </row>
    <row r="37" spans="1:22" ht="15.75" x14ac:dyDescent="0.25">
      <c r="A37" s="5">
        <f>Student!A37</f>
        <v>643</v>
      </c>
      <c r="B37" s="21" t="str">
        <f>Student!B37</f>
        <v xml:space="preserve">ATTIPOE EUNICE </v>
      </c>
      <c r="C37" s="20">
        <v>54</v>
      </c>
      <c r="D37" s="20">
        <v>54</v>
      </c>
      <c r="E37" s="20">
        <v>73</v>
      </c>
      <c r="F37" s="20">
        <v>54</v>
      </c>
      <c r="G37" s="20">
        <v>55</v>
      </c>
      <c r="H37" s="20">
        <v>16</v>
      </c>
      <c r="I37" s="20">
        <v>62</v>
      </c>
      <c r="J37" s="20">
        <v>59</v>
      </c>
      <c r="K37" s="20">
        <v>57</v>
      </c>
      <c r="L37" s="20">
        <v>50</v>
      </c>
      <c r="M37" s="26">
        <f t="shared" si="0"/>
        <v>27</v>
      </c>
      <c r="N37" s="26">
        <f t="shared" si="4"/>
        <v>27</v>
      </c>
      <c r="O37" s="26">
        <f t="shared" si="5"/>
        <v>36.5</v>
      </c>
      <c r="P37" s="26">
        <f t="shared" si="6"/>
        <v>27</v>
      </c>
      <c r="Q37" s="26">
        <f t="shared" si="7"/>
        <v>27.5</v>
      </c>
      <c r="R37" s="26">
        <f t="shared" si="8"/>
        <v>8</v>
      </c>
      <c r="S37" s="26">
        <f t="shared" si="9"/>
        <v>31</v>
      </c>
      <c r="T37" s="26">
        <f t="shared" si="10"/>
        <v>29.5</v>
      </c>
      <c r="U37" s="26">
        <f t="shared" si="11"/>
        <v>28.5</v>
      </c>
      <c r="V37" s="26">
        <f t="shared" si="12"/>
        <v>25</v>
      </c>
    </row>
    <row r="38" spans="1:22" ht="15.75" x14ac:dyDescent="0.25">
      <c r="A38" s="5">
        <f>Student!A38</f>
        <v>4062</v>
      </c>
      <c r="B38" s="21" t="str">
        <f>Student!B38</f>
        <v xml:space="preserve">BAAH COMFORT  </v>
      </c>
      <c r="C38" s="20">
        <v>17</v>
      </c>
      <c r="D38" s="20">
        <v>17</v>
      </c>
      <c r="E38" s="20">
        <v>36</v>
      </c>
      <c r="F38" s="20">
        <v>15</v>
      </c>
      <c r="G38" s="20">
        <v>11</v>
      </c>
      <c r="H38" s="20">
        <v>11</v>
      </c>
      <c r="I38" s="20">
        <v>62</v>
      </c>
      <c r="J38" s="20">
        <v>15</v>
      </c>
      <c r="K38" s="20">
        <v>18</v>
      </c>
      <c r="L38" s="20">
        <v>16</v>
      </c>
      <c r="M38" s="26">
        <f t="shared" si="0"/>
        <v>8.5</v>
      </c>
      <c r="N38" s="26">
        <f t="shared" si="4"/>
        <v>8.5</v>
      </c>
      <c r="O38" s="26">
        <f t="shared" si="5"/>
        <v>18</v>
      </c>
      <c r="P38" s="26">
        <f t="shared" si="6"/>
        <v>7.5</v>
      </c>
      <c r="Q38" s="26">
        <f t="shared" si="7"/>
        <v>5.5</v>
      </c>
      <c r="R38" s="26">
        <f t="shared" si="8"/>
        <v>5.5</v>
      </c>
      <c r="S38" s="26">
        <f t="shared" si="9"/>
        <v>31</v>
      </c>
      <c r="T38" s="26">
        <f t="shared" si="10"/>
        <v>7.5</v>
      </c>
      <c r="U38" s="26">
        <f t="shared" si="11"/>
        <v>9</v>
      </c>
      <c r="V38" s="26">
        <f t="shared" si="12"/>
        <v>8</v>
      </c>
    </row>
    <row r="39" spans="1:22" ht="15.75" x14ac:dyDescent="0.25">
      <c r="A39" s="5">
        <f>Student!A39</f>
        <v>670</v>
      </c>
      <c r="B39" s="21" t="str">
        <f>Student!B39</f>
        <v xml:space="preserve">BOATENG AGNES  </v>
      </c>
      <c r="C39" s="20">
        <v>27</v>
      </c>
      <c r="D39" s="20">
        <v>27</v>
      </c>
      <c r="E39" s="20">
        <v>76</v>
      </c>
      <c r="F39" s="20">
        <v>23</v>
      </c>
      <c r="G39" s="20">
        <v>45</v>
      </c>
      <c r="H39" s="20">
        <v>19</v>
      </c>
      <c r="I39" s="20">
        <v>27</v>
      </c>
      <c r="J39" s="20">
        <v>29</v>
      </c>
      <c r="K39" s="20">
        <v>39</v>
      </c>
      <c r="L39" s="20">
        <v>35</v>
      </c>
      <c r="M39" s="26">
        <f t="shared" si="0"/>
        <v>13.5</v>
      </c>
      <c r="N39" s="26">
        <f t="shared" si="4"/>
        <v>13.5</v>
      </c>
      <c r="O39" s="26">
        <f t="shared" si="5"/>
        <v>38</v>
      </c>
      <c r="P39" s="26">
        <f t="shared" si="6"/>
        <v>11.5</v>
      </c>
      <c r="Q39" s="26">
        <f t="shared" si="7"/>
        <v>22.5</v>
      </c>
      <c r="R39" s="26">
        <f t="shared" si="8"/>
        <v>9.5</v>
      </c>
      <c r="S39" s="26">
        <f t="shared" si="9"/>
        <v>13.5</v>
      </c>
      <c r="T39" s="26">
        <f t="shared" si="10"/>
        <v>14.5</v>
      </c>
      <c r="U39" s="26">
        <f t="shared" si="11"/>
        <v>19.5</v>
      </c>
      <c r="V39" s="26">
        <f t="shared" si="12"/>
        <v>17.5</v>
      </c>
    </row>
    <row r="40" spans="1:22" ht="15.75" x14ac:dyDescent="0.25">
      <c r="A40" s="5">
        <f>Student!A40</f>
        <v>269</v>
      </c>
      <c r="B40" s="21" t="str">
        <f>Student!B40</f>
        <v xml:space="preserve">BONNEY CHARITY  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6">
        <f t="shared" si="0"/>
        <v>0</v>
      </c>
      <c r="N40" s="26">
        <f t="shared" si="4"/>
        <v>0</v>
      </c>
      <c r="O40" s="26">
        <f t="shared" si="5"/>
        <v>0</v>
      </c>
      <c r="P40" s="26">
        <f t="shared" si="6"/>
        <v>0</v>
      </c>
      <c r="Q40" s="26">
        <f t="shared" si="7"/>
        <v>0</v>
      </c>
      <c r="R40" s="26">
        <f t="shared" si="8"/>
        <v>0</v>
      </c>
      <c r="S40" s="26">
        <f t="shared" si="9"/>
        <v>0</v>
      </c>
      <c r="T40" s="26">
        <f t="shared" si="10"/>
        <v>0</v>
      </c>
      <c r="U40" s="26">
        <f t="shared" si="11"/>
        <v>0</v>
      </c>
      <c r="V40" s="26">
        <f t="shared" si="12"/>
        <v>0</v>
      </c>
    </row>
    <row r="41" spans="1:22" ht="15.75" x14ac:dyDescent="0.25">
      <c r="A41" s="5">
        <f>Student!A41</f>
        <v>514</v>
      </c>
      <c r="B41" s="21" t="str">
        <f>Student!B41</f>
        <v xml:space="preserve">DIXON HARRIET  </v>
      </c>
      <c r="C41" s="20">
        <v>53</v>
      </c>
      <c r="D41" s="20">
        <v>53</v>
      </c>
      <c r="E41" s="20">
        <v>85</v>
      </c>
      <c r="F41" s="20">
        <v>29</v>
      </c>
      <c r="G41" s="20">
        <v>65</v>
      </c>
      <c r="H41" s="20">
        <v>43</v>
      </c>
      <c r="I41" s="20">
        <v>49</v>
      </c>
      <c r="J41" s="20">
        <v>54</v>
      </c>
      <c r="K41" s="20">
        <v>40</v>
      </c>
      <c r="L41" s="20">
        <v>36</v>
      </c>
      <c r="M41" s="26">
        <f t="shared" si="0"/>
        <v>26.5</v>
      </c>
      <c r="N41" s="26">
        <f t="shared" si="4"/>
        <v>26.5</v>
      </c>
      <c r="O41" s="26">
        <f t="shared" si="5"/>
        <v>42.5</v>
      </c>
      <c r="P41" s="26">
        <f t="shared" si="6"/>
        <v>14.5</v>
      </c>
      <c r="Q41" s="26">
        <f t="shared" si="7"/>
        <v>32.5</v>
      </c>
      <c r="R41" s="26">
        <f t="shared" si="8"/>
        <v>21.5</v>
      </c>
      <c r="S41" s="26">
        <f t="shared" si="9"/>
        <v>24.5</v>
      </c>
      <c r="T41" s="26">
        <f t="shared" si="10"/>
        <v>27</v>
      </c>
      <c r="U41" s="26">
        <f t="shared" si="11"/>
        <v>20</v>
      </c>
      <c r="V41" s="26">
        <f t="shared" si="12"/>
        <v>18</v>
      </c>
    </row>
    <row r="42" spans="1:22" ht="15.75" x14ac:dyDescent="0.25">
      <c r="A42" s="5">
        <f>Student!A42</f>
        <v>270</v>
      </c>
      <c r="B42" s="21" t="str">
        <f>Student!B42</f>
        <v xml:space="preserve">DJABA BELINDA  </v>
      </c>
      <c r="C42" s="20">
        <v>27</v>
      </c>
      <c r="D42" s="20">
        <v>20</v>
      </c>
      <c r="E42" s="20">
        <v>40</v>
      </c>
      <c r="F42" s="20">
        <v>13</v>
      </c>
      <c r="G42" s="20">
        <v>32</v>
      </c>
      <c r="H42" s="20">
        <v>20</v>
      </c>
      <c r="I42" s="20">
        <v>38</v>
      </c>
      <c r="J42" s="20">
        <v>21</v>
      </c>
      <c r="K42" s="20">
        <v>33</v>
      </c>
      <c r="L42" s="20">
        <v>34</v>
      </c>
      <c r="M42" s="26">
        <f t="shared" si="0"/>
        <v>13.5</v>
      </c>
      <c r="N42" s="26">
        <f t="shared" si="4"/>
        <v>10</v>
      </c>
      <c r="O42" s="26">
        <f t="shared" si="5"/>
        <v>20</v>
      </c>
      <c r="P42" s="26">
        <f t="shared" si="6"/>
        <v>6.5</v>
      </c>
      <c r="Q42" s="26">
        <f t="shared" si="7"/>
        <v>16</v>
      </c>
      <c r="R42" s="26">
        <f t="shared" si="8"/>
        <v>10</v>
      </c>
      <c r="S42" s="26">
        <f t="shared" si="9"/>
        <v>19</v>
      </c>
      <c r="T42" s="26">
        <f t="shared" si="10"/>
        <v>10.5</v>
      </c>
      <c r="U42" s="26">
        <f t="shared" si="11"/>
        <v>16.5</v>
      </c>
      <c r="V42" s="26">
        <f t="shared" si="12"/>
        <v>17</v>
      </c>
    </row>
    <row r="43" spans="1:22" ht="15.75" x14ac:dyDescent="0.25">
      <c r="A43" s="5">
        <f>Student!A43</f>
        <v>318</v>
      </c>
      <c r="B43" s="21" t="str">
        <f>Student!B43</f>
        <v xml:space="preserve">ESSEL EMMANUELLA  </v>
      </c>
      <c r="C43" s="20">
        <v>39</v>
      </c>
      <c r="D43" s="20">
        <v>39</v>
      </c>
      <c r="E43" s="20">
        <v>57</v>
      </c>
      <c r="F43" s="20">
        <v>23</v>
      </c>
      <c r="G43" s="20">
        <v>32</v>
      </c>
      <c r="H43" s="20">
        <v>36</v>
      </c>
      <c r="I43" s="20">
        <v>44</v>
      </c>
      <c r="J43" s="20">
        <v>28</v>
      </c>
      <c r="K43" s="20">
        <v>40</v>
      </c>
      <c r="L43" s="20">
        <v>30</v>
      </c>
      <c r="M43" s="26">
        <f t="shared" si="0"/>
        <v>19.5</v>
      </c>
      <c r="N43" s="26">
        <f t="shared" si="4"/>
        <v>19.5</v>
      </c>
      <c r="O43" s="26">
        <f t="shared" si="5"/>
        <v>28.5</v>
      </c>
      <c r="P43" s="26">
        <f t="shared" si="6"/>
        <v>11.5</v>
      </c>
      <c r="Q43" s="26">
        <f t="shared" si="7"/>
        <v>16</v>
      </c>
      <c r="R43" s="26">
        <f t="shared" si="8"/>
        <v>18</v>
      </c>
      <c r="S43" s="26">
        <f t="shared" si="9"/>
        <v>22</v>
      </c>
      <c r="T43" s="26">
        <f t="shared" si="10"/>
        <v>14</v>
      </c>
      <c r="U43" s="26">
        <f t="shared" si="11"/>
        <v>20</v>
      </c>
      <c r="V43" s="26">
        <f t="shared" si="12"/>
        <v>15</v>
      </c>
    </row>
    <row r="44" spans="1:22" ht="15.75" x14ac:dyDescent="0.25">
      <c r="A44" s="5">
        <f>Student!A44</f>
        <v>4063</v>
      </c>
      <c r="B44" s="21" t="str">
        <f>Student!B44</f>
        <v xml:space="preserve">GAMAH ANGELA  </v>
      </c>
      <c r="C44" s="20">
        <v>60</v>
      </c>
      <c r="D44" s="20">
        <v>60</v>
      </c>
      <c r="E44" s="20">
        <v>85</v>
      </c>
      <c r="F44" s="20">
        <v>22</v>
      </c>
      <c r="G44" s="20">
        <v>81</v>
      </c>
      <c r="H44" s="20">
        <v>42</v>
      </c>
      <c r="I44" s="20">
        <v>62</v>
      </c>
      <c r="J44" s="20">
        <v>55</v>
      </c>
      <c r="K44" s="20">
        <v>71</v>
      </c>
      <c r="L44" s="20">
        <v>62</v>
      </c>
      <c r="M44" s="26">
        <f t="shared" si="0"/>
        <v>30</v>
      </c>
      <c r="N44" s="26">
        <f t="shared" si="4"/>
        <v>30</v>
      </c>
      <c r="O44" s="26">
        <f t="shared" si="5"/>
        <v>42.5</v>
      </c>
      <c r="P44" s="26">
        <f t="shared" si="6"/>
        <v>11</v>
      </c>
      <c r="Q44" s="26">
        <f t="shared" si="7"/>
        <v>40.5</v>
      </c>
      <c r="R44" s="26">
        <f t="shared" si="8"/>
        <v>21</v>
      </c>
      <c r="S44" s="26">
        <f t="shared" si="9"/>
        <v>31</v>
      </c>
      <c r="T44" s="26">
        <f t="shared" si="10"/>
        <v>27.5</v>
      </c>
      <c r="U44" s="26">
        <f t="shared" si="11"/>
        <v>35.5</v>
      </c>
      <c r="V44" s="26">
        <f t="shared" si="12"/>
        <v>31</v>
      </c>
    </row>
    <row r="45" spans="1:22" ht="15.75" x14ac:dyDescent="0.25">
      <c r="A45" s="5">
        <f>Student!A45</f>
        <v>160</v>
      </c>
      <c r="B45" s="21" t="str">
        <f>Student!B45</f>
        <v xml:space="preserve">GAMOR ESTHER  </v>
      </c>
      <c r="C45" s="20">
        <v>42</v>
      </c>
      <c r="D45" s="20">
        <v>42</v>
      </c>
      <c r="E45" s="20">
        <v>71</v>
      </c>
      <c r="F45" s="20">
        <v>11</v>
      </c>
      <c r="G45" s="20">
        <v>25</v>
      </c>
      <c r="H45" s="20">
        <v>20</v>
      </c>
      <c r="I45" s="20">
        <v>37</v>
      </c>
      <c r="J45" s="20">
        <v>43</v>
      </c>
      <c r="K45" s="20">
        <v>44</v>
      </c>
      <c r="L45" s="20">
        <v>39</v>
      </c>
      <c r="M45" s="26">
        <f t="shared" si="0"/>
        <v>21</v>
      </c>
      <c r="N45" s="26">
        <f t="shared" si="4"/>
        <v>21</v>
      </c>
      <c r="O45" s="26">
        <f t="shared" si="5"/>
        <v>35.5</v>
      </c>
      <c r="P45" s="26">
        <f t="shared" si="6"/>
        <v>5.5</v>
      </c>
      <c r="Q45" s="26">
        <f t="shared" si="7"/>
        <v>12.5</v>
      </c>
      <c r="R45" s="26">
        <f t="shared" si="8"/>
        <v>10</v>
      </c>
      <c r="S45" s="26">
        <f t="shared" si="9"/>
        <v>18.5</v>
      </c>
      <c r="T45" s="26">
        <f t="shared" si="10"/>
        <v>21.5</v>
      </c>
      <c r="U45" s="26">
        <f t="shared" si="11"/>
        <v>22</v>
      </c>
      <c r="V45" s="26">
        <f t="shared" si="12"/>
        <v>19.5</v>
      </c>
    </row>
    <row r="46" spans="1:22" ht="15.75" x14ac:dyDescent="0.25">
      <c r="A46" s="5">
        <f>Student!A46</f>
        <v>7315</v>
      </c>
      <c r="B46" s="21" t="str">
        <f>Student!B46</f>
        <v xml:space="preserve">GYEMENA SERWAH  </v>
      </c>
      <c r="C46" s="20">
        <v>29</v>
      </c>
      <c r="D46" s="20">
        <v>29</v>
      </c>
      <c r="E46" s="20">
        <v>61</v>
      </c>
      <c r="F46" s="20">
        <v>14</v>
      </c>
      <c r="G46" s="20">
        <v>35</v>
      </c>
      <c r="H46" s="20">
        <v>17</v>
      </c>
      <c r="I46" s="20">
        <v>35</v>
      </c>
      <c r="J46" s="20">
        <v>33</v>
      </c>
      <c r="K46" s="20">
        <v>38</v>
      </c>
      <c r="L46" s="20">
        <v>23</v>
      </c>
      <c r="M46" s="26">
        <f t="shared" si="0"/>
        <v>14.5</v>
      </c>
      <c r="N46" s="26">
        <f t="shared" si="4"/>
        <v>14.5</v>
      </c>
      <c r="O46" s="26">
        <f t="shared" si="5"/>
        <v>30.5</v>
      </c>
      <c r="P46" s="26">
        <f t="shared" si="6"/>
        <v>7</v>
      </c>
      <c r="Q46" s="26">
        <f t="shared" si="7"/>
        <v>17.5</v>
      </c>
      <c r="R46" s="26">
        <f t="shared" si="8"/>
        <v>8.5</v>
      </c>
      <c r="S46" s="26">
        <f t="shared" si="9"/>
        <v>17.5</v>
      </c>
      <c r="T46" s="26">
        <f t="shared" si="10"/>
        <v>16.5</v>
      </c>
      <c r="U46" s="26">
        <f t="shared" si="11"/>
        <v>19</v>
      </c>
      <c r="V46" s="26">
        <f t="shared" si="12"/>
        <v>11.5</v>
      </c>
    </row>
    <row r="47" spans="1:22" ht="15.75" x14ac:dyDescent="0.25">
      <c r="A47" s="5">
        <f>Student!A47</f>
        <v>385</v>
      </c>
      <c r="B47" s="21" t="str">
        <f>Student!B47</f>
        <v xml:space="preserve">HABLEAME SHILLA  </v>
      </c>
      <c r="C47" s="20">
        <v>30</v>
      </c>
      <c r="D47" s="20">
        <v>30</v>
      </c>
      <c r="E47" s="20">
        <v>16</v>
      </c>
      <c r="F47" s="20">
        <v>18</v>
      </c>
      <c r="G47" s="20">
        <v>50</v>
      </c>
      <c r="H47" s="20">
        <v>20</v>
      </c>
      <c r="I47" s="20">
        <v>54</v>
      </c>
      <c r="J47" s="20">
        <v>42</v>
      </c>
      <c r="K47" s="20">
        <v>52</v>
      </c>
      <c r="L47" s="20">
        <v>30</v>
      </c>
      <c r="M47" s="26">
        <f t="shared" si="0"/>
        <v>15</v>
      </c>
      <c r="N47" s="26">
        <f t="shared" si="4"/>
        <v>15</v>
      </c>
      <c r="O47" s="26">
        <f t="shared" si="5"/>
        <v>8</v>
      </c>
      <c r="P47" s="26">
        <f t="shared" si="6"/>
        <v>9</v>
      </c>
      <c r="Q47" s="26">
        <f t="shared" si="7"/>
        <v>25</v>
      </c>
      <c r="R47" s="26">
        <f t="shared" si="8"/>
        <v>10</v>
      </c>
      <c r="S47" s="26">
        <f t="shared" si="9"/>
        <v>27</v>
      </c>
      <c r="T47" s="26">
        <f t="shared" si="10"/>
        <v>21</v>
      </c>
      <c r="U47" s="26">
        <f t="shared" si="11"/>
        <v>26</v>
      </c>
      <c r="V47" s="26">
        <f t="shared" si="12"/>
        <v>15</v>
      </c>
    </row>
    <row r="48" spans="1:22" ht="15.75" x14ac:dyDescent="0.25">
      <c r="A48" s="5" t="str">
        <f>Student!A48</f>
        <v>A244</v>
      </c>
      <c r="B48" s="21" t="str">
        <f>Student!B48</f>
        <v xml:space="preserve">MENSAH FLORENCE  </v>
      </c>
      <c r="C48" s="20">
        <v>31</v>
      </c>
      <c r="D48" s="20">
        <v>13</v>
      </c>
      <c r="E48" s="20">
        <v>78</v>
      </c>
      <c r="F48" s="20">
        <v>16</v>
      </c>
      <c r="G48" s="20">
        <v>36</v>
      </c>
      <c r="H48" s="20">
        <v>31</v>
      </c>
      <c r="I48" s="20">
        <v>38</v>
      </c>
      <c r="J48" s="20">
        <v>22</v>
      </c>
      <c r="K48" s="20">
        <v>40</v>
      </c>
      <c r="L48" s="20">
        <v>37</v>
      </c>
      <c r="M48" s="26">
        <f t="shared" si="0"/>
        <v>15.5</v>
      </c>
      <c r="N48" s="26">
        <f t="shared" si="4"/>
        <v>6.5</v>
      </c>
      <c r="O48" s="26">
        <f t="shared" si="5"/>
        <v>39</v>
      </c>
      <c r="P48" s="26">
        <f t="shared" si="6"/>
        <v>8</v>
      </c>
      <c r="Q48" s="26">
        <f t="shared" si="7"/>
        <v>18</v>
      </c>
      <c r="R48" s="26">
        <f t="shared" si="8"/>
        <v>15.5</v>
      </c>
      <c r="S48" s="26">
        <f t="shared" si="9"/>
        <v>19</v>
      </c>
      <c r="T48" s="26">
        <f t="shared" si="10"/>
        <v>11</v>
      </c>
      <c r="U48" s="26">
        <f t="shared" si="11"/>
        <v>20</v>
      </c>
      <c r="V48" s="26">
        <f t="shared" si="12"/>
        <v>18.5</v>
      </c>
    </row>
    <row r="49" spans="1:22" ht="15.75" x14ac:dyDescent="0.25">
      <c r="A49" s="5">
        <f>Student!A49</f>
        <v>508</v>
      </c>
      <c r="B49" s="21" t="str">
        <f>Student!B49</f>
        <v xml:space="preserve">MENSAH VANESSA  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6">
        <f t="shared" si="0"/>
        <v>0</v>
      </c>
      <c r="N49" s="26">
        <f t="shared" si="4"/>
        <v>0</v>
      </c>
      <c r="O49" s="26">
        <f t="shared" si="5"/>
        <v>0</v>
      </c>
      <c r="P49" s="26">
        <f t="shared" si="6"/>
        <v>0</v>
      </c>
      <c r="Q49" s="26">
        <f t="shared" si="7"/>
        <v>0</v>
      </c>
      <c r="R49" s="26">
        <f t="shared" si="8"/>
        <v>0</v>
      </c>
      <c r="S49" s="26">
        <f t="shared" si="9"/>
        <v>0</v>
      </c>
      <c r="T49" s="26">
        <f t="shared" si="10"/>
        <v>0</v>
      </c>
      <c r="U49" s="26">
        <f t="shared" si="11"/>
        <v>0</v>
      </c>
      <c r="V49" s="26">
        <f t="shared" si="12"/>
        <v>0</v>
      </c>
    </row>
    <row r="50" spans="1:22" ht="15.75" x14ac:dyDescent="0.25">
      <c r="A50" s="5">
        <f>Student!A50</f>
        <v>433</v>
      </c>
      <c r="B50" s="21" t="str">
        <f>Student!B50</f>
        <v xml:space="preserve">NKETIA POKUAA CECELIA  </v>
      </c>
      <c r="C50" s="20">
        <v>31</v>
      </c>
      <c r="D50" s="20">
        <v>31</v>
      </c>
      <c r="E50" s="20">
        <v>82</v>
      </c>
      <c r="F50" s="20">
        <v>18</v>
      </c>
      <c r="G50" s="20">
        <v>33</v>
      </c>
      <c r="H50" s="20">
        <v>27</v>
      </c>
      <c r="I50" s="20">
        <v>29</v>
      </c>
      <c r="J50" s="20">
        <v>41</v>
      </c>
      <c r="K50" s="20">
        <v>47</v>
      </c>
      <c r="L50" s="20">
        <v>40</v>
      </c>
      <c r="M50" s="26">
        <f t="shared" si="0"/>
        <v>15.5</v>
      </c>
      <c r="N50" s="26">
        <f t="shared" si="4"/>
        <v>15.5</v>
      </c>
      <c r="O50" s="26">
        <f t="shared" si="5"/>
        <v>41</v>
      </c>
      <c r="P50" s="26">
        <f t="shared" si="6"/>
        <v>9</v>
      </c>
      <c r="Q50" s="26">
        <f t="shared" si="7"/>
        <v>16.5</v>
      </c>
      <c r="R50" s="26">
        <f t="shared" si="8"/>
        <v>13.5</v>
      </c>
      <c r="S50" s="26">
        <f t="shared" si="9"/>
        <v>14.5</v>
      </c>
      <c r="T50" s="26">
        <f t="shared" si="10"/>
        <v>20.5</v>
      </c>
      <c r="U50" s="26">
        <f t="shared" si="11"/>
        <v>23.5</v>
      </c>
      <c r="V50" s="26">
        <f t="shared" si="12"/>
        <v>20</v>
      </c>
    </row>
    <row r="51" spans="1:22" ht="15.75" x14ac:dyDescent="0.25">
      <c r="A51" s="5">
        <f>Student!A51</f>
        <v>593</v>
      </c>
      <c r="B51" s="21" t="str">
        <f>Student!B51</f>
        <v xml:space="preserve">ODOI MARGARET  </v>
      </c>
      <c r="C51" s="20">
        <v>21</v>
      </c>
      <c r="D51" s="20">
        <v>21</v>
      </c>
      <c r="E51" s="43">
        <v>50</v>
      </c>
      <c r="F51" s="20">
        <v>13</v>
      </c>
      <c r="G51" s="20">
        <v>33</v>
      </c>
      <c r="H51" s="20">
        <v>11</v>
      </c>
      <c r="I51" s="20">
        <v>51</v>
      </c>
      <c r="J51" s="20">
        <v>25</v>
      </c>
      <c r="K51" s="20">
        <v>20</v>
      </c>
      <c r="L51" s="20">
        <v>20</v>
      </c>
      <c r="M51" s="26">
        <f t="shared" si="0"/>
        <v>10.5</v>
      </c>
      <c r="N51" s="26">
        <f t="shared" si="4"/>
        <v>10.5</v>
      </c>
      <c r="O51" s="26">
        <f t="shared" si="4"/>
        <v>25</v>
      </c>
      <c r="P51" s="26">
        <f t="shared" si="6"/>
        <v>6.5</v>
      </c>
      <c r="Q51" s="26">
        <f t="shared" si="7"/>
        <v>16.5</v>
      </c>
      <c r="R51" s="26">
        <f t="shared" si="8"/>
        <v>5.5</v>
      </c>
      <c r="S51" s="26">
        <f t="shared" si="9"/>
        <v>25.5</v>
      </c>
      <c r="T51" s="26">
        <f t="shared" si="10"/>
        <v>12.5</v>
      </c>
      <c r="U51" s="26">
        <f t="shared" si="11"/>
        <v>10</v>
      </c>
      <c r="V51" s="26">
        <f t="shared" si="12"/>
        <v>10</v>
      </c>
    </row>
    <row r="52" spans="1:22" ht="15.75" x14ac:dyDescent="0.25">
      <c r="A52" s="5">
        <f>Student!A52</f>
        <v>388</v>
      </c>
      <c r="B52" s="21" t="str">
        <f>Student!B52</f>
        <v xml:space="preserve">OKYERE PRISCILLA  </v>
      </c>
      <c r="C52" s="20">
        <v>60</v>
      </c>
      <c r="D52" s="20">
        <v>60</v>
      </c>
      <c r="E52" s="20">
        <v>88</v>
      </c>
      <c r="F52" s="20">
        <v>23</v>
      </c>
      <c r="G52" s="20">
        <v>55</v>
      </c>
      <c r="H52" s="20">
        <v>41</v>
      </c>
      <c r="I52" s="20">
        <v>51</v>
      </c>
      <c r="J52" s="20">
        <v>67</v>
      </c>
      <c r="K52" s="20">
        <v>50</v>
      </c>
      <c r="L52" s="20">
        <v>47</v>
      </c>
      <c r="M52" s="26">
        <f t="shared" si="0"/>
        <v>30</v>
      </c>
      <c r="N52" s="26">
        <f t="shared" si="4"/>
        <v>30</v>
      </c>
      <c r="O52" s="26">
        <f t="shared" si="5"/>
        <v>44</v>
      </c>
      <c r="P52" s="26">
        <f t="shared" si="6"/>
        <v>11.5</v>
      </c>
      <c r="Q52" s="26">
        <f t="shared" si="7"/>
        <v>27.5</v>
      </c>
      <c r="R52" s="26">
        <f t="shared" si="8"/>
        <v>20.5</v>
      </c>
      <c r="S52" s="26">
        <f t="shared" si="9"/>
        <v>25.5</v>
      </c>
      <c r="T52" s="26">
        <f t="shared" si="10"/>
        <v>33.5</v>
      </c>
      <c r="U52" s="26">
        <f t="shared" si="11"/>
        <v>25</v>
      </c>
      <c r="V52" s="26">
        <f t="shared" si="12"/>
        <v>23.5</v>
      </c>
    </row>
    <row r="53" spans="1:22" ht="15.75" x14ac:dyDescent="0.25">
      <c r="A53" s="5">
        <f>Student!A53</f>
        <v>437</v>
      </c>
      <c r="B53" s="21" t="str">
        <f>Student!B53</f>
        <v xml:space="preserve">SALIFU ZULAIHA  </v>
      </c>
      <c r="C53" s="20">
        <v>28</v>
      </c>
      <c r="D53" s="20">
        <v>28</v>
      </c>
      <c r="E53" s="20">
        <v>43</v>
      </c>
      <c r="F53" s="20">
        <v>19</v>
      </c>
      <c r="G53" s="20">
        <v>32</v>
      </c>
      <c r="H53" s="20">
        <v>16</v>
      </c>
      <c r="I53" s="20">
        <v>24</v>
      </c>
      <c r="J53" s="20">
        <v>18</v>
      </c>
      <c r="K53" s="20">
        <v>12</v>
      </c>
      <c r="L53" s="20">
        <v>27</v>
      </c>
      <c r="M53" s="26">
        <f t="shared" si="0"/>
        <v>14</v>
      </c>
      <c r="N53" s="26">
        <f t="shared" si="4"/>
        <v>14</v>
      </c>
      <c r="O53" s="26">
        <f t="shared" si="5"/>
        <v>21.5</v>
      </c>
      <c r="P53" s="26">
        <f t="shared" si="6"/>
        <v>9.5</v>
      </c>
      <c r="Q53" s="26">
        <f t="shared" si="7"/>
        <v>16</v>
      </c>
      <c r="R53" s="26">
        <f t="shared" si="8"/>
        <v>8</v>
      </c>
      <c r="S53" s="26">
        <f t="shared" si="9"/>
        <v>12</v>
      </c>
      <c r="T53" s="26">
        <f t="shared" si="10"/>
        <v>9</v>
      </c>
      <c r="U53" s="26">
        <f t="shared" si="11"/>
        <v>6</v>
      </c>
      <c r="V53" s="26">
        <f t="shared" si="12"/>
        <v>13.5</v>
      </c>
    </row>
    <row r="54" spans="1:22" ht="15.75" x14ac:dyDescent="0.25">
      <c r="A54" s="5">
        <f>Student!A54</f>
        <v>709</v>
      </c>
      <c r="B54" s="21" t="str">
        <f>Student!B54</f>
        <v>SEFA AMA OWUSUWAA</v>
      </c>
      <c r="C54" s="20">
        <v>40</v>
      </c>
      <c r="D54" s="20">
        <v>40</v>
      </c>
      <c r="E54" s="20">
        <v>76</v>
      </c>
      <c r="F54" s="20">
        <v>12</v>
      </c>
      <c r="G54" s="20">
        <v>22</v>
      </c>
      <c r="H54" s="20">
        <v>13</v>
      </c>
      <c r="I54" s="20">
        <v>55</v>
      </c>
      <c r="J54" s="20">
        <v>34</v>
      </c>
      <c r="K54" s="20">
        <v>56</v>
      </c>
      <c r="L54" s="20">
        <v>31</v>
      </c>
      <c r="M54" s="26">
        <f t="shared" si="0"/>
        <v>20</v>
      </c>
      <c r="N54" s="26">
        <f t="shared" si="4"/>
        <v>20</v>
      </c>
      <c r="O54" s="26">
        <f t="shared" si="5"/>
        <v>38</v>
      </c>
      <c r="P54" s="26">
        <f t="shared" si="6"/>
        <v>6</v>
      </c>
      <c r="Q54" s="26">
        <f t="shared" si="7"/>
        <v>11</v>
      </c>
      <c r="R54" s="26">
        <f t="shared" si="8"/>
        <v>6.5</v>
      </c>
      <c r="S54" s="26">
        <f t="shared" si="9"/>
        <v>27.5</v>
      </c>
      <c r="T54" s="26">
        <f t="shared" si="10"/>
        <v>17</v>
      </c>
      <c r="U54" s="26">
        <f t="shared" si="11"/>
        <v>28</v>
      </c>
      <c r="V54" s="26">
        <f t="shared" si="12"/>
        <v>15.5</v>
      </c>
    </row>
    <row r="55" spans="1:22" ht="15.75" x14ac:dyDescent="0.25">
      <c r="A55" s="5">
        <f>Student!A55</f>
        <v>140</v>
      </c>
      <c r="B55" s="21" t="str">
        <f>Student!B55</f>
        <v xml:space="preserve">TETTEH MAVIS  </v>
      </c>
      <c r="C55" s="20">
        <v>34</v>
      </c>
      <c r="D55" s="20">
        <v>34</v>
      </c>
      <c r="E55" s="20">
        <v>71</v>
      </c>
      <c r="F55" s="20">
        <v>15</v>
      </c>
      <c r="G55" s="20">
        <v>43</v>
      </c>
      <c r="H55" s="20">
        <v>25</v>
      </c>
      <c r="I55" s="20">
        <v>43</v>
      </c>
      <c r="J55" s="20">
        <v>15</v>
      </c>
      <c r="K55" s="20">
        <v>52</v>
      </c>
      <c r="L55" s="20">
        <v>28</v>
      </c>
      <c r="M55" s="26">
        <f t="shared" si="0"/>
        <v>17</v>
      </c>
      <c r="N55" s="26">
        <f t="shared" si="4"/>
        <v>17</v>
      </c>
      <c r="O55" s="26">
        <f t="shared" si="5"/>
        <v>35.5</v>
      </c>
      <c r="P55" s="26">
        <f t="shared" si="6"/>
        <v>7.5</v>
      </c>
      <c r="Q55" s="26">
        <f t="shared" si="7"/>
        <v>21.5</v>
      </c>
      <c r="R55" s="26">
        <f t="shared" si="8"/>
        <v>12.5</v>
      </c>
      <c r="S55" s="26">
        <f t="shared" si="9"/>
        <v>21.5</v>
      </c>
      <c r="T55" s="26">
        <f t="shared" si="10"/>
        <v>7.5</v>
      </c>
      <c r="U55" s="26">
        <f t="shared" si="11"/>
        <v>26</v>
      </c>
      <c r="V55" s="26">
        <f t="shared" si="12"/>
        <v>14</v>
      </c>
    </row>
    <row r="56" spans="1:22" ht="15.75" x14ac:dyDescent="0.25">
      <c r="A56" s="5">
        <f>Student!A56</f>
        <v>4065</v>
      </c>
      <c r="B56" s="21" t="str">
        <f>Student!B56</f>
        <v xml:space="preserve">TWUMASI VERA  </v>
      </c>
      <c r="C56" s="20">
        <v>52</v>
      </c>
      <c r="D56" s="20">
        <v>52</v>
      </c>
      <c r="E56" s="20">
        <v>88</v>
      </c>
      <c r="F56" s="20">
        <v>29</v>
      </c>
      <c r="G56" s="20">
        <v>70</v>
      </c>
      <c r="H56" s="20">
        <v>40</v>
      </c>
      <c r="I56" s="20">
        <v>43</v>
      </c>
      <c r="J56" s="20">
        <v>56</v>
      </c>
      <c r="K56" s="20">
        <v>57</v>
      </c>
      <c r="L56" s="20">
        <v>48</v>
      </c>
      <c r="M56" s="26">
        <f t="shared" si="0"/>
        <v>26</v>
      </c>
      <c r="N56" s="26">
        <f t="shared" si="4"/>
        <v>26</v>
      </c>
      <c r="O56" s="26">
        <f t="shared" si="5"/>
        <v>44</v>
      </c>
      <c r="P56" s="26">
        <f t="shared" si="6"/>
        <v>14.5</v>
      </c>
      <c r="Q56" s="26">
        <f t="shared" si="7"/>
        <v>35</v>
      </c>
      <c r="R56" s="26">
        <f t="shared" si="8"/>
        <v>20</v>
      </c>
      <c r="S56" s="26">
        <f t="shared" si="9"/>
        <v>21.5</v>
      </c>
      <c r="T56" s="26">
        <f t="shared" si="10"/>
        <v>28</v>
      </c>
      <c r="U56" s="26">
        <f t="shared" si="11"/>
        <v>28.5</v>
      </c>
      <c r="V56" s="26">
        <f t="shared" si="12"/>
        <v>24</v>
      </c>
    </row>
    <row r="57" spans="1:22" ht="15.75" x14ac:dyDescent="0.25">
      <c r="A57" s="5">
        <f>Student!A57</f>
        <v>616</v>
      </c>
      <c r="B57" s="21" t="str">
        <f>Student!B57</f>
        <v xml:space="preserve">WORMENOR JULIA  </v>
      </c>
      <c r="C57" s="20">
        <v>60</v>
      </c>
      <c r="D57" s="20">
        <v>60</v>
      </c>
      <c r="E57" s="20">
        <v>95</v>
      </c>
      <c r="F57" s="20">
        <v>31</v>
      </c>
      <c r="G57" s="20">
        <v>81</v>
      </c>
      <c r="H57" s="20">
        <v>54</v>
      </c>
      <c r="I57" s="20">
        <v>65</v>
      </c>
      <c r="J57" s="20">
        <v>64</v>
      </c>
      <c r="K57" s="20">
        <v>75</v>
      </c>
      <c r="L57" s="20">
        <v>68</v>
      </c>
      <c r="M57" s="26">
        <f t="shared" si="0"/>
        <v>30</v>
      </c>
      <c r="N57" s="26">
        <f t="shared" si="4"/>
        <v>30</v>
      </c>
      <c r="O57" s="26">
        <f t="shared" si="5"/>
        <v>47.5</v>
      </c>
      <c r="P57" s="26">
        <f t="shared" si="6"/>
        <v>15.5</v>
      </c>
      <c r="Q57" s="26">
        <f t="shared" si="7"/>
        <v>40.5</v>
      </c>
      <c r="R57" s="26">
        <f t="shared" si="8"/>
        <v>27</v>
      </c>
      <c r="S57" s="26">
        <f t="shared" si="9"/>
        <v>32.5</v>
      </c>
      <c r="T57" s="26">
        <f t="shared" si="10"/>
        <v>32</v>
      </c>
      <c r="U57" s="26">
        <f t="shared" si="11"/>
        <v>37.5</v>
      </c>
      <c r="V57" s="26">
        <f t="shared" si="12"/>
        <v>34</v>
      </c>
    </row>
    <row r="58" spans="1:22" ht="15.75" x14ac:dyDescent="0.25">
      <c r="A58" s="5">
        <f>Student!A58</f>
        <v>339</v>
      </c>
      <c r="B58" s="21" t="str">
        <f>Student!B58</f>
        <v xml:space="preserve">YEBOAH OLIVIA  </v>
      </c>
      <c r="C58" s="20">
        <v>37</v>
      </c>
      <c r="D58" s="20">
        <v>37</v>
      </c>
      <c r="E58" s="20">
        <v>79</v>
      </c>
      <c r="F58" s="20">
        <v>27</v>
      </c>
      <c r="G58" s="20">
        <v>29</v>
      </c>
      <c r="H58" s="20">
        <v>33</v>
      </c>
      <c r="I58" s="20">
        <v>39</v>
      </c>
      <c r="J58" s="20">
        <v>42</v>
      </c>
      <c r="K58" s="20">
        <v>51</v>
      </c>
      <c r="L58" s="20">
        <v>45</v>
      </c>
      <c r="M58" s="26">
        <f t="shared" si="0"/>
        <v>18.5</v>
      </c>
      <c r="N58" s="26">
        <f t="shared" si="4"/>
        <v>18.5</v>
      </c>
      <c r="O58" s="26">
        <f t="shared" si="5"/>
        <v>39.5</v>
      </c>
      <c r="P58" s="26">
        <f t="shared" si="6"/>
        <v>13.5</v>
      </c>
      <c r="Q58" s="26">
        <f t="shared" si="7"/>
        <v>14.5</v>
      </c>
      <c r="R58" s="26">
        <f t="shared" si="8"/>
        <v>16.5</v>
      </c>
      <c r="S58" s="26">
        <f t="shared" si="9"/>
        <v>19.5</v>
      </c>
      <c r="T58" s="26">
        <f t="shared" si="10"/>
        <v>21</v>
      </c>
      <c r="U58" s="26">
        <f t="shared" si="11"/>
        <v>25.5</v>
      </c>
      <c r="V58" s="26">
        <f t="shared" si="12"/>
        <v>22.5</v>
      </c>
    </row>
    <row r="59" spans="1:22" ht="15.75" x14ac:dyDescent="0.25">
      <c r="A59" s="5">
        <f>Student!A59</f>
        <v>768</v>
      </c>
      <c r="B59" s="21" t="str">
        <f>Student!B59</f>
        <v>BRAHENE PRISCILLA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6">
        <f t="shared" si="0"/>
        <v>0</v>
      </c>
      <c r="N59" s="26">
        <f t="shared" si="4"/>
        <v>0</v>
      </c>
      <c r="O59" s="26">
        <f t="shared" si="5"/>
        <v>0</v>
      </c>
      <c r="P59" s="26">
        <f t="shared" si="6"/>
        <v>0</v>
      </c>
      <c r="Q59" s="26">
        <f t="shared" si="7"/>
        <v>0</v>
      </c>
      <c r="R59" s="26">
        <f t="shared" si="8"/>
        <v>0</v>
      </c>
      <c r="S59" s="26">
        <f t="shared" si="9"/>
        <v>0</v>
      </c>
      <c r="T59" s="26">
        <f t="shared" si="10"/>
        <v>0</v>
      </c>
      <c r="U59" s="26">
        <f t="shared" si="11"/>
        <v>0</v>
      </c>
      <c r="V59" s="26">
        <f t="shared" si="12"/>
        <v>0</v>
      </c>
    </row>
    <row r="60" spans="1:22" ht="15.75" x14ac:dyDescent="0.25">
      <c r="A60" s="5">
        <f>Student!A60</f>
        <v>0</v>
      </c>
      <c r="B60" s="21">
        <f>Student!B60</f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6">
        <f t="shared" si="0"/>
        <v>0</v>
      </c>
      <c r="N60" s="26">
        <f t="shared" si="4"/>
        <v>0</v>
      </c>
      <c r="O60" s="26">
        <f t="shared" si="5"/>
        <v>0</v>
      </c>
      <c r="P60" s="26">
        <f t="shared" si="6"/>
        <v>0</v>
      </c>
      <c r="Q60" s="26">
        <f t="shared" si="7"/>
        <v>0</v>
      </c>
      <c r="R60" s="26">
        <f t="shared" si="8"/>
        <v>0</v>
      </c>
      <c r="S60" s="26">
        <f t="shared" si="9"/>
        <v>0</v>
      </c>
      <c r="T60" s="26">
        <f t="shared" si="10"/>
        <v>0</v>
      </c>
      <c r="U60" s="26">
        <f t="shared" si="11"/>
        <v>0</v>
      </c>
      <c r="V60" s="26">
        <f t="shared" si="12"/>
        <v>0</v>
      </c>
    </row>
    <row r="61" spans="1:22" ht="15.75" x14ac:dyDescent="0.25">
      <c r="A61" s="5">
        <f>Student!A61</f>
        <v>0</v>
      </c>
      <c r="B61" s="21">
        <f>Student!B61</f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6">
        <f t="shared" si="0"/>
        <v>0</v>
      </c>
      <c r="N61" s="26">
        <f t="shared" si="4"/>
        <v>0</v>
      </c>
      <c r="O61" s="26">
        <f t="shared" si="5"/>
        <v>0</v>
      </c>
      <c r="P61" s="26">
        <f t="shared" si="6"/>
        <v>0</v>
      </c>
      <c r="Q61" s="26">
        <f t="shared" si="7"/>
        <v>0</v>
      </c>
      <c r="R61" s="26">
        <f t="shared" si="8"/>
        <v>0</v>
      </c>
      <c r="S61" s="26">
        <f t="shared" si="9"/>
        <v>0</v>
      </c>
      <c r="T61" s="26">
        <f t="shared" si="10"/>
        <v>0</v>
      </c>
      <c r="U61" s="26">
        <f t="shared" si="11"/>
        <v>0</v>
      </c>
      <c r="V61" s="26">
        <f t="shared" si="12"/>
        <v>0</v>
      </c>
    </row>
    <row r="62" spans="1:22" ht="15.75" x14ac:dyDescent="0.25">
      <c r="A62" s="5">
        <f>Student!A62</f>
        <v>0</v>
      </c>
      <c r="B62" s="21">
        <f>Student!B62</f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6">
        <f t="shared" si="0"/>
        <v>0</v>
      </c>
      <c r="N62" s="26">
        <f t="shared" si="4"/>
        <v>0</v>
      </c>
      <c r="O62" s="26">
        <f t="shared" si="5"/>
        <v>0</v>
      </c>
      <c r="P62" s="26">
        <f t="shared" si="6"/>
        <v>0</v>
      </c>
      <c r="Q62" s="26">
        <f t="shared" si="7"/>
        <v>0</v>
      </c>
      <c r="R62" s="26">
        <f t="shared" si="8"/>
        <v>0</v>
      </c>
      <c r="S62" s="26">
        <f t="shared" si="9"/>
        <v>0</v>
      </c>
      <c r="T62" s="26">
        <f t="shared" si="10"/>
        <v>0</v>
      </c>
      <c r="U62" s="26">
        <f t="shared" si="11"/>
        <v>0</v>
      </c>
      <c r="V62" s="26">
        <f t="shared" si="12"/>
        <v>0</v>
      </c>
    </row>
    <row r="63" spans="1:22" ht="15.75" x14ac:dyDescent="0.25">
      <c r="A63" s="5">
        <f>Student!A63</f>
        <v>0</v>
      </c>
      <c r="B63" s="21">
        <f>Student!B63</f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6">
        <f t="shared" si="0"/>
        <v>0</v>
      </c>
      <c r="N63" s="26">
        <f t="shared" si="4"/>
        <v>0</v>
      </c>
      <c r="O63" s="26">
        <f t="shared" si="5"/>
        <v>0</v>
      </c>
      <c r="P63" s="26">
        <f t="shared" si="6"/>
        <v>0</v>
      </c>
      <c r="Q63" s="26">
        <f t="shared" si="7"/>
        <v>0</v>
      </c>
      <c r="R63" s="26">
        <f t="shared" si="8"/>
        <v>0</v>
      </c>
      <c r="S63" s="26">
        <f t="shared" si="9"/>
        <v>0</v>
      </c>
      <c r="T63" s="26">
        <f t="shared" si="10"/>
        <v>0</v>
      </c>
      <c r="U63" s="26">
        <f t="shared" si="11"/>
        <v>0</v>
      </c>
      <c r="V63" s="26">
        <f t="shared" si="12"/>
        <v>0</v>
      </c>
    </row>
    <row r="64" spans="1:22" ht="15.75" x14ac:dyDescent="0.25">
      <c r="A64" s="5">
        <f>Student!A64</f>
        <v>0</v>
      </c>
      <c r="B64" s="21">
        <f>Student!B64</f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6">
        <f t="shared" si="0"/>
        <v>0</v>
      </c>
      <c r="N64" s="26">
        <f t="shared" si="4"/>
        <v>0</v>
      </c>
      <c r="O64" s="26">
        <f t="shared" si="5"/>
        <v>0</v>
      </c>
      <c r="P64" s="26">
        <f t="shared" si="6"/>
        <v>0</v>
      </c>
      <c r="Q64" s="26">
        <f t="shared" si="7"/>
        <v>0</v>
      </c>
      <c r="R64" s="26">
        <f t="shared" si="8"/>
        <v>0</v>
      </c>
      <c r="S64" s="26">
        <f t="shared" si="9"/>
        <v>0</v>
      </c>
      <c r="T64" s="26">
        <f t="shared" si="10"/>
        <v>0</v>
      </c>
      <c r="U64" s="26">
        <f t="shared" si="11"/>
        <v>0</v>
      </c>
      <c r="V64" s="26">
        <f t="shared" si="12"/>
        <v>0</v>
      </c>
    </row>
    <row r="65" spans="1:22" ht="15.75" x14ac:dyDescent="0.25">
      <c r="A65" s="5">
        <f>Student!A65</f>
        <v>0</v>
      </c>
      <c r="B65" s="21">
        <f>Student!B65</f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6">
        <f t="shared" si="0"/>
        <v>0</v>
      </c>
      <c r="N65" s="26">
        <f t="shared" si="4"/>
        <v>0</v>
      </c>
      <c r="O65" s="26">
        <f t="shared" si="5"/>
        <v>0</v>
      </c>
      <c r="P65" s="26">
        <f t="shared" si="6"/>
        <v>0</v>
      </c>
      <c r="Q65" s="26">
        <f t="shared" si="7"/>
        <v>0</v>
      </c>
      <c r="R65" s="26">
        <f t="shared" si="8"/>
        <v>0</v>
      </c>
      <c r="S65" s="26">
        <f t="shared" si="9"/>
        <v>0</v>
      </c>
      <c r="T65" s="26">
        <f t="shared" si="10"/>
        <v>0</v>
      </c>
      <c r="U65" s="26">
        <f t="shared" si="11"/>
        <v>0</v>
      </c>
      <c r="V65" s="26">
        <f t="shared" si="12"/>
        <v>0</v>
      </c>
    </row>
    <row r="66" spans="1:22" ht="15.75" x14ac:dyDescent="0.25">
      <c r="A66" s="5">
        <f>Student!A66</f>
        <v>0</v>
      </c>
      <c r="B66" s="21">
        <f>Student!B66</f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6">
        <f t="shared" ref="M66:M98" si="13">50%*C66</f>
        <v>0</v>
      </c>
      <c r="N66" s="26">
        <f t="shared" ref="N66:N98" si="14">50%*D66</f>
        <v>0</v>
      </c>
      <c r="O66" s="26">
        <f t="shared" ref="O66:O98" si="15">50%*E66</f>
        <v>0</v>
      </c>
      <c r="P66" s="26">
        <f t="shared" ref="P66:P98" si="16">50%*F66</f>
        <v>0</v>
      </c>
      <c r="Q66" s="26">
        <f t="shared" ref="Q66:Q98" si="17">50%*G66</f>
        <v>0</v>
      </c>
      <c r="R66" s="26">
        <f t="shared" ref="R66:R98" si="18">50%*H66</f>
        <v>0</v>
      </c>
      <c r="S66" s="26">
        <f t="shared" ref="S66:S98" si="19">50%*I66</f>
        <v>0</v>
      </c>
      <c r="T66" s="26">
        <f t="shared" ref="T66:T98" si="20">50%*J66</f>
        <v>0</v>
      </c>
      <c r="U66" s="26">
        <f t="shared" ref="U66:U98" si="21">50%*K66</f>
        <v>0</v>
      </c>
      <c r="V66" s="26">
        <f t="shared" ref="V66:V98" si="22">50%*L66</f>
        <v>0</v>
      </c>
    </row>
    <row r="67" spans="1:22" ht="15.75" x14ac:dyDescent="0.25">
      <c r="A67" s="5">
        <f>Student!A67</f>
        <v>0</v>
      </c>
      <c r="B67" s="21">
        <f>Student!B67</f>
        <v>0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6">
        <f t="shared" si="13"/>
        <v>0</v>
      </c>
      <c r="N67" s="26">
        <f t="shared" si="14"/>
        <v>0</v>
      </c>
      <c r="O67" s="26">
        <f t="shared" si="15"/>
        <v>0</v>
      </c>
      <c r="P67" s="26">
        <f t="shared" si="16"/>
        <v>0</v>
      </c>
      <c r="Q67" s="26">
        <f t="shared" si="17"/>
        <v>0</v>
      </c>
      <c r="R67" s="26">
        <f t="shared" si="18"/>
        <v>0</v>
      </c>
      <c r="S67" s="26">
        <f t="shared" si="19"/>
        <v>0</v>
      </c>
      <c r="T67" s="26">
        <f t="shared" si="20"/>
        <v>0</v>
      </c>
      <c r="U67" s="26">
        <f t="shared" si="21"/>
        <v>0</v>
      </c>
      <c r="V67" s="26">
        <f t="shared" si="22"/>
        <v>0</v>
      </c>
    </row>
    <row r="68" spans="1:22" ht="15.75" x14ac:dyDescent="0.25">
      <c r="A68" s="5">
        <f>Student!A68</f>
        <v>0</v>
      </c>
      <c r="B68" s="21">
        <f>Student!B68</f>
        <v>0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6">
        <f t="shared" si="13"/>
        <v>0</v>
      </c>
      <c r="N68" s="26">
        <f t="shared" si="14"/>
        <v>0</v>
      </c>
      <c r="O68" s="26">
        <f t="shared" si="15"/>
        <v>0</v>
      </c>
      <c r="P68" s="26">
        <f t="shared" si="16"/>
        <v>0</v>
      </c>
      <c r="Q68" s="26">
        <f t="shared" si="17"/>
        <v>0</v>
      </c>
      <c r="R68" s="26">
        <f t="shared" si="18"/>
        <v>0</v>
      </c>
      <c r="S68" s="26">
        <f t="shared" si="19"/>
        <v>0</v>
      </c>
      <c r="T68" s="26">
        <f t="shared" si="20"/>
        <v>0</v>
      </c>
      <c r="U68" s="26">
        <f t="shared" si="21"/>
        <v>0</v>
      </c>
      <c r="V68" s="26">
        <f t="shared" si="22"/>
        <v>0</v>
      </c>
    </row>
    <row r="69" spans="1:22" ht="15.75" x14ac:dyDescent="0.25">
      <c r="A69" s="5">
        <f>Student!A69</f>
        <v>0</v>
      </c>
      <c r="B69" s="21">
        <f>Student!B69</f>
        <v>0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6">
        <f t="shared" si="13"/>
        <v>0</v>
      </c>
      <c r="N69" s="26">
        <f t="shared" si="14"/>
        <v>0</v>
      </c>
      <c r="O69" s="26">
        <f t="shared" si="15"/>
        <v>0</v>
      </c>
      <c r="P69" s="26">
        <f t="shared" si="16"/>
        <v>0</v>
      </c>
      <c r="Q69" s="26">
        <f t="shared" si="17"/>
        <v>0</v>
      </c>
      <c r="R69" s="26">
        <f t="shared" si="18"/>
        <v>0</v>
      </c>
      <c r="S69" s="26">
        <f t="shared" si="19"/>
        <v>0</v>
      </c>
      <c r="T69" s="26">
        <f t="shared" si="20"/>
        <v>0</v>
      </c>
      <c r="U69" s="26">
        <f t="shared" si="21"/>
        <v>0</v>
      </c>
      <c r="V69" s="26">
        <f t="shared" si="22"/>
        <v>0</v>
      </c>
    </row>
    <row r="70" spans="1:22" ht="15.75" x14ac:dyDescent="0.25">
      <c r="A70" s="5">
        <f>Student!A70</f>
        <v>0</v>
      </c>
      <c r="B70" s="21">
        <f>Student!B70</f>
        <v>0</v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6">
        <f t="shared" si="13"/>
        <v>0</v>
      </c>
      <c r="N70" s="26">
        <f t="shared" si="14"/>
        <v>0</v>
      </c>
      <c r="O70" s="26">
        <f t="shared" si="15"/>
        <v>0</v>
      </c>
      <c r="P70" s="26">
        <f t="shared" si="16"/>
        <v>0</v>
      </c>
      <c r="Q70" s="26">
        <f t="shared" si="17"/>
        <v>0</v>
      </c>
      <c r="R70" s="26">
        <f t="shared" si="18"/>
        <v>0</v>
      </c>
      <c r="S70" s="26">
        <f t="shared" si="19"/>
        <v>0</v>
      </c>
      <c r="T70" s="26">
        <f t="shared" si="20"/>
        <v>0</v>
      </c>
      <c r="U70" s="26">
        <f t="shared" si="21"/>
        <v>0</v>
      </c>
      <c r="V70" s="26">
        <f t="shared" si="22"/>
        <v>0</v>
      </c>
    </row>
    <row r="71" spans="1:22" ht="15.75" x14ac:dyDescent="0.25">
      <c r="A71" s="5">
        <f>Student!A71</f>
        <v>0</v>
      </c>
      <c r="B71" s="21">
        <f>Student!B71</f>
        <v>0</v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6">
        <f t="shared" si="13"/>
        <v>0</v>
      </c>
      <c r="N71" s="26">
        <f t="shared" si="14"/>
        <v>0</v>
      </c>
      <c r="O71" s="26">
        <f t="shared" si="15"/>
        <v>0</v>
      </c>
      <c r="P71" s="26">
        <f t="shared" si="16"/>
        <v>0</v>
      </c>
      <c r="Q71" s="26">
        <f t="shared" si="17"/>
        <v>0</v>
      </c>
      <c r="R71" s="26">
        <f t="shared" si="18"/>
        <v>0</v>
      </c>
      <c r="S71" s="26">
        <f t="shared" si="19"/>
        <v>0</v>
      </c>
      <c r="T71" s="26">
        <f t="shared" si="20"/>
        <v>0</v>
      </c>
      <c r="U71" s="26">
        <f t="shared" si="21"/>
        <v>0</v>
      </c>
      <c r="V71" s="26">
        <f t="shared" si="22"/>
        <v>0</v>
      </c>
    </row>
    <row r="72" spans="1:22" ht="15.75" x14ac:dyDescent="0.25">
      <c r="A72" s="5">
        <f>Student!A72</f>
        <v>0</v>
      </c>
      <c r="B72" s="21">
        <f>Student!B72</f>
        <v>0</v>
      </c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6">
        <f t="shared" si="13"/>
        <v>0</v>
      </c>
      <c r="N72" s="26">
        <f t="shared" si="14"/>
        <v>0</v>
      </c>
      <c r="O72" s="26">
        <f t="shared" si="15"/>
        <v>0</v>
      </c>
      <c r="P72" s="26">
        <f t="shared" si="16"/>
        <v>0</v>
      </c>
      <c r="Q72" s="26">
        <f t="shared" si="17"/>
        <v>0</v>
      </c>
      <c r="R72" s="26">
        <f t="shared" si="18"/>
        <v>0</v>
      </c>
      <c r="S72" s="26">
        <f t="shared" si="19"/>
        <v>0</v>
      </c>
      <c r="T72" s="26">
        <f t="shared" si="20"/>
        <v>0</v>
      </c>
      <c r="U72" s="26">
        <f t="shared" si="21"/>
        <v>0</v>
      </c>
      <c r="V72" s="26">
        <f t="shared" si="22"/>
        <v>0</v>
      </c>
    </row>
    <row r="73" spans="1:22" ht="15.75" x14ac:dyDescent="0.25">
      <c r="A73" s="5">
        <f>Student!A73</f>
        <v>0</v>
      </c>
      <c r="B73" s="21">
        <f>Student!B73</f>
        <v>0</v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6">
        <f t="shared" si="13"/>
        <v>0</v>
      </c>
      <c r="N73" s="26">
        <f t="shared" si="14"/>
        <v>0</v>
      </c>
      <c r="O73" s="26">
        <f t="shared" si="15"/>
        <v>0</v>
      </c>
      <c r="P73" s="26">
        <f t="shared" si="16"/>
        <v>0</v>
      </c>
      <c r="Q73" s="26">
        <f t="shared" si="17"/>
        <v>0</v>
      </c>
      <c r="R73" s="26">
        <f t="shared" si="18"/>
        <v>0</v>
      </c>
      <c r="S73" s="26">
        <f t="shared" si="19"/>
        <v>0</v>
      </c>
      <c r="T73" s="26">
        <f t="shared" si="20"/>
        <v>0</v>
      </c>
      <c r="U73" s="26">
        <f t="shared" si="21"/>
        <v>0</v>
      </c>
      <c r="V73" s="26">
        <f t="shared" si="22"/>
        <v>0</v>
      </c>
    </row>
    <row r="74" spans="1:22" ht="15.75" x14ac:dyDescent="0.25">
      <c r="A74" s="5">
        <f>Student!A74</f>
        <v>0</v>
      </c>
      <c r="B74" s="21">
        <f>Student!B74</f>
        <v>0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6">
        <f t="shared" si="13"/>
        <v>0</v>
      </c>
      <c r="N74" s="26">
        <f t="shared" si="14"/>
        <v>0</v>
      </c>
      <c r="O74" s="26">
        <f t="shared" si="15"/>
        <v>0</v>
      </c>
      <c r="P74" s="26">
        <f t="shared" si="16"/>
        <v>0</v>
      </c>
      <c r="Q74" s="26">
        <f t="shared" si="17"/>
        <v>0</v>
      </c>
      <c r="R74" s="26">
        <f t="shared" si="18"/>
        <v>0</v>
      </c>
      <c r="S74" s="26">
        <f t="shared" si="19"/>
        <v>0</v>
      </c>
      <c r="T74" s="26">
        <f t="shared" si="20"/>
        <v>0</v>
      </c>
      <c r="U74" s="26">
        <f t="shared" si="21"/>
        <v>0</v>
      </c>
      <c r="V74" s="26">
        <f t="shared" si="22"/>
        <v>0</v>
      </c>
    </row>
    <row r="75" spans="1:22" ht="15.75" x14ac:dyDescent="0.25">
      <c r="A75" s="5">
        <f>Student!A75</f>
        <v>0</v>
      </c>
      <c r="B75" s="21">
        <f>Student!B75</f>
        <v>0</v>
      </c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6">
        <f t="shared" si="13"/>
        <v>0</v>
      </c>
      <c r="N75" s="26">
        <f t="shared" si="14"/>
        <v>0</v>
      </c>
      <c r="O75" s="26">
        <f t="shared" si="15"/>
        <v>0</v>
      </c>
      <c r="P75" s="26">
        <f t="shared" si="16"/>
        <v>0</v>
      </c>
      <c r="Q75" s="26">
        <f t="shared" si="17"/>
        <v>0</v>
      </c>
      <c r="R75" s="26">
        <f t="shared" si="18"/>
        <v>0</v>
      </c>
      <c r="S75" s="26">
        <f t="shared" si="19"/>
        <v>0</v>
      </c>
      <c r="T75" s="26">
        <f t="shared" si="20"/>
        <v>0</v>
      </c>
      <c r="U75" s="26">
        <f t="shared" si="21"/>
        <v>0</v>
      </c>
      <c r="V75" s="26">
        <f t="shared" si="22"/>
        <v>0</v>
      </c>
    </row>
    <row r="76" spans="1:22" ht="15.75" x14ac:dyDescent="0.25">
      <c r="A76" s="5">
        <f>Student!A76</f>
        <v>0</v>
      </c>
      <c r="B76" s="21">
        <f>Student!B76</f>
        <v>0</v>
      </c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6">
        <f t="shared" si="13"/>
        <v>0</v>
      </c>
      <c r="N76" s="26">
        <f t="shared" si="14"/>
        <v>0</v>
      </c>
      <c r="O76" s="26">
        <f t="shared" si="15"/>
        <v>0</v>
      </c>
      <c r="P76" s="26">
        <f t="shared" si="16"/>
        <v>0</v>
      </c>
      <c r="Q76" s="26">
        <f t="shared" si="17"/>
        <v>0</v>
      </c>
      <c r="R76" s="26">
        <f t="shared" si="18"/>
        <v>0</v>
      </c>
      <c r="S76" s="26">
        <f t="shared" si="19"/>
        <v>0</v>
      </c>
      <c r="T76" s="26">
        <f t="shared" si="20"/>
        <v>0</v>
      </c>
      <c r="U76" s="26">
        <f t="shared" si="21"/>
        <v>0</v>
      </c>
      <c r="V76" s="26">
        <f t="shared" si="22"/>
        <v>0</v>
      </c>
    </row>
    <row r="77" spans="1:22" ht="15.75" x14ac:dyDescent="0.25">
      <c r="A77" s="5">
        <f>Student!A77</f>
        <v>0</v>
      </c>
      <c r="B77" s="21">
        <f>Student!B77</f>
        <v>0</v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6">
        <f t="shared" si="13"/>
        <v>0</v>
      </c>
      <c r="N77" s="26">
        <f t="shared" si="14"/>
        <v>0</v>
      </c>
      <c r="O77" s="26">
        <f t="shared" si="15"/>
        <v>0</v>
      </c>
      <c r="P77" s="26">
        <f t="shared" si="16"/>
        <v>0</v>
      </c>
      <c r="Q77" s="26">
        <f t="shared" si="17"/>
        <v>0</v>
      </c>
      <c r="R77" s="26">
        <f t="shared" si="18"/>
        <v>0</v>
      </c>
      <c r="S77" s="26">
        <f t="shared" si="19"/>
        <v>0</v>
      </c>
      <c r="T77" s="26">
        <f t="shared" si="20"/>
        <v>0</v>
      </c>
      <c r="U77" s="26">
        <f t="shared" si="21"/>
        <v>0</v>
      </c>
      <c r="V77" s="26">
        <f t="shared" si="22"/>
        <v>0</v>
      </c>
    </row>
    <row r="78" spans="1:22" ht="15.75" x14ac:dyDescent="0.25">
      <c r="A78" s="5">
        <f>Student!A78</f>
        <v>0</v>
      </c>
      <c r="B78" s="21">
        <f>Student!B78</f>
        <v>0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6">
        <f t="shared" si="13"/>
        <v>0</v>
      </c>
      <c r="N78" s="26">
        <f t="shared" si="14"/>
        <v>0</v>
      </c>
      <c r="O78" s="26">
        <f t="shared" si="15"/>
        <v>0</v>
      </c>
      <c r="P78" s="26">
        <f t="shared" si="16"/>
        <v>0</v>
      </c>
      <c r="Q78" s="26">
        <f t="shared" si="17"/>
        <v>0</v>
      </c>
      <c r="R78" s="26">
        <f t="shared" si="18"/>
        <v>0</v>
      </c>
      <c r="S78" s="26">
        <f t="shared" si="19"/>
        <v>0</v>
      </c>
      <c r="T78" s="26">
        <f t="shared" si="20"/>
        <v>0</v>
      </c>
      <c r="U78" s="26">
        <f t="shared" si="21"/>
        <v>0</v>
      </c>
      <c r="V78" s="26">
        <f t="shared" si="22"/>
        <v>0</v>
      </c>
    </row>
    <row r="79" spans="1:22" ht="15.75" x14ac:dyDescent="0.25">
      <c r="A79" s="5">
        <f>Student!A79</f>
        <v>0</v>
      </c>
      <c r="B79" s="21">
        <f>Student!B79</f>
        <v>0</v>
      </c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6">
        <f t="shared" si="13"/>
        <v>0</v>
      </c>
      <c r="N79" s="26">
        <f t="shared" si="14"/>
        <v>0</v>
      </c>
      <c r="O79" s="26">
        <f t="shared" si="15"/>
        <v>0</v>
      </c>
      <c r="P79" s="26">
        <f t="shared" si="16"/>
        <v>0</v>
      </c>
      <c r="Q79" s="26">
        <f t="shared" si="17"/>
        <v>0</v>
      </c>
      <c r="R79" s="26">
        <f t="shared" si="18"/>
        <v>0</v>
      </c>
      <c r="S79" s="26">
        <f t="shared" si="19"/>
        <v>0</v>
      </c>
      <c r="T79" s="26">
        <f t="shared" si="20"/>
        <v>0</v>
      </c>
      <c r="U79" s="26">
        <f t="shared" si="21"/>
        <v>0</v>
      </c>
      <c r="V79" s="26">
        <f t="shared" si="22"/>
        <v>0</v>
      </c>
    </row>
    <row r="80" spans="1:22" ht="15.75" x14ac:dyDescent="0.25">
      <c r="A80" s="5">
        <f>Student!A80</f>
        <v>0</v>
      </c>
      <c r="B80" s="21">
        <f>Student!B80</f>
        <v>0</v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6">
        <f t="shared" si="13"/>
        <v>0</v>
      </c>
      <c r="N80" s="26">
        <f t="shared" si="14"/>
        <v>0</v>
      </c>
      <c r="O80" s="26">
        <f t="shared" si="15"/>
        <v>0</v>
      </c>
      <c r="P80" s="26">
        <f t="shared" si="16"/>
        <v>0</v>
      </c>
      <c r="Q80" s="26">
        <f t="shared" si="17"/>
        <v>0</v>
      </c>
      <c r="R80" s="26">
        <f t="shared" si="18"/>
        <v>0</v>
      </c>
      <c r="S80" s="26">
        <f t="shared" si="19"/>
        <v>0</v>
      </c>
      <c r="T80" s="26">
        <f t="shared" si="20"/>
        <v>0</v>
      </c>
      <c r="U80" s="26">
        <f t="shared" si="21"/>
        <v>0</v>
      </c>
      <c r="V80" s="26">
        <f t="shared" si="22"/>
        <v>0</v>
      </c>
    </row>
    <row r="81" spans="1:22" ht="15.75" x14ac:dyDescent="0.25">
      <c r="A81" s="5">
        <f>Student!A81</f>
        <v>0</v>
      </c>
      <c r="B81" s="21">
        <f>Student!B81</f>
        <v>0</v>
      </c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6">
        <f t="shared" si="13"/>
        <v>0</v>
      </c>
      <c r="N81" s="26">
        <f t="shared" si="14"/>
        <v>0</v>
      </c>
      <c r="O81" s="26">
        <f t="shared" si="15"/>
        <v>0</v>
      </c>
      <c r="P81" s="26">
        <f t="shared" si="16"/>
        <v>0</v>
      </c>
      <c r="Q81" s="26">
        <f t="shared" si="17"/>
        <v>0</v>
      </c>
      <c r="R81" s="26">
        <f t="shared" si="18"/>
        <v>0</v>
      </c>
      <c r="S81" s="26">
        <f t="shared" si="19"/>
        <v>0</v>
      </c>
      <c r="T81" s="26">
        <f t="shared" si="20"/>
        <v>0</v>
      </c>
      <c r="U81" s="26">
        <f t="shared" si="21"/>
        <v>0</v>
      </c>
      <c r="V81" s="26">
        <f t="shared" si="22"/>
        <v>0</v>
      </c>
    </row>
    <row r="82" spans="1:22" ht="15.75" x14ac:dyDescent="0.25">
      <c r="A82" s="5">
        <f>Student!A82</f>
        <v>0</v>
      </c>
      <c r="B82" s="21">
        <f>Student!B82</f>
        <v>0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6">
        <f t="shared" si="13"/>
        <v>0</v>
      </c>
      <c r="N82" s="26">
        <f t="shared" si="14"/>
        <v>0</v>
      </c>
      <c r="O82" s="26">
        <f t="shared" si="15"/>
        <v>0</v>
      </c>
      <c r="P82" s="26">
        <f t="shared" si="16"/>
        <v>0</v>
      </c>
      <c r="Q82" s="26">
        <f t="shared" si="17"/>
        <v>0</v>
      </c>
      <c r="R82" s="26">
        <f t="shared" si="18"/>
        <v>0</v>
      </c>
      <c r="S82" s="26">
        <f t="shared" si="19"/>
        <v>0</v>
      </c>
      <c r="T82" s="26">
        <f t="shared" si="20"/>
        <v>0</v>
      </c>
      <c r="U82" s="26">
        <f t="shared" si="21"/>
        <v>0</v>
      </c>
      <c r="V82" s="26">
        <f t="shared" si="22"/>
        <v>0</v>
      </c>
    </row>
    <row r="83" spans="1:22" ht="15.75" x14ac:dyDescent="0.25">
      <c r="A83" s="5">
        <f>Student!A83</f>
        <v>0</v>
      </c>
      <c r="B83" s="21">
        <f>Student!B83</f>
        <v>0</v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6">
        <f t="shared" si="13"/>
        <v>0</v>
      </c>
      <c r="N83" s="26">
        <f t="shared" si="14"/>
        <v>0</v>
      </c>
      <c r="O83" s="26">
        <f t="shared" si="15"/>
        <v>0</v>
      </c>
      <c r="P83" s="26">
        <f t="shared" si="16"/>
        <v>0</v>
      </c>
      <c r="Q83" s="26">
        <f t="shared" si="17"/>
        <v>0</v>
      </c>
      <c r="R83" s="26">
        <f t="shared" si="18"/>
        <v>0</v>
      </c>
      <c r="S83" s="26">
        <f t="shared" si="19"/>
        <v>0</v>
      </c>
      <c r="T83" s="26">
        <f t="shared" si="20"/>
        <v>0</v>
      </c>
      <c r="U83" s="26">
        <f t="shared" si="21"/>
        <v>0</v>
      </c>
      <c r="V83" s="26">
        <f t="shared" si="22"/>
        <v>0</v>
      </c>
    </row>
    <row r="84" spans="1:22" ht="15.75" x14ac:dyDescent="0.25">
      <c r="A84" s="5">
        <f>Student!A84</f>
        <v>0</v>
      </c>
      <c r="B84" s="21">
        <f>Student!B84</f>
        <v>0</v>
      </c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6">
        <f t="shared" si="13"/>
        <v>0</v>
      </c>
      <c r="N84" s="26">
        <f t="shared" si="14"/>
        <v>0</v>
      </c>
      <c r="O84" s="26">
        <f t="shared" si="15"/>
        <v>0</v>
      </c>
      <c r="P84" s="26">
        <f t="shared" si="16"/>
        <v>0</v>
      </c>
      <c r="Q84" s="26">
        <f t="shared" si="17"/>
        <v>0</v>
      </c>
      <c r="R84" s="26">
        <f t="shared" si="18"/>
        <v>0</v>
      </c>
      <c r="S84" s="26">
        <f t="shared" si="19"/>
        <v>0</v>
      </c>
      <c r="T84" s="26">
        <f t="shared" si="20"/>
        <v>0</v>
      </c>
      <c r="U84" s="26">
        <f t="shared" si="21"/>
        <v>0</v>
      </c>
      <c r="V84" s="26">
        <f t="shared" si="22"/>
        <v>0</v>
      </c>
    </row>
    <row r="85" spans="1:22" ht="15.75" x14ac:dyDescent="0.25">
      <c r="A85" s="5">
        <f>Student!A85</f>
        <v>0</v>
      </c>
      <c r="B85" s="21">
        <f>Student!B85</f>
        <v>0</v>
      </c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6">
        <f t="shared" si="13"/>
        <v>0</v>
      </c>
      <c r="N85" s="26">
        <f t="shared" si="14"/>
        <v>0</v>
      </c>
      <c r="O85" s="26">
        <f t="shared" si="15"/>
        <v>0</v>
      </c>
      <c r="P85" s="26">
        <f t="shared" si="16"/>
        <v>0</v>
      </c>
      <c r="Q85" s="26">
        <f t="shared" si="17"/>
        <v>0</v>
      </c>
      <c r="R85" s="26">
        <f t="shared" si="18"/>
        <v>0</v>
      </c>
      <c r="S85" s="26">
        <f t="shared" si="19"/>
        <v>0</v>
      </c>
      <c r="T85" s="26">
        <f t="shared" si="20"/>
        <v>0</v>
      </c>
      <c r="U85" s="26">
        <f t="shared" si="21"/>
        <v>0</v>
      </c>
      <c r="V85" s="26">
        <f t="shared" si="22"/>
        <v>0</v>
      </c>
    </row>
    <row r="86" spans="1:22" ht="15.75" x14ac:dyDescent="0.25">
      <c r="A86" s="5">
        <f>Student!A86</f>
        <v>0</v>
      </c>
      <c r="B86" s="21">
        <f>Student!B86</f>
        <v>0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6">
        <f t="shared" si="13"/>
        <v>0</v>
      </c>
      <c r="N86" s="26">
        <f t="shared" si="14"/>
        <v>0</v>
      </c>
      <c r="O86" s="26">
        <f t="shared" si="15"/>
        <v>0</v>
      </c>
      <c r="P86" s="26">
        <f t="shared" si="16"/>
        <v>0</v>
      </c>
      <c r="Q86" s="26">
        <f t="shared" si="17"/>
        <v>0</v>
      </c>
      <c r="R86" s="26">
        <f t="shared" si="18"/>
        <v>0</v>
      </c>
      <c r="S86" s="26">
        <f t="shared" si="19"/>
        <v>0</v>
      </c>
      <c r="T86" s="26">
        <f t="shared" si="20"/>
        <v>0</v>
      </c>
      <c r="U86" s="26">
        <f t="shared" si="21"/>
        <v>0</v>
      </c>
      <c r="V86" s="26">
        <f t="shared" si="22"/>
        <v>0</v>
      </c>
    </row>
    <row r="87" spans="1:22" ht="15.75" x14ac:dyDescent="0.25">
      <c r="A87" s="5">
        <f>Student!A87</f>
        <v>0</v>
      </c>
      <c r="B87" s="21">
        <f>Student!B87</f>
        <v>0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6">
        <f t="shared" si="13"/>
        <v>0</v>
      </c>
      <c r="N87" s="26">
        <f t="shared" si="14"/>
        <v>0</v>
      </c>
      <c r="O87" s="26">
        <f t="shared" si="15"/>
        <v>0</v>
      </c>
      <c r="P87" s="26">
        <f t="shared" si="16"/>
        <v>0</v>
      </c>
      <c r="Q87" s="26">
        <f t="shared" si="17"/>
        <v>0</v>
      </c>
      <c r="R87" s="26">
        <f t="shared" si="18"/>
        <v>0</v>
      </c>
      <c r="S87" s="26">
        <f t="shared" si="19"/>
        <v>0</v>
      </c>
      <c r="T87" s="26">
        <f t="shared" si="20"/>
        <v>0</v>
      </c>
      <c r="U87" s="26">
        <f t="shared" si="21"/>
        <v>0</v>
      </c>
      <c r="V87" s="26">
        <f t="shared" si="22"/>
        <v>0</v>
      </c>
    </row>
    <row r="88" spans="1:22" ht="15.75" x14ac:dyDescent="0.25">
      <c r="A88" s="5">
        <f>Student!A88</f>
        <v>0</v>
      </c>
      <c r="B88" s="21">
        <f>Student!B88</f>
        <v>0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6">
        <f t="shared" si="13"/>
        <v>0</v>
      </c>
      <c r="N88" s="26">
        <f t="shared" si="14"/>
        <v>0</v>
      </c>
      <c r="O88" s="26">
        <f t="shared" si="15"/>
        <v>0</v>
      </c>
      <c r="P88" s="26">
        <f t="shared" si="16"/>
        <v>0</v>
      </c>
      <c r="Q88" s="26">
        <f t="shared" si="17"/>
        <v>0</v>
      </c>
      <c r="R88" s="26">
        <f t="shared" si="18"/>
        <v>0</v>
      </c>
      <c r="S88" s="26">
        <f t="shared" si="19"/>
        <v>0</v>
      </c>
      <c r="T88" s="26">
        <f t="shared" si="20"/>
        <v>0</v>
      </c>
      <c r="U88" s="26">
        <f t="shared" si="21"/>
        <v>0</v>
      </c>
      <c r="V88" s="26">
        <f t="shared" si="22"/>
        <v>0</v>
      </c>
    </row>
    <row r="89" spans="1:22" ht="15.75" x14ac:dyDescent="0.25">
      <c r="A89" s="5">
        <f>Student!A89</f>
        <v>0</v>
      </c>
      <c r="B89" s="21">
        <f>Student!B89</f>
        <v>0</v>
      </c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6">
        <f t="shared" si="13"/>
        <v>0</v>
      </c>
      <c r="N89" s="26">
        <f t="shared" si="14"/>
        <v>0</v>
      </c>
      <c r="O89" s="26">
        <f t="shared" si="15"/>
        <v>0</v>
      </c>
      <c r="P89" s="26">
        <f t="shared" si="16"/>
        <v>0</v>
      </c>
      <c r="Q89" s="26">
        <f t="shared" si="17"/>
        <v>0</v>
      </c>
      <c r="R89" s="26">
        <f t="shared" si="18"/>
        <v>0</v>
      </c>
      <c r="S89" s="26">
        <f t="shared" si="19"/>
        <v>0</v>
      </c>
      <c r="T89" s="26">
        <f t="shared" si="20"/>
        <v>0</v>
      </c>
      <c r="U89" s="26">
        <f t="shared" si="21"/>
        <v>0</v>
      </c>
      <c r="V89" s="26">
        <f t="shared" si="22"/>
        <v>0</v>
      </c>
    </row>
    <row r="90" spans="1:22" ht="15.75" x14ac:dyDescent="0.25">
      <c r="A90" s="5">
        <f>Student!A90</f>
        <v>0</v>
      </c>
      <c r="B90" s="21">
        <f>Student!B90</f>
        <v>0</v>
      </c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6">
        <f t="shared" si="13"/>
        <v>0</v>
      </c>
      <c r="N90" s="26">
        <f t="shared" si="14"/>
        <v>0</v>
      </c>
      <c r="O90" s="26">
        <f t="shared" si="15"/>
        <v>0</v>
      </c>
      <c r="P90" s="26">
        <f t="shared" si="16"/>
        <v>0</v>
      </c>
      <c r="Q90" s="26">
        <f t="shared" si="17"/>
        <v>0</v>
      </c>
      <c r="R90" s="26">
        <f t="shared" si="18"/>
        <v>0</v>
      </c>
      <c r="S90" s="26">
        <f t="shared" si="19"/>
        <v>0</v>
      </c>
      <c r="T90" s="26">
        <f t="shared" si="20"/>
        <v>0</v>
      </c>
      <c r="U90" s="26">
        <f t="shared" si="21"/>
        <v>0</v>
      </c>
      <c r="V90" s="26">
        <f t="shared" si="22"/>
        <v>0</v>
      </c>
    </row>
    <row r="91" spans="1:22" ht="15.75" x14ac:dyDescent="0.25">
      <c r="A91" s="5">
        <f>Student!A91</f>
        <v>0</v>
      </c>
      <c r="B91" s="21">
        <f>Student!B91</f>
        <v>0</v>
      </c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6">
        <f t="shared" si="13"/>
        <v>0</v>
      </c>
      <c r="N91" s="26">
        <f t="shared" si="14"/>
        <v>0</v>
      </c>
      <c r="O91" s="26">
        <f t="shared" si="15"/>
        <v>0</v>
      </c>
      <c r="P91" s="26">
        <f t="shared" si="16"/>
        <v>0</v>
      </c>
      <c r="Q91" s="26">
        <f t="shared" si="17"/>
        <v>0</v>
      </c>
      <c r="R91" s="26">
        <f t="shared" si="18"/>
        <v>0</v>
      </c>
      <c r="S91" s="26">
        <f t="shared" si="19"/>
        <v>0</v>
      </c>
      <c r="T91" s="26">
        <f t="shared" si="20"/>
        <v>0</v>
      </c>
      <c r="U91" s="26">
        <f t="shared" si="21"/>
        <v>0</v>
      </c>
      <c r="V91" s="26">
        <f t="shared" si="22"/>
        <v>0</v>
      </c>
    </row>
    <row r="92" spans="1:22" ht="15.75" x14ac:dyDescent="0.25">
      <c r="A92" s="5">
        <f>Student!A92</f>
        <v>0</v>
      </c>
      <c r="B92" s="21">
        <f>Student!B92</f>
        <v>0</v>
      </c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6">
        <f t="shared" si="13"/>
        <v>0</v>
      </c>
      <c r="N92" s="26">
        <f t="shared" si="14"/>
        <v>0</v>
      </c>
      <c r="O92" s="26">
        <f t="shared" si="15"/>
        <v>0</v>
      </c>
      <c r="P92" s="26">
        <f t="shared" si="16"/>
        <v>0</v>
      </c>
      <c r="Q92" s="26">
        <f t="shared" si="17"/>
        <v>0</v>
      </c>
      <c r="R92" s="26">
        <f t="shared" si="18"/>
        <v>0</v>
      </c>
      <c r="S92" s="26">
        <f t="shared" si="19"/>
        <v>0</v>
      </c>
      <c r="T92" s="26">
        <f t="shared" si="20"/>
        <v>0</v>
      </c>
      <c r="U92" s="26">
        <f t="shared" si="21"/>
        <v>0</v>
      </c>
      <c r="V92" s="26">
        <f t="shared" si="22"/>
        <v>0</v>
      </c>
    </row>
    <row r="93" spans="1:22" ht="15.75" x14ac:dyDescent="0.25">
      <c r="A93" s="5">
        <f>Student!A93</f>
        <v>0</v>
      </c>
      <c r="B93" s="21">
        <f>Student!B93</f>
        <v>0</v>
      </c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6">
        <f t="shared" si="13"/>
        <v>0</v>
      </c>
      <c r="N93" s="26">
        <f t="shared" si="14"/>
        <v>0</v>
      </c>
      <c r="O93" s="26">
        <f t="shared" si="15"/>
        <v>0</v>
      </c>
      <c r="P93" s="26">
        <f t="shared" si="16"/>
        <v>0</v>
      </c>
      <c r="Q93" s="26">
        <f t="shared" si="17"/>
        <v>0</v>
      </c>
      <c r="R93" s="26">
        <f t="shared" si="18"/>
        <v>0</v>
      </c>
      <c r="S93" s="26">
        <f t="shared" si="19"/>
        <v>0</v>
      </c>
      <c r="T93" s="26">
        <f t="shared" si="20"/>
        <v>0</v>
      </c>
      <c r="U93" s="26">
        <f t="shared" si="21"/>
        <v>0</v>
      </c>
      <c r="V93" s="26">
        <f t="shared" si="22"/>
        <v>0</v>
      </c>
    </row>
    <row r="94" spans="1:22" ht="15.75" x14ac:dyDescent="0.25">
      <c r="A94" s="5">
        <f>Student!A94</f>
        <v>0</v>
      </c>
      <c r="B94" s="21">
        <f>Student!B94</f>
        <v>0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6">
        <f t="shared" si="13"/>
        <v>0</v>
      </c>
      <c r="N94" s="26">
        <f t="shared" si="14"/>
        <v>0</v>
      </c>
      <c r="O94" s="26">
        <f t="shared" si="15"/>
        <v>0</v>
      </c>
      <c r="P94" s="26">
        <f t="shared" si="16"/>
        <v>0</v>
      </c>
      <c r="Q94" s="26">
        <f t="shared" si="17"/>
        <v>0</v>
      </c>
      <c r="R94" s="26">
        <f t="shared" si="18"/>
        <v>0</v>
      </c>
      <c r="S94" s="26">
        <f t="shared" si="19"/>
        <v>0</v>
      </c>
      <c r="T94" s="26">
        <f t="shared" si="20"/>
        <v>0</v>
      </c>
      <c r="U94" s="26">
        <f t="shared" si="21"/>
        <v>0</v>
      </c>
      <c r="V94" s="26">
        <f t="shared" si="22"/>
        <v>0</v>
      </c>
    </row>
    <row r="95" spans="1:22" ht="15.75" x14ac:dyDescent="0.25">
      <c r="A95" s="5">
        <f>Student!A95</f>
        <v>0</v>
      </c>
      <c r="B95" s="21">
        <f>Student!B95</f>
        <v>0</v>
      </c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6">
        <f t="shared" si="13"/>
        <v>0</v>
      </c>
      <c r="N95" s="26">
        <f t="shared" si="14"/>
        <v>0</v>
      </c>
      <c r="O95" s="26">
        <f t="shared" si="15"/>
        <v>0</v>
      </c>
      <c r="P95" s="26">
        <f t="shared" si="16"/>
        <v>0</v>
      </c>
      <c r="Q95" s="26">
        <f t="shared" si="17"/>
        <v>0</v>
      </c>
      <c r="R95" s="26">
        <f t="shared" si="18"/>
        <v>0</v>
      </c>
      <c r="S95" s="26">
        <f t="shared" si="19"/>
        <v>0</v>
      </c>
      <c r="T95" s="26">
        <f t="shared" si="20"/>
        <v>0</v>
      </c>
      <c r="U95" s="26">
        <f t="shared" si="21"/>
        <v>0</v>
      </c>
      <c r="V95" s="26">
        <f t="shared" si="22"/>
        <v>0</v>
      </c>
    </row>
    <row r="96" spans="1:22" ht="15.75" x14ac:dyDescent="0.25">
      <c r="A96" s="5">
        <f>Student!A96</f>
        <v>0</v>
      </c>
      <c r="B96" s="21">
        <f>Student!B96</f>
        <v>0</v>
      </c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6">
        <f t="shared" si="13"/>
        <v>0</v>
      </c>
      <c r="N96" s="26">
        <f t="shared" si="14"/>
        <v>0</v>
      </c>
      <c r="O96" s="26">
        <f t="shared" si="15"/>
        <v>0</v>
      </c>
      <c r="P96" s="26">
        <f t="shared" si="16"/>
        <v>0</v>
      </c>
      <c r="Q96" s="26">
        <f t="shared" si="17"/>
        <v>0</v>
      </c>
      <c r="R96" s="26">
        <f t="shared" si="18"/>
        <v>0</v>
      </c>
      <c r="S96" s="26">
        <f t="shared" si="19"/>
        <v>0</v>
      </c>
      <c r="T96" s="26">
        <f t="shared" si="20"/>
        <v>0</v>
      </c>
      <c r="U96" s="26">
        <f t="shared" si="21"/>
        <v>0</v>
      </c>
      <c r="V96" s="26">
        <f t="shared" si="22"/>
        <v>0</v>
      </c>
    </row>
    <row r="97" spans="1:22" ht="15.75" x14ac:dyDescent="0.25">
      <c r="A97" s="5">
        <f>Student!A97</f>
        <v>0</v>
      </c>
      <c r="B97" s="21">
        <f>Student!B97</f>
        <v>0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6">
        <f t="shared" si="13"/>
        <v>0</v>
      </c>
      <c r="N97" s="26">
        <f t="shared" si="14"/>
        <v>0</v>
      </c>
      <c r="O97" s="26">
        <f t="shared" si="15"/>
        <v>0</v>
      </c>
      <c r="P97" s="26">
        <f t="shared" si="16"/>
        <v>0</v>
      </c>
      <c r="Q97" s="26">
        <f t="shared" si="17"/>
        <v>0</v>
      </c>
      <c r="R97" s="26">
        <f t="shared" si="18"/>
        <v>0</v>
      </c>
      <c r="S97" s="26">
        <f t="shared" si="19"/>
        <v>0</v>
      </c>
      <c r="T97" s="26">
        <f t="shared" si="20"/>
        <v>0</v>
      </c>
      <c r="U97" s="26">
        <f t="shared" si="21"/>
        <v>0</v>
      </c>
      <c r="V97" s="26">
        <f t="shared" si="22"/>
        <v>0</v>
      </c>
    </row>
    <row r="98" spans="1:22" ht="15.75" x14ac:dyDescent="0.25">
      <c r="A98" s="5">
        <f>Student!A98</f>
        <v>0</v>
      </c>
      <c r="B98" s="21">
        <f>Student!B98</f>
        <v>0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6">
        <f t="shared" si="13"/>
        <v>0</v>
      </c>
      <c r="N98" s="26">
        <f t="shared" si="14"/>
        <v>0</v>
      </c>
      <c r="O98" s="26">
        <f t="shared" si="15"/>
        <v>0</v>
      </c>
      <c r="P98" s="26">
        <f t="shared" si="16"/>
        <v>0</v>
      </c>
      <c r="Q98" s="26">
        <f t="shared" si="17"/>
        <v>0</v>
      </c>
      <c r="R98" s="26">
        <f t="shared" si="18"/>
        <v>0</v>
      </c>
      <c r="S98" s="26">
        <f t="shared" si="19"/>
        <v>0</v>
      </c>
      <c r="T98" s="26">
        <f t="shared" si="20"/>
        <v>0</v>
      </c>
      <c r="U98" s="26">
        <f t="shared" si="21"/>
        <v>0</v>
      </c>
      <c r="V98" s="26">
        <f t="shared" si="22"/>
        <v>0</v>
      </c>
    </row>
    <row r="99" spans="1:22" ht="15.75" x14ac:dyDescent="0.25">
      <c r="L99" s="20"/>
    </row>
    <row r="100" spans="1:22" ht="15.75" x14ac:dyDescent="0.25">
      <c r="L100" s="20"/>
    </row>
    <row r="101" spans="1:22" ht="15.75" x14ac:dyDescent="0.25">
      <c r="L101" s="20"/>
    </row>
    <row r="102" spans="1:22" ht="15.75" x14ac:dyDescent="0.25">
      <c r="L102" s="20"/>
    </row>
    <row r="103" spans="1:22" ht="15.75" x14ac:dyDescent="0.25">
      <c r="L103" s="20"/>
    </row>
    <row r="104" spans="1:22" ht="15.75" x14ac:dyDescent="0.25">
      <c r="L104" s="20"/>
    </row>
    <row r="105" spans="1:22" ht="15.75" x14ac:dyDescent="0.25">
      <c r="L105" s="20"/>
    </row>
    <row r="106" spans="1:22" ht="15.75" x14ac:dyDescent="0.25">
      <c r="L106" s="20"/>
    </row>
    <row r="107" spans="1:22" ht="15.75" x14ac:dyDescent="0.25">
      <c r="L107" s="20"/>
    </row>
    <row r="108" spans="1:22" ht="15.75" x14ac:dyDescent="0.25">
      <c r="L108" s="20"/>
    </row>
    <row r="109" spans="1:22" ht="15.75" x14ac:dyDescent="0.25">
      <c r="L109" s="20"/>
    </row>
    <row r="110" spans="1:22" ht="15.75" x14ac:dyDescent="0.25">
      <c r="L110" s="20"/>
    </row>
    <row r="111" spans="1:22" ht="15.75" x14ac:dyDescent="0.25">
      <c r="L111" s="20"/>
    </row>
    <row r="112" spans="1:22" ht="15.75" x14ac:dyDescent="0.25">
      <c r="L112" s="20"/>
    </row>
    <row r="113" spans="12:12" ht="15.75" x14ac:dyDescent="0.25">
      <c r="L113" s="20"/>
    </row>
    <row r="114" spans="12:12" ht="15.75" x14ac:dyDescent="0.25">
      <c r="L114" s="20"/>
    </row>
    <row r="115" spans="12:12" ht="15.75" x14ac:dyDescent="0.25">
      <c r="L115" s="20"/>
    </row>
    <row r="116" spans="12:12" ht="15.75" x14ac:dyDescent="0.25">
      <c r="L116" s="20"/>
    </row>
    <row r="117" spans="12:12" ht="15.75" x14ac:dyDescent="0.25">
      <c r="L117" s="20"/>
    </row>
    <row r="121" spans="12:12" ht="15.75" x14ac:dyDescent="0.25">
      <c r="L121" s="24"/>
    </row>
    <row r="122" spans="12:12" ht="15.75" x14ac:dyDescent="0.25">
      <c r="L122" s="20"/>
    </row>
    <row r="123" spans="12:12" ht="15.75" x14ac:dyDescent="0.25">
      <c r="L123" s="20"/>
    </row>
    <row r="124" spans="12:12" ht="15.75" x14ac:dyDescent="0.25">
      <c r="L124" s="20"/>
    </row>
    <row r="125" spans="12:12" ht="15.75" x14ac:dyDescent="0.25">
      <c r="L125" s="20"/>
    </row>
    <row r="126" spans="12:12" ht="15.75" x14ac:dyDescent="0.25">
      <c r="L126" s="20"/>
    </row>
    <row r="127" spans="12:12" ht="15.75" x14ac:dyDescent="0.25">
      <c r="L127" s="20"/>
    </row>
    <row r="128" spans="12:12" ht="15.75" x14ac:dyDescent="0.25">
      <c r="L128" s="20"/>
    </row>
    <row r="129" spans="12:12" ht="15.75" x14ac:dyDescent="0.25">
      <c r="L129" s="20"/>
    </row>
    <row r="130" spans="12:12" ht="15.75" x14ac:dyDescent="0.25">
      <c r="L130" s="20"/>
    </row>
    <row r="131" spans="12:12" ht="15.75" x14ac:dyDescent="0.25">
      <c r="L131" s="20"/>
    </row>
    <row r="132" spans="12:12" ht="15.75" x14ac:dyDescent="0.25">
      <c r="L132" s="20"/>
    </row>
    <row r="133" spans="12:12" ht="15.75" x14ac:dyDescent="0.25">
      <c r="L133" s="20"/>
    </row>
    <row r="134" spans="12:12" ht="15.75" x14ac:dyDescent="0.25">
      <c r="L134" s="20"/>
    </row>
    <row r="135" spans="12:12" ht="15.75" x14ac:dyDescent="0.25">
      <c r="L135" s="20"/>
    </row>
    <row r="136" spans="12:12" ht="15.75" x14ac:dyDescent="0.25">
      <c r="L136" s="20"/>
    </row>
    <row r="137" spans="12:12" ht="15.75" x14ac:dyDescent="0.25">
      <c r="L137" s="20"/>
    </row>
    <row r="138" spans="12:12" ht="15.75" x14ac:dyDescent="0.25">
      <c r="L138" s="20"/>
    </row>
    <row r="139" spans="12:12" ht="15.75" x14ac:dyDescent="0.25">
      <c r="L139" s="20"/>
    </row>
    <row r="140" spans="12:12" ht="15.75" x14ac:dyDescent="0.25">
      <c r="L140" s="20"/>
    </row>
    <row r="141" spans="12:12" ht="15.75" x14ac:dyDescent="0.25">
      <c r="L141" s="20"/>
    </row>
    <row r="142" spans="12:12" ht="15.75" x14ac:dyDescent="0.25">
      <c r="L142" s="20"/>
    </row>
    <row r="143" spans="12:12" ht="15.75" x14ac:dyDescent="0.25">
      <c r="L143" s="20"/>
    </row>
    <row r="144" spans="12:12" ht="15.75" x14ac:dyDescent="0.25">
      <c r="L144" s="20"/>
    </row>
    <row r="145" spans="12:12" ht="15.75" x14ac:dyDescent="0.25">
      <c r="L145" s="20"/>
    </row>
    <row r="146" spans="12:12" ht="15.75" x14ac:dyDescent="0.25">
      <c r="L146" s="20"/>
    </row>
    <row r="147" spans="12:12" ht="15.75" x14ac:dyDescent="0.25">
      <c r="L147" s="20"/>
    </row>
    <row r="148" spans="12:12" ht="15.75" x14ac:dyDescent="0.25">
      <c r="L148" s="20"/>
    </row>
    <row r="149" spans="12:12" ht="15.75" x14ac:dyDescent="0.25">
      <c r="L149" s="20"/>
    </row>
    <row r="150" spans="12:12" ht="15.75" x14ac:dyDescent="0.25">
      <c r="L150" s="20"/>
    </row>
    <row r="151" spans="12:12" ht="15.75" x14ac:dyDescent="0.25">
      <c r="L151" s="20"/>
    </row>
    <row r="152" spans="12:12" ht="15.75" x14ac:dyDescent="0.25">
      <c r="L152" s="20"/>
    </row>
    <row r="153" spans="12:12" ht="15.75" x14ac:dyDescent="0.25">
      <c r="L153" s="20"/>
    </row>
    <row r="154" spans="12:12" ht="15.75" x14ac:dyDescent="0.25">
      <c r="L154" s="20"/>
    </row>
    <row r="155" spans="12:12" ht="15.75" x14ac:dyDescent="0.25">
      <c r="L155" s="20"/>
    </row>
    <row r="156" spans="12:12" ht="15.75" x14ac:dyDescent="0.25">
      <c r="L156" s="20"/>
    </row>
    <row r="157" spans="12:12" ht="15.75" x14ac:dyDescent="0.25">
      <c r="L157" s="20"/>
    </row>
    <row r="158" spans="12:12" ht="15.75" x14ac:dyDescent="0.25">
      <c r="L158" s="20"/>
    </row>
    <row r="159" spans="12:12" ht="15.75" x14ac:dyDescent="0.25">
      <c r="L159" s="20"/>
    </row>
    <row r="160" spans="12:12" ht="15.75" x14ac:dyDescent="0.25">
      <c r="L160" s="20"/>
    </row>
    <row r="161" spans="12:12" ht="15.75" x14ac:dyDescent="0.25">
      <c r="L161" s="20"/>
    </row>
    <row r="162" spans="12:12" ht="15.75" x14ac:dyDescent="0.25">
      <c r="L162" s="20"/>
    </row>
    <row r="163" spans="12:12" ht="15.75" x14ac:dyDescent="0.25">
      <c r="L163" s="20"/>
    </row>
    <row r="164" spans="12:12" ht="15.75" x14ac:dyDescent="0.25">
      <c r="L164" s="20"/>
    </row>
    <row r="165" spans="12:12" ht="15.75" x14ac:dyDescent="0.25">
      <c r="L165" s="20"/>
    </row>
    <row r="166" spans="12:12" ht="15.75" x14ac:dyDescent="0.25">
      <c r="L166" s="20"/>
    </row>
    <row r="167" spans="12:12" ht="15.75" x14ac:dyDescent="0.25">
      <c r="L167" s="20"/>
    </row>
    <row r="168" spans="12:12" ht="15.75" x14ac:dyDescent="0.25">
      <c r="L168" s="20"/>
    </row>
    <row r="169" spans="12:12" ht="15.75" x14ac:dyDescent="0.25">
      <c r="L169" s="20"/>
    </row>
    <row r="170" spans="12:12" ht="15.75" x14ac:dyDescent="0.25">
      <c r="L170" s="20"/>
    </row>
    <row r="171" spans="12:12" ht="15.75" x14ac:dyDescent="0.25">
      <c r="L171" s="20"/>
    </row>
    <row r="172" spans="12:12" ht="15.75" x14ac:dyDescent="0.25">
      <c r="L172" s="20"/>
    </row>
    <row r="173" spans="12:12" ht="15.75" x14ac:dyDescent="0.25">
      <c r="L173" s="20"/>
    </row>
    <row r="174" spans="12:12" ht="15.75" x14ac:dyDescent="0.25">
      <c r="L174" s="20"/>
    </row>
    <row r="175" spans="12:12" ht="15.75" x14ac:dyDescent="0.25">
      <c r="L175" s="20"/>
    </row>
    <row r="176" spans="12:12" ht="15.75" x14ac:dyDescent="0.25">
      <c r="L176" s="20"/>
    </row>
    <row r="177" spans="12:12" ht="15.75" x14ac:dyDescent="0.25">
      <c r="L177" s="20"/>
    </row>
    <row r="178" spans="12:12" ht="15.75" x14ac:dyDescent="0.25">
      <c r="L178" s="20"/>
    </row>
    <row r="179" spans="12:12" ht="15.75" x14ac:dyDescent="0.25">
      <c r="L179" s="20"/>
    </row>
  </sheetData>
  <dataValidations count="1">
    <dataValidation type="whole" allowBlank="1" showInputMessage="1" showErrorMessage="1" errorTitle="Invalid Entery!" error="Value shoud not be more than 100." sqref="C2:L50 C52:L190 F51:L51 C51:D51" xr:uid="{00000000-0002-0000-0C00-000000000000}">
      <formula1>0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103"/>
  <sheetViews>
    <sheetView topLeftCell="A52" workbookViewId="0">
      <selection activeCell="C50" sqref="C50"/>
    </sheetView>
  </sheetViews>
  <sheetFormatPr defaultRowHeight="15" x14ac:dyDescent="0.25"/>
  <cols>
    <col min="1" max="1" width="57" customWidth="1"/>
  </cols>
  <sheetData>
    <row r="1" spans="1:11" ht="154.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">
        <v>205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30</v>
      </c>
      <c r="C2" s="1">
        <v>22</v>
      </c>
      <c r="D2" s="41">
        <v>16</v>
      </c>
      <c r="E2" s="1">
        <v>24</v>
      </c>
      <c r="F2" s="1">
        <v>24</v>
      </c>
      <c r="G2" s="1">
        <v>8</v>
      </c>
      <c r="H2" s="1">
        <v>5</v>
      </c>
      <c r="I2" s="1">
        <v>14</v>
      </c>
      <c r="J2" s="42">
        <v>18</v>
      </c>
      <c r="K2" s="1">
        <v>24</v>
      </c>
    </row>
    <row r="3" spans="1:11" ht="15.75" x14ac:dyDescent="0.25">
      <c r="A3" s="1" t="str">
        <f>Student!B3</f>
        <v xml:space="preserve">AGBENU JORDAN </v>
      </c>
      <c r="B3" s="1">
        <v>17</v>
      </c>
      <c r="C3" s="1">
        <v>16</v>
      </c>
      <c r="D3" s="41">
        <v>13</v>
      </c>
      <c r="E3" s="1">
        <v>9</v>
      </c>
      <c r="F3" s="1">
        <v>20</v>
      </c>
      <c r="G3" s="1">
        <v>8</v>
      </c>
      <c r="H3" s="1">
        <v>14</v>
      </c>
      <c r="I3" s="1">
        <v>12</v>
      </c>
      <c r="J3" s="42">
        <v>7</v>
      </c>
      <c r="K3" s="1">
        <v>20</v>
      </c>
    </row>
    <row r="4" spans="1:11" ht="15.75" x14ac:dyDescent="0.25">
      <c r="A4" s="1" t="str">
        <f>Student!B4</f>
        <v>AGBO PRINCE</v>
      </c>
      <c r="B4" s="1">
        <v>18</v>
      </c>
      <c r="C4" s="1">
        <v>19</v>
      </c>
      <c r="D4" s="41">
        <v>17</v>
      </c>
      <c r="E4" s="1">
        <v>18</v>
      </c>
      <c r="F4" s="1">
        <v>18</v>
      </c>
      <c r="G4" s="1">
        <v>13</v>
      </c>
      <c r="H4" s="1">
        <v>19</v>
      </c>
      <c r="I4" s="1">
        <v>14</v>
      </c>
      <c r="J4" s="42">
        <v>21</v>
      </c>
      <c r="K4" s="1">
        <v>18</v>
      </c>
    </row>
    <row r="5" spans="1:11" ht="15.75" x14ac:dyDescent="0.25">
      <c r="A5" s="1" t="str">
        <f>Student!B5</f>
        <v xml:space="preserve">AGBOTSE EBENEZER </v>
      </c>
      <c r="B5" s="1">
        <v>12</v>
      </c>
      <c r="C5" s="1">
        <v>20</v>
      </c>
      <c r="D5" s="41">
        <v>8</v>
      </c>
      <c r="E5" s="1">
        <v>30</v>
      </c>
      <c r="F5" s="1">
        <v>21</v>
      </c>
      <c r="G5" s="1">
        <v>8</v>
      </c>
      <c r="H5" s="1">
        <v>16</v>
      </c>
      <c r="I5" s="1">
        <v>8</v>
      </c>
      <c r="J5" s="42">
        <v>1</v>
      </c>
      <c r="K5" s="1">
        <v>21</v>
      </c>
    </row>
    <row r="6" spans="1:11" ht="15.75" x14ac:dyDescent="0.25">
      <c r="A6" s="1" t="str">
        <f>Student!B6</f>
        <v xml:space="preserve">APPIAH EMMANUEL </v>
      </c>
      <c r="B6" s="1">
        <v>23</v>
      </c>
      <c r="C6" s="1">
        <v>16</v>
      </c>
      <c r="D6" s="41">
        <v>13</v>
      </c>
      <c r="E6" s="1">
        <v>2</v>
      </c>
      <c r="F6" s="1">
        <v>23</v>
      </c>
      <c r="G6" s="1">
        <v>8</v>
      </c>
      <c r="H6" s="1">
        <v>10</v>
      </c>
      <c r="I6" s="1">
        <v>4</v>
      </c>
      <c r="J6" s="42">
        <v>4</v>
      </c>
      <c r="K6" s="1">
        <v>23</v>
      </c>
    </row>
    <row r="7" spans="1:11" ht="15.75" x14ac:dyDescent="0.25">
      <c r="A7" s="1" t="str">
        <f>Student!B7</f>
        <v xml:space="preserve">ASARE RICHMOND </v>
      </c>
      <c r="B7" s="1">
        <v>16</v>
      </c>
      <c r="C7" s="1">
        <v>18</v>
      </c>
      <c r="D7" s="41">
        <v>18</v>
      </c>
      <c r="E7" s="1">
        <v>12</v>
      </c>
      <c r="F7" s="1">
        <v>12</v>
      </c>
      <c r="G7" s="1">
        <v>8</v>
      </c>
      <c r="H7" s="1">
        <v>5</v>
      </c>
      <c r="I7" s="1">
        <v>5</v>
      </c>
      <c r="J7" s="42">
        <v>7</v>
      </c>
      <c r="K7" s="1">
        <v>12</v>
      </c>
    </row>
    <row r="8" spans="1:11" ht="15.75" x14ac:dyDescent="0.25">
      <c r="A8" s="1" t="str">
        <f>Student!B8</f>
        <v xml:space="preserve">ASIAMAH JOSEPH </v>
      </c>
      <c r="B8" s="1">
        <v>18</v>
      </c>
      <c r="C8" s="1">
        <v>19</v>
      </c>
      <c r="D8" s="41">
        <v>11</v>
      </c>
      <c r="E8" s="1">
        <v>2</v>
      </c>
      <c r="F8" s="1">
        <v>18</v>
      </c>
      <c r="G8" s="1">
        <v>8</v>
      </c>
      <c r="H8" s="1">
        <v>5</v>
      </c>
      <c r="I8" s="1">
        <v>15</v>
      </c>
      <c r="J8" s="42">
        <v>7</v>
      </c>
      <c r="K8" s="1">
        <v>2</v>
      </c>
    </row>
    <row r="9" spans="1:11" ht="15.75" x14ac:dyDescent="0.25">
      <c r="A9" s="1" t="str">
        <f>Student!B9</f>
        <v>AWUAH KEKELI JERRY</v>
      </c>
      <c r="B9" s="1">
        <v>20</v>
      </c>
      <c r="C9" s="1">
        <v>18</v>
      </c>
      <c r="D9" s="41">
        <v>15</v>
      </c>
      <c r="E9" s="1">
        <v>15</v>
      </c>
      <c r="F9" s="1">
        <v>15</v>
      </c>
      <c r="G9" s="1">
        <v>8</v>
      </c>
      <c r="H9" s="1">
        <v>10</v>
      </c>
      <c r="I9" s="1">
        <v>17</v>
      </c>
      <c r="J9" s="42">
        <v>2</v>
      </c>
      <c r="K9" s="1">
        <v>15</v>
      </c>
    </row>
    <row r="10" spans="1:11" ht="15.75" x14ac:dyDescent="0.25">
      <c r="A10" s="1" t="str">
        <f>Student!B10</f>
        <v xml:space="preserve">BAWA BASSIT </v>
      </c>
      <c r="B10" s="1">
        <v>20</v>
      </c>
      <c r="C10" s="1">
        <v>20</v>
      </c>
      <c r="D10" s="41">
        <v>16</v>
      </c>
      <c r="E10" s="1">
        <v>21</v>
      </c>
      <c r="F10" s="1">
        <v>21</v>
      </c>
      <c r="G10" s="1">
        <v>17</v>
      </c>
      <c r="H10" s="1">
        <v>12</v>
      </c>
      <c r="I10" s="1">
        <v>17</v>
      </c>
      <c r="J10" s="42">
        <v>15</v>
      </c>
      <c r="K10" s="1">
        <v>21</v>
      </c>
    </row>
    <row r="11" spans="1:11" ht="15.75" x14ac:dyDescent="0.25">
      <c r="A11" s="1" t="str">
        <f>Student!B11</f>
        <v xml:space="preserve">DANQWAH PHILIP </v>
      </c>
      <c r="B11" s="1">
        <v>21</v>
      </c>
      <c r="C11" s="1">
        <v>17</v>
      </c>
      <c r="D11" s="41">
        <v>15</v>
      </c>
      <c r="E11" s="1">
        <v>21</v>
      </c>
      <c r="F11" s="1">
        <v>21</v>
      </c>
      <c r="G11" s="1">
        <v>10</v>
      </c>
      <c r="H11" s="1">
        <v>12</v>
      </c>
      <c r="I11" s="1">
        <v>14</v>
      </c>
      <c r="J11" s="42">
        <v>9</v>
      </c>
      <c r="K11" s="1">
        <v>21</v>
      </c>
    </row>
    <row r="12" spans="1:11" ht="15.75" x14ac:dyDescent="0.25">
      <c r="A12" s="1" t="str">
        <f>Student!B12</f>
        <v>DEDIHA GIDEON</v>
      </c>
      <c r="B12" s="1">
        <v>16</v>
      </c>
      <c r="C12" s="1">
        <v>18</v>
      </c>
      <c r="D12" s="41">
        <v>7</v>
      </c>
      <c r="E12" s="1">
        <v>2</v>
      </c>
      <c r="F12" s="1">
        <v>17</v>
      </c>
      <c r="G12" s="1">
        <v>10</v>
      </c>
      <c r="H12" s="1">
        <v>5</v>
      </c>
      <c r="I12" s="1">
        <v>17</v>
      </c>
      <c r="J12" s="42">
        <v>10</v>
      </c>
      <c r="K12" s="1">
        <v>17</v>
      </c>
    </row>
    <row r="13" spans="1:11" ht="15.75" x14ac:dyDescent="0.25">
      <c r="A13" s="1" t="str">
        <f>Student!B13</f>
        <v xml:space="preserve">ENCHILL KENNETH  </v>
      </c>
      <c r="B13" s="1">
        <v>24</v>
      </c>
      <c r="C13" s="1">
        <v>22</v>
      </c>
      <c r="D13" s="41">
        <v>14</v>
      </c>
      <c r="E13" s="1">
        <v>6</v>
      </c>
      <c r="F13" s="1">
        <v>16</v>
      </c>
      <c r="G13" s="1">
        <v>8</v>
      </c>
      <c r="H13" s="1">
        <v>17</v>
      </c>
      <c r="I13" s="1">
        <v>14</v>
      </c>
      <c r="J13" s="42">
        <v>11</v>
      </c>
      <c r="K13" s="1">
        <v>16</v>
      </c>
    </row>
    <row r="14" spans="1:11" ht="15.75" x14ac:dyDescent="0.25">
      <c r="A14" s="1" t="str">
        <f>Student!B14</f>
        <v xml:space="preserve">ENTSIE FRANCIS </v>
      </c>
      <c r="B14" s="1">
        <v>18</v>
      </c>
      <c r="C14" s="1">
        <v>17</v>
      </c>
      <c r="D14" s="41">
        <v>20</v>
      </c>
      <c r="E14" s="1">
        <v>30</v>
      </c>
      <c r="F14" s="1">
        <v>18</v>
      </c>
      <c r="G14" s="1">
        <v>8</v>
      </c>
      <c r="H14" s="1">
        <v>18</v>
      </c>
      <c r="I14" s="1">
        <v>17</v>
      </c>
      <c r="J14" s="42">
        <v>11</v>
      </c>
      <c r="K14" s="1">
        <v>18</v>
      </c>
    </row>
    <row r="15" spans="1:11" ht="15.75" x14ac:dyDescent="0.25">
      <c r="A15" s="1" t="str">
        <f>Student!B15</f>
        <v xml:space="preserve">ESHUN EVANS </v>
      </c>
      <c r="B15" s="1">
        <v>20</v>
      </c>
      <c r="C15" s="1">
        <v>20</v>
      </c>
      <c r="D15" s="41">
        <v>11</v>
      </c>
      <c r="E15" s="1">
        <v>2</v>
      </c>
      <c r="F15" s="1">
        <v>18</v>
      </c>
      <c r="G15" s="1">
        <v>8</v>
      </c>
      <c r="H15" s="1">
        <v>5</v>
      </c>
      <c r="I15" s="1">
        <v>17</v>
      </c>
      <c r="J15" s="42">
        <v>6</v>
      </c>
      <c r="K15" s="1">
        <v>18</v>
      </c>
    </row>
    <row r="16" spans="1:11" ht="15.75" x14ac:dyDescent="0.25">
      <c r="A16" s="1" t="str">
        <f>Student!B16</f>
        <v xml:space="preserve">GOMASHIE PRINCE </v>
      </c>
      <c r="B16" s="1">
        <v>27</v>
      </c>
      <c r="C16" s="1">
        <v>23</v>
      </c>
      <c r="D16" s="41">
        <v>11</v>
      </c>
      <c r="E16" s="1">
        <v>9</v>
      </c>
      <c r="F16" s="1">
        <v>18</v>
      </c>
      <c r="G16" s="1">
        <v>8</v>
      </c>
      <c r="H16" s="1">
        <v>19</v>
      </c>
      <c r="I16" s="1">
        <v>17</v>
      </c>
      <c r="J16" s="42">
        <v>10</v>
      </c>
      <c r="K16" s="1">
        <v>18</v>
      </c>
    </row>
    <row r="17" spans="1:11" ht="15.75" x14ac:dyDescent="0.25">
      <c r="A17" s="1" t="str">
        <f>Student!B17</f>
        <v xml:space="preserve">NUMEGBOR WISDOM </v>
      </c>
      <c r="B17" s="1">
        <v>27</v>
      </c>
      <c r="C17" s="1">
        <v>23</v>
      </c>
      <c r="D17" s="41">
        <v>13</v>
      </c>
      <c r="E17" s="1">
        <v>2</v>
      </c>
      <c r="F17" s="1">
        <v>18</v>
      </c>
      <c r="G17" s="1">
        <v>8</v>
      </c>
      <c r="H17" s="1">
        <v>7</v>
      </c>
      <c r="I17" s="1">
        <v>13</v>
      </c>
      <c r="J17" s="42">
        <v>7</v>
      </c>
      <c r="K17" s="1">
        <v>18</v>
      </c>
    </row>
    <row r="18" spans="1:11" ht="15.75" x14ac:dyDescent="0.25">
      <c r="A18" s="1" t="str">
        <f>Student!B18</f>
        <v xml:space="preserve">OFFEI JUSTICE </v>
      </c>
      <c r="B18" s="1">
        <v>24</v>
      </c>
      <c r="C18" s="1">
        <v>22</v>
      </c>
      <c r="D18" s="41">
        <v>13</v>
      </c>
      <c r="E18" s="1">
        <v>21</v>
      </c>
      <c r="F18" s="1">
        <v>21</v>
      </c>
      <c r="G18" s="1">
        <v>8</v>
      </c>
      <c r="H18" s="1">
        <v>5</v>
      </c>
      <c r="I18" s="1">
        <v>19</v>
      </c>
      <c r="J18" s="42">
        <v>19</v>
      </c>
      <c r="K18" s="1">
        <v>12</v>
      </c>
    </row>
    <row r="19" spans="1:11" ht="15.75" x14ac:dyDescent="0.25">
      <c r="A19" s="1" t="str">
        <f>Student!B19</f>
        <v xml:space="preserve">OSEI BELVIS </v>
      </c>
      <c r="B19" s="1">
        <v>24</v>
      </c>
      <c r="C19" s="1">
        <v>19</v>
      </c>
      <c r="D19" s="41">
        <v>10</v>
      </c>
      <c r="E19" s="1">
        <v>30</v>
      </c>
      <c r="F19" s="1">
        <v>26</v>
      </c>
      <c r="G19" s="1">
        <v>8</v>
      </c>
      <c r="H19" s="1">
        <v>5</v>
      </c>
      <c r="I19" s="1">
        <v>18</v>
      </c>
      <c r="J19" s="42">
        <v>2</v>
      </c>
      <c r="K19" s="1">
        <v>21</v>
      </c>
    </row>
    <row r="20" spans="1:11" ht="15.75" x14ac:dyDescent="0.25">
      <c r="A20" s="1" t="str">
        <f>Student!B20</f>
        <v xml:space="preserve">OTU KOFI SOLOMON  </v>
      </c>
      <c r="B20" s="1">
        <v>18</v>
      </c>
      <c r="C20" s="1">
        <v>21</v>
      </c>
      <c r="D20" s="41">
        <v>11</v>
      </c>
      <c r="E20" s="1">
        <v>15</v>
      </c>
      <c r="F20" s="1">
        <v>18</v>
      </c>
      <c r="G20" s="1">
        <v>14</v>
      </c>
      <c r="H20" s="1">
        <v>16</v>
      </c>
      <c r="I20" s="1">
        <v>12</v>
      </c>
      <c r="J20" s="42">
        <v>4</v>
      </c>
      <c r="K20" s="1">
        <v>26</v>
      </c>
    </row>
    <row r="21" spans="1:11" ht="15.75" x14ac:dyDescent="0.25">
      <c r="A21" s="1" t="str">
        <f>Student!B21</f>
        <v xml:space="preserve">OWUSU RUBEN </v>
      </c>
      <c r="B21" s="1">
        <v>22</v>
      </c>
      <c r="C21" s="1">
        <v>21</v>
      </c>
      <c r="D21" s="41">
        <v>2</v>
      </c>
      <c r="E21" s="1">
        <v>2</v>
      </c>
      <c r="F21" s="1">
        <v>18</v>
      </c>
      <c r="G21" s="1">
        <v>8</v>
      </c>
      <c r="H21" s="1">
        <v>5</v>
      </c>
      <c r="I21" s="1">
        <v>14</v>
      </c>
      <c r="J21" s="42">
        <v>2</v>
      </c>
      <c r="K21" s="1">
        <v>18</v>
      </c>
    </row>
    <row r="22" spans="1:11" ht="15.75" x14ac:dyDescent="0.25">
      <c r="A22" s="1" t="str">
        <f>Student!B22</f>
        <v xml:space="preserve">SEIDU IBRAHIM </v>
      </c>
      <c r="B22" s="1">
        <v>21</v>
      </c>
      <c r="C22" s="1">
        <v>21</v>
      </c>
      <c r="D22" s="41">
        <v>2</v>
      </c>
      <c r="E22" s="1">
        <v>2</v>
      </c>
      <c r="F22" s="1">
        <v>18</v>
      </c>
      <c r="G22" s="1">
        <v>8</v>
      </c>
      <c r="H22" s="1">
        <v>5</v>
      </c>
      <c r="I22" s="1">
        <v>17</v>
      </c>
      <c r="J22" s="42">
        <v>2</v>
      </c>
      <c r="K22" s="1">
        <v>18</v>
      </c>
    </row>
    <row r="23" spans="1:11" ht="15.75" x14ac:dyDescent="0.25">
      <c r="A23" s="1" t="str">
        <f>Student!B23</f>
        <v xml:space="preserve">TAGBOR MICHAEL </v>
      </c>
      <c r="B23" s="1">
        <v>16</v>
      </c>
      <c r="C23" s="1">
        <v>18</v>
      </c>
      <c r="D23" s="41">
        <v>7</v>
      </c>
      <c r="E23" s="1">
        <v>4</v>
      </c>
      <c r="F23" s="1">
        <v>17</v>
      </c>
      <c r="G23" s="1">
        <v>10</v>
      </c>
      <c r="H23" s="1">
        <v>5</v>
      </c>
      <c r="I23" s="1">
        <v>15</v>
      </c>
      <c r="J23" s="42">
        <v>9</v>
      </c>
      <c r="K23" s="1">
        <v>18</v>
      </c>
    </row>
    <row r="24" spans="1:11" ht="15.75" x14ac:dyDescent="0.25">
      <c r="A24" s="1" t="str">
        <f>Student!B24</f>
        <v xml:space="preserve">ACQUAH PRISCILLA  </v>
      </c>
      <c r="B24" s="1">
        <v>28</v>
      </c>
      <c r="C24" s="1">
        <v>21</v>
      </c>
      <c r="D24" s="41">
        <v>2</v>
      </c>
      <c r="E24" s="1">
        <v>15</v>
      </c>
      <c r="F24" s="1">
        <v>15</v>
      </c>
      <c r="G24" s="1">
        <v>15</v>
      </c>
      <c r="H24" s="1">
        <v>23</v>
      </c>
      <c r="I24" s="1">
        <v>13</v>
      </c>
      <c r="J24" s="42">
        <v>11</v>
      </c>
      <c r="K24" s="1">
        <v>17</v>
      </c>
    </row>
    <row r="25" spans="1:11" ht="15.75" x14ac:dyDescent="0.25">
      <c r="A25" s="1" t="str">
        <f>Student!B25</f>
        <v xml:space="preserve">ADI ROSE  </v>
      </c>
      <c r="B25" s="1">
        <v>25</v>
      </c>
      <c r="C25" s="1">
        <v>23</v>
      </c>
      <c r="D25" s="41">
        <v>2</v>
      </c>
      <c r="E25" s="1">
        <v>24</v>
      </c>
      <c r="F25" s="1">
        <v>24</v>
      </c>
      <c r="G25" s="1">
        <v>8</v>
      </c>
      <c r="H25" s="1">
        <v>13</v>
      </c>
      <c r="I25" s="1">
        <v>12</v>
      </c>
      <c r="J25" s="42">
        <v>5</v>
      </c>
      <c r="K25" s="1">
        <v>15</v>
      </c>
    </row>
    <row r="26" spans="1:11" ht="15.75" x14ac:dyDescent="0.25">
      <c r="A26" s="1" t="str">
        <f>Student!B26</f>
        <v xml:space="preserve">ADOMAKO PRISCILLA  </v>
      </c>
      <c r="B26" s="1">
        <v>14</v>
      </c>
      <c r="C26" s="1">
        <v>17</v>
      </c>
      <c r="D26" s="41">
        <v>2</v>
      </c>
      <c r="E26" s="1">
        <v>18</v>
      </c>
      <c r="F26" s="1">
        <v>18</v>
      </c>
      <c r="G26" s="1">
        <v>8</v>
      </c>
      <c r="H26" s="1">
        <v>5</v>
      </c>
      <c r="I26" s="1">
        <v>11</v>
      </c>
      <c r="J26" s="42">
        <v>12</v>
      </c>
      <c r="K26" s="1">
        <v>12</v>
      </c>
    </row>
    <row r="27" spans="1:11" ht="15.75" x14ac:dyDescent="0.25">
      <c r="A27" s="1" t="str">
        <f>Student!B27</f>
        <v xml:space="preserve">AGBEMAZI PRECIOUS  </v>
      </c>
      <c r="B27" s="1">
        <v>29</v>
      </c>
      <c r="C27" s="1">
        <v>23</v>
      </c>
      <c r="D27" s="41">
        <v>14</v>
      </c>
      <c r="E27" s="1">
        <v>12</v>
      </c>
      <c r="F27" s="1">
        <v>12</v>
      </c>
      <c r="G27" s="1">
        <v>16</v>
      </c>
      <c r="H27" s="1">
        <v>5</v>
      </c>
      <c r="I27" s="1">
        <v>14</v>
      </c>
      <c r="J27" s="42">
        <v>6</v>
      </c>
      <c r="K27" s="1">
        <v>12</v>
      </c>
    </row>
    <row r="28" spans="1:11" ht="15.75" x14ac:dyDescent="0.25">
      <c r="A28" s="1" t="str">
        <f>Student!B28</f>
        <v xml:space="preserve">AGBENYEFIA BRIDGET </v>
      </c>
      <c r="B28" s="1">
        <v>20</v>
      </c>
      <c r="C28" s="1">
        <v>16</v>
      </c>
      <c r="D28" s="41">
        <v>2</v>
      </c>
      <c r="E28" s="1">
        <v>12</v>
      </c>
      <c r="F28" s="1">
        <v>12</v>
      </c>
      <c r="G28" s="1">
        <v>8</v>
      </c>
      <c r="H28" s="1">
        <v>5</v>
      </c>
      <c r="I28" s="1">
        <v>14</v>
      </c>
      <c r="J28" s="42">
        <v>8</v>
      </c>
      <c r="K28" s="1">
        <v>18</v>
      </c>
    </row>
    <row r="29" spans="1:11" ht="15.75" x14ac:dyDescent="0.25">
      <c r="A29" s="1" t="str">
        <f>Student!B29</f>
        <v xml:space="preserve">AKATAYURE REGINA  </v>
      </c>
      <c r="B29" s="1">
        <v>20</v>
      </c>
      <c r="C29" s="1">
        <v>20</v>
      </c>
      <c r="D29" s="41">
        <v>2</v>
      </c>
      <c r="E29" s="1">
        <v>18</v>
      </c>
      <c r="F29" s="1">
        <v>18</v>
      </c>
      <c r="G29" s="1">
        <v>8</v>
      </c>
      <c r="H29" s="1">
        <v>12</v>
      </c>
      <c r="I29" s="1">
        <v>17</v>
      </c>
      <c r="J29" s="42">
        <v>12</v>
      </c>
      <c r="K29" s="1">
        <v>6</v>
      </c>
    </row>
    <row r="30" spans="1:11" ht="15.75" x14ac:dyDescent="0.25">
      <c r="A30" s="1" t="str">
        <f>Student!B30</f>
        <v>AKROFI DORCAS</v>
      </c>
      <c r="B30" s="1">
        <v>15</v>
      </c>
      <c r="C30" s="1">
        <v>29</v>
      </c>
      <c r="D30" s="41">
        <v>2</v>
      </c>
      <c r="E30" s="1">
        <v>6</v>
      </c>
      <c r="F30" s="1">
        <v>6</v>
      </c>
      <c r="G30" s="1">
        <v>8</v>
      </c>
      <c r="H30" s="1">
        <v>5</v>
      </c>
      <c r="I30" s="1">
        <v>19</v>
      </c>
      <c r="J30" s="42">
        <v>21</v>
      </c>
      <c r="K30" s="1">
        <v>12</v>
      </c>
    </row>
    <row r="31" spans="1:11" ht="15.75" x14ac:dyDescent="0.25">
      <c r="A31" s="1" t="str">
        <f>Student!B31</f>
        <v xml:space="preserve">AMOAH SAFOA </v>
      </c>
      <c r="B31" s="1">
        <v>28</v>
      </c>
      <c r="C31" s="1">
        <v>21</v>
      </c>
      <c r="D31" s="41">
        <v>14</v>
      </c>
      <c r="E31" s="1">
        <v>12</v>
      </c>
      <c r="F31" s="1">
        <v>18</v>
      </c>
      <c r="G31" s="1">
        <v>8</v>
      </c>
      <c r="H31" s="1">
        <v>5</v>
      </c>
      <c r="I31" s="1">
        <v>12</v>
      </c>
      <c r="J31" s="42">
        <v>19</v>
      </c>
      <c r="K31" s="1">
        <v>2</v>
      </c>
    </row>
    <row r="32" spans="1:11" ht="15.75" x14ac:dyDescent="0.25">
      <c r="A32" s="1" t="str">
        <f>Student!B32</f>
        <v>ANIM AMOAH NHYIRABA</v>
      </c>
      <c r="B32" s="1">
        <v>22</v>
      </c>
      <c r="C32" s="1">
        <v>21</v>
      </c>
      <c r="D32" s="41">
        <v>14</v>
      </c>
      <c r="E32" s="1">
        <v>2</v>
      </c>
      <c r="F32" s="1">
        <v>15</v>
      </c>
      <c r="G32" s="1">
        <v>8</v>
      </c>
      <c r="H32" s="1">
        <v>5</v>
      </c>
      <c r="I32" s="1">
        <v>2</v>
      </c>
      <c r="J32" s="42">
        <v>9</v>
      </c>
      <c r="K32" s="1">
        <v>18</v>
      </c>
    </row>
    <row r="33" spans="1:11" ht="15.75" x14ac:dyDescent="0.25">
      <c r="A33" s="1" t="str">
        <f>Student!B33</f>
        <v xml:space="preserve">APPIAH GLADYS  </v>
      </c>
      <c r="B33" s="1">
        <v>30</v>
      </c>
      <c r="C33" s="1">
        <v>24</v>
      </c>
      <c r="D33" s="41">
        <v>2</v>
      </c>
      <c r="E33" s="1">
        <v>18</v>
      </c>
      <c r="F33" s="1">
        <v>24</v>
      </c>
      <c r="G33" s="1">
        <v>8</v>
      </c>
      <c r="H33" s="1">
        <v>17</v>
      </c>
      <c r="I33" s="1">
        <v>17</v>
      </c>
      <c r="J33" s="42">
        <v>6</v>
      </c>
      <c r="K33" s="1">
        <v>15</v>
      </c>
    </row>
    <row r="34" spans="1:11" ht="15.75" x14ac:dyDescent="0.25">
      <c r="A34" s="1" t="str">
        <f>Student!B34</f>
        <v xml:space="preserve">ASAMOAH STELLA  </v>
      </c>
      <c r="B34" s="1">
        <v>29</v>
      </c>
      <c r="C34" s="1">
        <v>22</v>
      </c>
      <c r="D34" s="41">
        <v>2</v>
      </c>
      <c r="E34" s="1">
        <v>15</v>
      </c>
      <c r="F34" s="1">
        <v>6</v>
      </c>
      <c r="G34" s="1">
        <v>8</v>
      </c>
      <c r="H34" s="1">
        <v>5</v>
      </c>
      <c r="I34" s="1">
        <v>16</v>
      </c>
      <c r="J34" s="42">
        <v>5</v>
      </c>
      <c r="K34" s="1">
        <v>24</v>
      </c>
    </row>
    <row r="35" spans="1:11" ht="15.75" x14ac:dyDescent="0.25">
      <c r="A35" s="1" t="str">
        <f>Student!B35</f>
        <v xml:space="preserve">ASHANGBOR ABIGAIL  </v>
      </c>
      <c r="B35" s="1">
        <v>19</v>
      </c>
      <c r="C35" s="1">
        <v>20</v>
      </c>
      <c r="D35" s="41">
        <v>11</v>
      </c>
      <c r="E35" s="1">
        <v>24</v>
      </c>
      <c r="F35" s="1">
        <v>30</v>
      </c>
      <c r="G35" s="1">
        <v>2</v>
      </c>
      <c r="H35" s="1">
        <v>11</v>
      </c>
      <c r="I35" s="1">
        <v>12</v>
      </c>
      <c r="J35" s="42">
        <v>16</v>
      </c>
      <c r="K35" s="1">
        <v>6</v>
      </c>
    </row>
    <row r="36" spans="1:11" ht="15.75" x14ac:dyDescent="0.25">
      <c r="A36" s="1" t="str">
        <f>Student!B36</f>
        <v xml:space="preserve">ASIGBEY JOYCE  </v>
      </c>
      <c r="B36" s="1">
        <v>30</v>
      </c>
      <c r="C36" s="1">
        <v>25</v>
      </c>
      <c r="D36" s="41">
        <v>2</v>
      </c>
      <c r="E36" s="1">
        <v>6</v>
      </c>
      <c r="F36" s="1">
        <v>12</v>
      </c>
      <c r="G36" s="1">
        <v>2</v>
      </c>
      <c r="H36" s="1">
        <v>5</v>
      </c>
      <c r="I36" s="1">
        <v>11</v>
      </c>
      <c r="J36" s="42">
        <v>8</v>
      </c>
      <c r="K36" s="1">
        <v>6</v>
      </c>
    </row>
    <row r="37" spans="1:11" ht="15.75" x14ac:dyDescent="0.25">
      <c r="A37" s="1" t="str">
        <f>Student!B37</f>
        <v xml:space="preserve">ATTIPOE EUNICE </v>
      </c>
      <c r="B37" s="1">
        <v>29</v>
      </c>
      <c r="C37" s="1">
        <v>25</v>
      </c>
      <c r="D37" s="41">
        <v>16</v>
      </c>
      <c r="E37" s="1">
        <v>30</v>
      </c>
      <c r="F37" s="1">
        <v>30</v>
      </c>
      <c r="G37" s="1">
        <v>11</v>
      </c>
      <c r="H37" s="1">
        <v>21</v>
      </c>
      <c r="I37" s="1">
        <v>19</v>
      </c>
      <c r="J37" s="42">
        <v>22</v>
      </c>
      <c r="K37" s="1">
        <v>30</v>
      </c>
    </row>
    <row r="38" spans="1:11" ht="15.75" x14ac:dyDescent="0.25">
      <c r="A38" s="1" t="str">
        <f>Student!B38</f>
        <v xml:space="preserve">BAAH COMFORT  </v>
      </c>
      <c r="B38" s="1">
        <v>28</v>
      </c>
      <c r="C38" s="1">
        <v>15</v>
      </c>
      <c r="D38" s="41">
        <v>2</v>
      </c>
      <c r="E38" s="1">
        <v>2</v>
      </c>
      <c r="F38" s="1">
        <v>24</v>
      </c>
      <c r="G38" s="1">
        <v>2</v>
      </c>
      <c r="H38" s="1">
        <v>12</v>
      </c>
      <c r="I38" s="1">
        <v>4</v>
      </c>
      <c r="J38" s="42">
        <v>4</v>
      </c>
      <c r="K38" s="1">
        <v>12</v>
      </c>
    </row>
    <row r="39" spans="1:11" ht="15.75" x14ac:dyDescent="0.25">
      <c r="A39" s="1" t="str">
        <f>Student!B39</f>
        <v xml:space="preserve">BOATENG AGNES  </v>
      </c>
      <c r="B39" s="1">
        <v>28</v>
      </c>
      <c r="C39" s="1">
        <v>23</v>
      </c>
      <c r="D39" s="41">
        <v>2</v>
      </c>
      <c r="E39" s="1">
        <v>9</v>
      </c>
      <c r="F39" s="1">
        <v>17</v>
      </c>
      <c r="G39" s="1">
        <v>2</v>
      </c>
      <c r="H39" s="1">
        <v>5</v>
      </c>
      <c r="I39" s="1">
        <v>17</v>
      </c>
      <c r="J39" s="42">
        <v>3</v>
      </c>
      <c r="K39" s="1">
        <v>9</v>
      </c>
    </row>
    <row r="40" spans="1:11" ht="15.75" x14ac:dyDescent="0.25">
      <c r="A40" s="1" t="str">
        <f>Student!B40</f>
        <v xml:space="preserve">BONNEY CHARITY  </v>
      </c>
      <c r="B40" s="1"/>
      <c r="C40" s="1"/>
      <c r="D40" s="41"/>
      <c r="E40" s="1"/>
      <c r="F40" s="1"/>
      <c r="G40" s="1"/>
      <c r="H40" s="1"/>
      <c r="I40" s="1"/>
      <c r="J40" s="42"/>
      <c r="K40" s="1"/>
    </row>
    <row r="41" spans="1:11" ht="15.75" x14ac:dyDescent="0.25">
      <c r="A41" s="1" t="s">
        <v>167</v>
      </c>
      <c r="B41" s="1"/>
      <c r="C41" s="1"/>
      <c r="D41" s="41"/>
      <c r="E41" s="1"/>
      <c r="F41" s="1"/>
      <c r="G41" s="1"/>
      <c r="H41" s="1"/>
      <c r="I41" s="1"/>
      <c r="J41" s="42"/>
      <c r="K41" s="1"/>
    </row>
    <row r="42" spans="1:11" ht="15.75" x14ac:dyDescent="0.25">
      <c r="A42" s="1" t="str">
        <f>Student!B41</f>
        <v xml:space="preserve">DIXON HARRIET  </v>
      </c>
      <c r="B42" s="1">
        <v>25</v>
      </c>
      <c r="C42" s="1">
        <v>23</v>
      </c>
      <c r="D42" s="41">
        <v>7</v>
      </c>
      <c r="E42" s="1">
        <v>24</v>
      </c>
      <c r="F42" s="1">
        <v>18</v>
      </c>
      <c r="G42" s="1">
        <v>2</v>
      </c>
      <c r="H42" s="1">
        <v>5</v>
      </c>
      <c r="I42" s="1">
        <v>19</v>
      </c>
      <c r="J42" s="42">
        <v>14</v>
      </c>
      <c r="K42" s="1">
        <v>24</v>
      </c>
    </row>
    <row r="43" spans="1:11" ht="15.75" x14ac:dyDescent="0.25">
      <c r="A43" s="1" t="str">
        <f>Student!B42</f>
        <v xml:space="preserve">DJABA BELINDA  </v>
      </c>
      <c r="B43" s="1">
        <v>25</v>
      </c>
      <c r="C43" s="1">
        <v>19</v>
      </c>
      <c r="D43" s="41">
        <v>10</v>
      </c>
      <c r="E43" s="1">
        <v>9</v>
      </c>
      <c r="F43" s="1">
        <v>24</v>
      </c>
      <c r="G43" s="1">
        <v>2</v>
      </c>
      <c r="H43" s="1">
        <v>5</v>
      </c>
      <c r="I43" s="1">
        <v>14</v>
      </c>
      <c r="J43" s="42">
        <v>4</v>
      </c>
      <c r="K43" s="1">
        <v>9</v>
      </c>
    </row>
    <row r="44" spans="1:11" ht="15.75" x14ac:dyDescent="0.25">
      <c r="A44" s="1" t="str">
        <f>Student!B43</f>
        <v xml:space="preserve">ESSEL EMMANUELLA  </v>
      </c>
      <c r="B44" s="1">
        <v>29</v>
      </c>
      <c r="C44" s="1">
        <v>21</v>
      </c>
      <c r="D44" s="41">
        <v>2</v>
      </c>
      <c r="E44" s="1">
        <v>21</v>
      </c>
      <c r="F44" s="1">
        <v>9</v>
      </c>
      <c r="G44" s="1">
        <v>2</v>
      </c>
      <c r="H44" s="1">
        <v>5</v>
      </c>
      <c r="I44" s="1">
        <v>13</v>
      </c>
      <c r="J44" s="42">
        <v>25</v>
      </c>
      <c r="K44" s="1">
        <v>21</v>
      </c>
    </row>
    <row r="45" spans="1:11" ht="15.75" x14ac:dyDescent="0.25">
      <c r="A45" s="1" t="str">
        <f>Student!B44</f>
        <v xml:space="preserve">GAMAH ANGELA  </v>
      </c>
      <c r="B45" s="1">
        <v>30</v>
      </c>
      <c r="C45" s="1">
        <v>24</v>
      </c>
      <c r="D45" s="41">
        <v>2</v>
      </c>
      <c r="E45" s="1">
        <v>30</v>
      </c>
      <c r="F45" s="1">
        <v>21</v>
      </c>
      <c r="G45" s="1">
        <v>2</v>
      </c>
      <c r="H45" s="1">
        <v>16</v>
      </c>
      <c r="I45" s="1">
        <v>19</v>
      </c>
      <c r="J45" s="42">
        <v>25</v>
      </c>
      <c r="K45" s="1">
        <v>30</v>
      </c>
    </row>
    <row r="46" spans="1:11" ht="15.75" x14ac:dyDescent="0.25">
      <c r="A46" s="1" t="str">
        <f>Student!B45</f>
        <v xml:space="preserve">GAMOR ESTHER  </v>
      </c>
      <c r="B46" s="1">
        <v>30</v>
      </c>
      <c r="C46" s="1">
        <v>25</v>
      </c>
      <c r="D46" s="41">
        <v>2</v>
      </c>
      <c r="E46" s="1">
        <v>12</v>
      </c>
      <c r="F46" s="1">
        <v>23</v>
      </c>
      <c r="G46" s="1">
        <v>2</v>
      </c>
      <c r="H46" s="1">
        <v>5</v>
      </c>
      <c r="I46" s="1">
        <v>19</v>
      </c>
      <c r="J46" s="42">
        <v>21</v>
      </c>
      <c r="K46" s="1">
        <v>12</v>
      </c>
    </row>
    <row r="47" spans="1:11" ht="15.75" x14ac:dyDescent="0.25">
      <c r="A47" s="1" t="str">
        <f>Student!B46</f>
        <v xml:space="preserve">GYEMENA SERWAH  </v>
      </c>
      <c r="B47" s="1">
        <v>26</v>
      </c>
      <c r="C47" s="1">
        <v>23</v>
      </c>
      <c r="D47" s="41">
        <v>14</v>
      </c>
      <c r="E47" s="1">
        <v>26</v>
      </c>
      <c r="F47" s="1">
        <v>30</v>
      </c>
      <c r="G47" s="1">
        <v>2</v>
      </c>
      <c r="H47" s="1">
        <v>17</v>
      </c>
      <c r="I47" s="1">
        <v>14</v>
      </c>
      <c r="J47" s="42">
        <v>19</v>
      </c>
      <c r="K47" s="1">
        <v>23</v>
      </c>
    </row>
    <row r="48" spans="1:11" ht="15.75" x14ac:dyDescent="0.25">
      <c r="A48" s="1" t="str">
        <f>Student!B47</f>
        <v xml:space="preserve">HABLEAME SHILLA  </v>
      </c>
      <c r="B48" s="1">
        <v>21</v>
      </c>
      <c r="C48" s="1">
        <v>17</v>
      </c>
      <c r="D48" s="41">
        <v>13</v>
      </c>
      <c r="E48" s="1">
        <v>12</v>
      </c>
      <c r="F48" s="1">
        <v>12</v>
      </c>
      <c r="G48" s="1">
        <v>18</v>
      </c>
      <c r="H48" s="1">
        <v>9</v>
      </c>
      <c r="I48" s="1">
        <v>12</v>
      </c>
      <c r="J48" s="42">
        <v>17</v>
      </c>
      <c r="K48" s="1">
        <v>12</v>
      </c>
    </row>
    <row r="49" spans="1:11" ht="15.75" x14ac:dyDescent="0.25">
      <c r="A49" s="1" t="str">
        <f>Student!B48</f>
        <v xml:space="preserve">MENSAH FLORENCE  </v>
      </c>
      <c r="B49" s="1">
        <v>23</v>
      </c>
      <c r="C49" s="1">
        <v>22</v>
      </c>
      <c r="D49" s="41">
        <v>17</v>
      </c>
      <c r="E49" s="1">
        <v>12</v>
      </c>
      <c r="F49" s="1">
        <v>26</v>
      </c>
      <c r="G49" s="1">
        <v>2</v>
      </c>
      <c r="H49" s="1">
        <v>12</v>
      </c>
      <c r="I49" s="1">
        <v>13</v>
      </c>
      <c r="J49" s="42">
        <v>17</v>
      </c>
      <c r="K49" s="1">
        <v>23</v>
      </c>
    </row>
    <row r="50" spans="1:11" ht="15.75" x14ac:dyDescent="0.25">
      <c r="A50" s="1" t="str">
        <f>Student!B49</f>
        <v xml:space="preserve">MENSAH VANESSA  </v>
      </c>
      <c r="B50" s="1"/>
      <c r="C50" s="1"/>
      <c r="D50" s="41"/>
      <c r="E50" s="1"/>
      <c r="F50" s="1"/>
      <c r="G50" s="1"/>
      <c r="H50" s="1"/>
      <c r="I50" s="1"/>
      <c r="J50" s="42"/>
      <c r="K50" s="1"/>
    </row>
    <row r="51" spans="1:11" ht="15.75" x14ac:dyDescent="0.25">
      <c r="A51" s="1" t="str">
        <f>Student!B50</f>
        <v xml:space="preserve">NKETIA POKUAA CECELIA  </v>
      </c>
      <c r="B51" s="1">
        <v>29</v>
      </c>
      <c r="C51" s="1">
        <v>24</v>
      </c>
      <c r="D51" s="41">
        <v>2</v>
      </c>
      <c r="E51" s="1">
        <v>18</v>
      </c>
      <c r="F51" s="1">
        <v>12</v>
      </c>
      <c r="G51" s="1">
        <v>17</v>
      </c>
      <c r="H51" s="1">
        <v>10</v>
      </c>
      <c r="I51" s="1">
        <v>18</v>
      </c>
      <c r="J51" s="42">
        <v>24</v>
      </c>
      <c r="K51" s="1">
        <v>18</v>
      </c>
    </row>
    <row r="52" spans="1:11" ht="15.75" x14ac:dyDescent="0.25">
      <c r="A52" s="1" t="str">
        <f>Student!B51</f>
        <v xml:space="preserve">ODOI MARGARET  </v>
      </c>
      <c r="B52" s="1">
        <v>28</v>
      </c>
      <c r="C52" s="1">
        <v>21</v>
      </c>
      <c r="D52" s="41">
        <v>16</v>
      </c>
      <c r="E52" s="1">
        <v>2</v>
      </c>
      <c r="F52" s="1">
        <v>3</v>
      </c>
      <c r="G52" s="1">
        <v>8</v>
      </c>
      <c r="H52" s="1">
        <v>10</v>
      </c>
      <c r="I52" s="1">
        <v>14</v>
      </c>
      <c r="J52" s="42">
        <v>5</v>
      </c>
      <c r="K52" s="1">
        <v>18</v>
      </c>
    </row>
    <row r="53" spans="1:11" ht="15.75" x14ac:dyDescent="0.25">
      <c r="A53" s="1" t="str">
        <f>Student!B52</f>
        <v xml:space="preserve">OKYERE PRISCILLA  </v>
      </c>
      <c r="B53" s="1">
        <v>28</v>
      </c>
      <c r="C53" s="1">
        <v>23</v>
      </c>
      <c r="D53" s="41">
        <v>20</v>
      </c>
      <c r="E53" s="1">
        <v>24</v>
      </c>
      <c r="F53" s="1">
        <v>24</v>
      </c>
      <c r="G53" s="1">
        <v>13</v>
      </c>
      <c r="H53" s="1">
        <v>22</v>
      </c>
      <c r="I53" s="1">
        <v>19</v>
      </c>
      <c r="J53" s="42">
        <v>21</v>
      </c>
      <c r="K53" s="1">
        <v>2</v>
      </c>
    </row>
    <row r="54" spans="1:11" ht="15.75" x14ac:dyDescent="0.25">
      <c r="A54" s="1" t="str">
        <f>Student!B53</f>
        <v xml:space="preserve">SALIFU ZULAIHA  </v>
      </c>
      <c r="B54" s="1">
        <v>22</v>
      </c>
      <c r="C54" s="1">
        <v>18</v>
      </c>
      <c r="D54" s="41">
        <v>2</v>
      </c>
      <c r="E54" s="1">
        <v>12</v>
      </c>
      <c r="F54" s="1">
        <v>12</v>
      </c>
      <c r="G54" s="1">
        <v>2</v>
      </c>
      <c r="H54" s="1">
        <v>8</v>
      </c>
      <c r="I54" s="1">
        <v>15</v>
      </c>
      <c r="J54" s="42">
        <v>2</v>
      </c>
      <c r="K54" s="1">
        <v>24</v>
      </c>
    </row>
    <row r="55" spans="1:11" ht="15.75" x14ac:dyDescent="0.25">
      <c r="A55" s="1" t="str">
        <f>Student!B54</f>
        <v>SEFA AMA OWUSUWAA</v>
      </c>
      <c r="B55" s="1">
        <v>26</v>
      </c>
      <c r="C55" s="1">
        <v>20</v>
      </c>
      <c r="D55" s="41">
        <v>2</v>
      </c>
      <c r="E55" s="1">
        <v>6</v>
      </c>
      <c r="F55" s="1">
        <v>6</v>
      </c>
      <c r="G55" s="1">
        <v>6</v>
      </c>
      <c r="H55" s="1">
        <v>5</v>
      </c>
      <c r="I55" s="1">
        <v>11</v>
      </c>
      <c r="J55" s="42">
        <v>16</v>
      </c>
      <c r="K55" s="1">
        <v>12</v>
      </c>
    </row>
    <row r="56" spans="1:11" ht="15.75" x14ac:dyDescent="0.25">
      <c r="A56" s="1" t="str">
        <f>Student!B55</f>
        <v xml:space="preserve">TETTEH MAVIS  </v>
      </c>
      <c r="B56" s="1">
        <v>30</v>
      </c>
      <c r="C56" s="1">
        <v>22</v>
      </c>
      <c r="D56" s="41">
        <v>2</v>
      </c>
      <c r="E56" s="1">
        <v>12</v>
      </c>
      <c r="F56" s="1">
        <v>12</v>
      </c>
      <c r="G56" s="1">
        <v>2</v>
      </c>
      <c r="H56" s="1">
        <v>22</v>
      </c>
      <c r="I56" s="1">
        <v>12</v>
      </c>
      <c r="J56" s="42">
        <v>6</v>
      </c>
      <c r="K56" s="1">
        <v>9</v>
      </c>
    </row>
    <row r="57" spans="1:11" ht="15.75" x14ac:dyDescent="0.25">
      <c r="A57" s="1" t="str">
        <f>Student!B56</f>
        <v xml:space="preserve">TWUMASI VERA  </v>
      </c>
      <c r="B57" s="1">
        <v>23</v>
      </c>
      <c r="C57" s="1">
        <v>22</v>
      </c>
      <c r="D57" s="41">
        <v>10</v>
      </c>
      <c r="E57" s="1">
        <v>9</v>
      </c>
      <c r="F57" s="1">
        <v>9</v>
      </c>
      <c r="G57" s="1">
        <v>2</v>
      </c>
      <c r="H57" s="1">
        <v>5</v>
      </c>
      <c r="I57" s="1">
        <v>19</v>
      </c>
      <c r="J57" s="42">
        <v>27</v>
      </c>
      <c r="K57" s="1">
        <v>9</v>
      </c>
    </row>
    <row r="58" spans="1:11" ht="15.75" x14ac:dyDescent="0.25">
      <c r="A58" s="1" t="str">
        <f>Student!B57</f>
        <v xml:space="preserve">WORMENOR JULIA  </v>
      </c>
      <c r="B58" s="1">
        <v>30</v>
      </c>
      <c r="C58" s="1">
        <v>25</v>
      </c>
      <c r="D58" s="41">
        <v>17</v>
      </c>
      <c r="E58" s="1">
        <v>30</v>
      </c>
      <c r="F58" s="1">
        <v>30</v>
      </c>
      <c r="G58" s="1">
        <v>2</v>
      </c>
      <c r="H58" s="1">
        <v>10</v>
      </c>
      <c r="I58" s="1">
        <v>20</v>
      </c>
      <c r="J58" s="42">
        <v>27</v>
      </c>
      <c r="K58" s="1">
        <v>30</v>
      </c>
    </row>
    <row r="59" spans="1:11" ht="15.75" x14ac:dyDescent="0.25">
      <c r="A59" s="1" t="str">
        <f>Student!B58</f>
        <v xml:space="preserve">YEBOAH OLIVIA  </v>
      </c>
      <c r="B59" s="1">
        <v>29</v>
      </c>
      <c r="C59" s="1">
        <v>23</v>
      </c>
      <c r="D59" s="41">
        <v>2</v>
      </c>
      <c r="E59" s="1">
        <v>12</v>
      </c>
      <c r="F59" s="1">
        <v>12</v>
      </c>
      <c r="G59" s="1">
        <v>12</v>
      </c>
      <c r="H59" s="1">
        <v>5</v>
      </c>
      <c r="I59" s="1">
        <v>11</v>
      </c>
      <c r="J59" s="42">
        <v>10</v>
      </c>
      <c r="K59" s="1">
        <v>12</v>
      </c>
    </row>
    <row r="60" spans="1:11" ht="15.75" x14ac:dyDescent="0.25">
      <c r="A60" s="1" t="str">
        <f>Student!B59</f>
        <v>BRAHENE PRISCILLA</v>
      </c>
      <c r="B60" s="1"/>
      <c r="C60" s="1"/>
      <c r="D60" s="41"/>
      <c r="E60" s="1"/>
      <c r="F60" s="1"/>
      <c r="G60" s="1"/>
      <c r="H60" s="1"/>
      <c r="I60" s="1"/>
      <c r="J60" s="1"/>
      <c r="K60" s="1"/>
    </row>
    <row r="61" spans="1:11" ht="15.75" x14ac:dyDescent="0.25">
      <c r="A61" s="1">
        <f>Student!B60</f>
        <v>0</v>
      </c>
      <c r="B61" s="1"/>
      <c r="C61" s="1"/>
      <c r="D61" s="41"/>
      <c r="E61" s="1"/>
      <c r="F61" s="1"/>
      <c r="G61" s="1"/>
      <c r="H61" s="1"/>
      <c r="I61" s="1"/>
      <c r="J61" s="1"/>
      <c r="K61" s="1"/>
    </row>
    <row r="62" spans="1:11" ht="15.75" x14ac:dyDescent="0.25">
      <c r="A62" s="1">
        <f>Student!B61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 x14ac:dyDescent="0.2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 x14ac:dyDescent="0.2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 x14ac:dyDescent="0.2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 x14ac:dyDescent="0.2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 x14ac:dyDescent="0.2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</sheetData>
  <dataValidations count="1">
    <dataValidation type="whole" allowBlank="1" showInputMessage="1" showErrorMessage="1" errorTitle="Invalid Entery!" error="Value shoud not be more than 30." sqref="B41:I41 K41 B2:K40 B42:K276" xr:uid="{00000000-0002-0000-09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03"/>
  <sheetViews>
    <sheetView topLeftCell="A4" zoomScale="107" workbookViewId="0">
      <selection activeCell="H59" sqref="H59"/>
    </sheetView>
  </sheetViews>
  <sheetFormatPr defaultRowHeight="15" x14ac:dyDescent="0.25"/>
  <cols>
    <col min="1" max="1" width="55.85546875" customWidth="1"/>
  </cols>
  <sheetData>
    <row r="1" spans="1:11" ht="159.7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14</v>
      </c>
      <c r="C2" s="1">
        <v>14</v>
      </c>
      <c r="D2" s="1">
        <v>20</v>
      </c>
      <c r="E2" s="1">
        <v>20</v>
      </c>
      <c r="F2" s="1">
        <v>17</v>
      </c>
      <c r="G2" s="1">
        <v>20</v>
      </c>
      <c r="H2" s="1">
        <v>10</v>
      </c>
      <c r="I2" s="1">
        <v>16</v>
      </c>
      <c r="J2" s="42">
        <v>10</v>
      </c>
      <c r="K2" s="1">
        <v>20</v>
      </c>
    </row>
    <row r="3" spans="1:11" ht="15.75" x14ac:dyDescent="0.25">
      <c r="A3" s="1" t="str">
        <f>Student!B3</f>
        <v xml:space="preserve">AGBENU JORDAN </v>
      </c>
      <c r="B3" s="1">
        <v>14</v>
      </c>
      <c r="C3" s="1">
        <v>14</v>
      </c>
      <c r="D3" s="1">
        <v>20</v>
      </c>
      <c r="E3" s="1">
        <v>20</v>
      </c>
      <c r="F3" s="1">
        <v>17</v>
      </c>
      <c r="G3" s="1">
        <v>20</v>
      </c>
      <c r="H3" s="1">
        <v>15</v>
      </c>
      <c r="I3" s="1">
        <v>10</v>
      </c>
      <c r="J3" s="42">
        <v>12</v>
      </c>
      <c r="K3" s="1">
        <v>20</v>
      </c>
    </row>
    <row r="4" spans="1:11" ht="15.75" x14ac:dyDescent="0.25">
      <c r="A4" s="1" t="str">
        <f>Student!B4</f>
        <v>AGBO PRINCE</v>
      </c>
      <c r="B4" s="1">
        <v>16</v>
      </c>
      <c r="C4" s="1">
        <v>16</v>
      </c>
      <c r="D4" s="1">
        <v>20</v>
      </c>
      <c r="E4" s="1">
        <v>20</v>
      </c>
      <c r="F4" s="1">
        <v>17</v>
      </c>
      <c r="G4" s="1">
        <v>20</v>
      </c>
      <c r="H4" s="1">
        <v>10</v>
      </c>
      <c r="I4" s="1">
        <v>10</v>
      </c>
      <c r="J4" s="42">
        <v>10</v>
      </c>
      <c r="K4" s="1">
        <v>20</v>
      </c>
    </row>
    <row r="5" spans="1:11" ht="15.75" x14ac:dyDescent="0.25">
      <c r="A5" s="1" t="str">
        <f>Student!B5</f>
        <v xml:space="preserve">AGBOTSE EBENEZER </v>
      </c>
      <c r="B5" s="1">
        <v>20</v>
      </c>
      <c r="C5" s="1">
        <v>20</v>
      </c>
      <c r="D5" s="1">
        <v>20</v>
      </c>
      <c r="E5" s="1">
        <v>20</v>
      </c>
      <c r="F5" s="1">
        <v>17</v>
      </c>
      <c r="G5" s="1">
        <v>20</v>
      </c>
      <c r="H5" s="1">
        <v>15</v>
      </c>
      <c r="I5" s="1">
        <v>10</v>
      </c>
      <c r="J5" s="42">
        <v>10</v>
      </c>
      <c r="K5" s="1">
        <v>20</v>
      </c>
    </row>
    <row r="6" spans="1:11" ht="15.75" x14ac:dyDescent="0.25">
      <c r="A6" s="1" t="str">
        <f>Student!B6</f>
        <v xml:space="preserve">APPIAH EMMANUEL </v>
      </c>
      <c r="B6" s="1">
        <v>20</v>
      </c>
      <c r="C6" s="1">
        <v>20</v>
      </c>
      <c r="D6" s="1">
        <v>20</v>
      </c>
      <c r="E6" s="1">
        <v>20</v>
      </c>
      <c r="F6" s="1">
        <v>17</v>
      </c>
      <c r="G6" s="1">
        <v>20</v>
      </c>
      <c r="H6" s="1">
        <v>15</v>
      </c>
      <c r="I6" s="1">
        <v>12</v>
      </c>
      <c r="J6" s="42">
        <v>12</v>
      </c>
      <c r="K6" s="1">
        <v>20</v>
      </c>
    </row>
    <row r="7" spans="1:11" ht="15.75" x14ac:dyDescent="0.25">
      <c r="A7" s="1" t="str">
        <f>Student!B7</f>
        <v xml:space="preserve">ASARE RICHMOND </v>
      </c>
      <c r="B7" s="1">
        <v>20</v>
      </c>
      <c r="C7" s="1">
        <v>20</v>
      </c>
      <c r="D7" s="1">
        <v>20</v>
      </c>
      <c r="E7" s="1">
        <v>20</v>
      </c>
      <c r="F7" s="1">
        <v>17</v>
      </c>
      <c r="G7" s="1">
        <v>20</v>
      </c>
      <c r="H7" s="1">
        <v>17</v>
      </c>
      <c r="I7" s="1">
        <v>16</v>
      </c>
      <c r="J7" s="42">
        <v>10</v>
      </c>
      <c r="K7" s="1">
        <v>20</v>
      </c>
    </row>
    <row r="8" spans="1:11" ht="15.75" x14ac:dyDescent="0.25">
      <c r="A8" s="1" t="str">
        <f>Student!B8</f>
        <v xml:space="preserve">ASIAMAH JOSEPH </v>
      </c>
      <c r="B8" s="1">
        <v>15</v>
      </c>
      <c r="C8" s="1">
        <v>20</v>
      </c>
      <c r="D8" s="1">
        <v>20</v>
      </c>
      <c r="E8" s="1">
        <v>20</v>
      </c>
      <c r="F8" s="1">
        <v>17</v>
      </c>
      <c r="G8" s="1">
        <v>20</v>
      </c>
      <c r="H8" s="1">
        <v>10</v>
      </c>
      <c r="I8" s="1">
        <v>16</v>
      </c>
      <c r="J8" s="42">
        <v>11</v>
      </c>
      <c r="K8" s="1">
        <v>20</v>
      </c>
    </row>
    <row r="9" spans="1:11" ht="15.75" x14ac:dyDescent="0.25">
      <c r="A9" s="1" t="str">
        <f>Student!B9</f>
        <v>AWUAH KEKELI JERRY</v>
      </c>
      <c r="B9" s="1">
        <v>20</v>
      </c>
      <c r="C9" s="1">
        <v>15</v>
      </c>
      <c r="D9" s="1">
        <v>20</v>
      </c>
      <c r="E9" s="1">
        <v>20</v>
      </c>
      <c r="F9" s="1">
        <v>17</v>
      </c>
      <c r="G9" s="1">
        <v>20</v>
      </c>
      <c r="H9" s="1">
        <v>18</v>
      </c>
      <c r="I9" s="1">
        <v>10</v>
      </c>
      <c r="J9" s="42">
        <v>12</v>
      </c>
      <c r="K9" s="1">
        <v>20</v>
      </c>
    </row>
    <row r="10" spans="1:11" ht="15.75" x14ac:dyDescent="0.25">
      <c r="A10" s="1" t="str">
        <f>Student!B10</f>
        <v xml:space="preserve">BAWA BASSIT </v>
      </c>
      <c r="B10" s="1">
        <v>12</v>
      </c>
      <c r="C10" s="1">
        <v>20</v>
      </c>
      <c r="D10" s="1">
        <v>20</v>
      </c>
      <c r="E10" s="1">
        <v>20</v>
      </c>
      <c r="F10" s="1">
        <v>17</v>
      </c>
      <c r="G10" s="1">
        <v>20</v>
      </c>
      <c r="H10" s="1">
        <v>10</v>
      </c>
      <c r="I10" s="1">
        <v>12</v>
      </c>
      <c r="J10" s="42">
        <v>10</v>
      </c>
      <c r="K10" s="1">
        <v>20</v>
      </c>
    </row>
    <row r="11" spans="1:11" ht="15.75" x14ac:dyDescent="0.25">
      <c r="A11" s="1" t="str">
        <f>Student!B11</f>
        <v xml:space="preserve">DANQWAH PHILIP </v>
      </c>
      <c r="B11" s="1">
        <v>20</v>
      </c>
      <c r="C11" s="1">
        <v>12</v>
      </c>
      <c r="D11" s="1">
        <v>20</v>
      </c>
      <c r="E11" s="1">
        <v>20</v>
      </c>
      <c r="F11" s="1">
        <v>17</v>
      </c>
      <c r="G11" s="1">
        <v>20</v>
      </c>
      <c r="H11" s="1">
        <v>12</v>
      </c>
      <c r="I11" s="1">
        <v>8</v>
      </c>
      <c r="J11" s="42">
        <v>11</v>
      </c>
      <c r="K11" s="1">
        <v>20</v>
      </c>
    </row>
    <row r="12" spans="1:11" ht="15.75" x14ac:dyDescent="0.25">
      <c r="A12" s="1" t="str">
        <f>Student!B12</f>
        <v>DEDIHA GIDEON</v>
      </c>
      <c r="B12" s="1">
        <v>20</v>
      </c>
      <c r="C12" s="1">
        <v>20</v>
      </c>
      <c r="D12" s="1">
        <v>20</v>
      </c>
      <c r="E12" s="1">
        <v>20</v>
      </c>
      <c r="F12" s="1">
        <v>17</v>
      </c>
      <c r="G12" s="1">
        <v>20</v>
      </c>
      <c r="H12" s="1">
        <v>10</v>
      </c>
      <c r="I12" s="1">
        <v>16</v>
      </c>
      <c r="J12" s="42">
        <v>10</v>
      </c>
      <c r="K12" s="1">
        <v>20</v>
      </c>
    </row>
    <row r="13" spans="1:11" ht="15.75" x14ac:dyDescent="0.25">
      <c r="A13" s="1" t="str">
        <f>Student!B13</f>
        <v xml:space="preserve">ENCHILL KENNETH  </v>
      </c>
      <c r="B13" s="1">
        <v>16</v>
      </c>
      <c r="C13" s="1">
        <v>20</v>
      </c>
      <c r="D13" s="1">
        <v>20</v>
      </c>
      <c r="E13" s="1">
        <v>20</v>
      </c>
      <c r="F13" s="1">
        <v>17</v>
      </c>
      <c r="G13" s="1">
        <v>20</v>
      </c>
      <c r="H13" s="1">
        <v>19</v>
      </c>
      <c r="I13" s="1">
        <v>14</v>
      </c>
      <c r="J13" s="42">
        <v>10</v>
      </c>
      <c r="K13" s="1">
        <v>20</v>
      </c>
    </row>
    <row r="14" spans="1:11" ht="15.75" x14ac:dyDescent="0.25">
      <c r="A14" s="1" t="str">
        <f>Student!B14</f>
        <v xml:space="preserve">ENTSIE FRANCIS </v>
      </c>
      <c r="B14" s="1">
        <v>20</v>
      </c>
      <c r="C14" s="1">
        <v>20</v>
      </c>
      <c r="D14" s="1">
        <v>20</v>
      </c>
      <c r="E14" s="1">
        <v>20</v>
      </c>
      <c r="F14" s="1">
        <v>17</v>
      </c>
      <c r="G14" s="1">
        <v>20</v>
      </c>
      <c r="H14" s="1">
        <v>19</v>
      </c>
      <c r="I14" s="1">
        <v>10</v>
      </c>
      <c r="J14" s="42">
        <v>14</v>
      </c>
      <c r="K14" s="1">
        <v>20</v>
      </c>
    </row>
    <row r="15" spans="1:11" ht="15.75" x14ac:dyDescent="0.25">
      <c r="A15" s="1" t="str">
        <f>Student!B15</f>
        <v xml:space="preserve">ESHUN EVANS </v>
      </c>
      <c r="B15" s="1">
        <v>19</v>
      </c>
      <c r="C15" s="1">
        <v>16</v>
      </c>
      <c r="D15" s="1">
        <v>20</v>
      </c>
      <c r="E15" s="1">
        <v>20</v>
      </c>
      <c r="F15" s="1">
        <v>17</v>
      </c>
      <c r="G15" s="1">
        <v>20</v>
      </c>
      <c r="H15" s="1">
        <v>13</v>
      </c>
      <c r="I15" s="1">
        <v>10</v>
      </c>
      <c r="J15" s="42">
        <v>10</v>
      </c>
      <c r="K15" s="1">
        <v>20</v>
      </c>
    </row>
    <row r="16" spans="1:11" ht="15.75" x14ac:dyDescent="0.25">
      <c r="A16" s="1" t="str">
        <f>Student!B16</f>
        <v xml:space="preserve">GOMASHIE PRINCE </v>
      </c>
      <c r="B16" s="1">
        <v>18</v>
      </c>
      <c r="C16" s="1">
        <v>20</v>
      </c>
      <c r="D16" s="1">
        <v>20</v>
      </c>
      <c r="E16" s="1">
        <v>20</v>
      </c>
      <c r="F16" s="1">
        <v>17</v>
      </c>
      <c r="G16" s="1">
        <v>20</v>
      </c>
      <c r="H16" s="1">
        <v>14</v>
      </c>
      <c r="I16" s="1">
        <v>14</v>
      </c>
      <c r="J16" s="42">
        <v>10</v>
      </c>
      <c r="K16" s="1">
        <v>20</v>
      </c>
    </row>
    <row r="17" spans="1:11" ht="15.75" x14ac:dyDescent="0.25">
      <c r="A17" s="1" t="str">
        <f>Student!B17</f>
        <v xml:space="preserve">NUMEGBOR WISDOM </v>
      </c>
      <c r="B17" s="1">
        <v>19</v>
      </c>
      <c r="C17" s="1">
        <v>20</v>
      </c>
      <c r="D17" s="1">
        <v>20</v>
      </c>
      <c r="E17" s="1">
        <v>20</v>
      </c>
      <c r="F17" s="1">
        <v>17</v>
      </c>
      <c r="G17" s="1">
        <v>20</v>
      </c>
      <c r="H17" s="1">
        <v>10</v>
      </c>
      <c r="I17" s="1">
        <v>10</v>
      </c>
      <c r="J17" s="42">
        <v>10</v>
      </c>
      <c r="K17" s="1">
        <v>20</v>
      </c>
    </row>
    <row r="18" spans="1:11" ht="15.75" x14ac:dyDescent="0.25">
      <c r="A18" s="1" t="str">
        <f>Student!B18</f>
        <v xml:space="preserve">OFFEI JUSTICE </v>
      </c>
      <c r="B18" s="1">
        <v>20</v>
      </c>
      <c r="C18" s="1">
        <v>19</v>
      </c>
      <c r="D18" s="1">
        <v>20</v>
      </c>
      <c r="E18" s="1">
        <v>20</v>
      </c>
      <c r="F18" s="1">
        <v>1</v>
      </c>
      <c r="G18" s="1">
        <v>20</v>
      </c>
      <c r="H18" s="1">
        <v>10</v>
      </c>
      <c r="I18" s="1">
        <v>14</v>
      </c>
      <c r="J18" s="42">
        <v>12</v>
      </c>
      <c r="K18" s="1">
        <v>20</v>
      </c>
    </row>
    <row r="19" spans="1:11" ht="15.75" x14ac:dyDescent="0.25">
      <c r="A19" s="1" t="str">
        <f>Student!B19</f>
        <v xml:space="preserve">OSEI BELVIS </v>
      </c>
      <c r="B19" s="1">
        <v>20</v>
      </c>
      <c r="C19" s="1">
        <v>18</v>
      </c>
      <c r="D19" s="1">
        <v>20</v>
      </c>
      <c r="E19" s="1">
        <v>20</v>
      </c>
      <c r="F19" s="1">
        <v>17</v>
      </c>
      <c r="G19" s="1">
        <v>20</v>
      </c>
      <c r="H19" s="1">
        <v>10</v>
      </c>
      <c r="I19" s="1">
        <v>16</v>
      </c>
      <c r="J19" s="42">
        <v>10</v>
      </c>
      <c r="K19" s="1">
        <v>20</v>
      </c>
    </row>
    <row r="20" spans="1:11" ht="15.75" x14ac:dyDescent="0.25">
      <c r="A20" s="1" t="str">
        <f>Student!B20</f>
        <v xml:space="preserve">OTU KOFI SOLOMON  </v>
      </c>
      <c r="B20" s="1">
        <v>19</v>
      </c>
      <c r="C20" s="1">
        <v>19</v>
      </c>
      <c r="D20" s="1">
        <v>20</v>
      </c>
      <c r="E20" s="1">
        <v>20</v>
      </c>
      <c r="F20" s="1">
        <v>17</v>
      </c>
      <c r="G20" s="1">
        <v>20</v>
      </c>
      <c r="H20" s="1">
        <v>18</v>
      </c>
      <c r="I20" s="1">
        <v>12</v>
      </c>
      <c r="J20" s="42">
        <v>10</v>
      </c>
      <c r="K20" s="1">
        <v>20</v>
      </c>
    </row>
    <row r="21" spans="1:11" ht="15.75" x14ac:dyDescent="0.25">
      <c r="A21" s="1" t="str">
        <f>Student!B21</f>
        <v xml:space="preserve">OWUSU RUBEN </v>
      </c>
      <c r="B21" s="1">
        <v>20</v>
      </c>
      <c r="C21" s="1">
        <v>20</v>
      </c>
      <c r="D21" s="1">
        <v>20</v>
      </c>
      <c r="E21" s="1">
        <v>20</v>
      </c>
      <c r="F21" s="1">
        <v>17</v>
      </c>
      <c r="G21" s="1">
        <v>20</v>
      </c>
      <c r="H21" s="1">
        <v>10</v>
      </c>
      <c r="I21" s="1">
        <v>10</v>
      </c>
      <c r="J21" s="42">
        <v>12</v>
      </c>
      <c r="K21" s="1">
        <v>20</v>
      </c>
    </row>
    <row r="22" spans="1:11" ht="15.75" x14ac:dyDescent="0.25">
      <c r="A22" s="1" t="str">
        <f>Student!B22</f>
        <v xml:space="preserve">SEIDU IBRAHIM </v>
      </c>
      <c r="B22" s="1">
        <v>20</v>
      </c>
      <c r="C22" s="1">
        <v>20</v>
      </c>
      <c r="D22" s="1">
        <v>20</v>
      </c>
      <c r="E22" s="1">
        <v>20</v>
      </c>
      <c r="F22" s="1">
        <v>17</v>
      </c>
      <c r="G22" s="1">
        <v>20</v>
      </c>
      <c r="H22" s="1">
        <v>10</v>
      </c>
      <c r="I22" s="1">
        <v>18</v>
      </c>
      <c r="J22" s="42">
        <v>10</v>
      </c>
      <c r="K22" s="1">
        <v>20</v>
      </c>
    </row>
    <row r="23" spans="1:11" ht="15.75" x14ac:dyDescent="0.25">
      <c r="A23" s="1" t="str">
        <f>Student!B23</f>
        <v xml:space="preserve">TAGBOR MICHAEL </v>
      </c>
      <c r="B23" s="1">
        <v>20</v>
      </c>
      <c r="C23" s="1">
        <v>20</v>
      </c>
      <c r="D23" s="1">
        <v>20</v>
      </c>
      <c r="E23" s="1">
        <v>20</v>
      </c>
      <c r="F23" s="1">
        <v>17</v>
      </c>
      <c r="G23" s="1">
        <v>20</v>
      </c>
      <c r="H23" s="1">
        <v>10</v>
      </c>
      <c r="I23" s="1">
        <v>2</v>
      </c>
      <c r="J23" s="42">
        <v>10</v>
      </c>
      <c r="K23" s="1">
        <v>20</v>
      </c>
    </row>
    <row r="24" spans="1:11" ht="15.75" x14ac:dyDescent="0.25">
      <c r="A24" s="1" t="str">
        <f>Student!B24</f>
        <v xml:space="preserve">ACQUAH PRISCILLA  </v>
      </c>
      <c r="B24" s="1">
        <v>13</v>
      </c>
      <c r="C24" s="1">
        <v>13</v>
      </c>
      <c r="D24" s="1">
        <v>20</v>
      </c>
      <c r="E24" s="1">
        <v>20</v>
      </c>
      <c r="F24" s="1">
        <v>17</v>
      </c>
      <c r="G24" s="1">
        <v>20</v>
      </c>
      <c r="H24" s="1">
        <v>19</v>
      </c>
      <c r="I24" s="1">
        <v>3</v>
      </c>
      <c r="J24" s="42">
        <v>10</v>
      </c>
      <c r="K24" s="1">
        <v>20</v>
      </c>
    </row>
    <row r="25" spans="1:11" ht="15.75" x14ac:dyDescent="0.25">
      <c r="A25" s="1" t="str">
        <f>Student!B25</f>
        <v xml:space="preserve">ADI ROSE  </v>
      </c>
      <c r="B25" s="1">
        <v>20</v>
      </c>
      <c r="C25" s="1">
        <v>20</v>
      </c>
      <c r="D25" s="1">
        <v>20</v>
      </c>
      <c r="E25" s="1">
        <v>20</v>
      </c>
      <c r="F25" s="1">
        <v>17</v>
      </c>
      <c r="G25" s="1">
        <v>20</v>
      </c>
      <c r="H25" s="1">
        <v>17</v>
      </c>
      <c r="I25" s="1">
        <v>18</v>
      </c>
      <c r="J25" s="42">
        <v>10</v>
      </c>
      <c r="K25" s="1">
        <v>20</v>
      </c>
    </row>
    <row r="26" spans="1:11" ht="15.75" x14ac:dyDescent="0.25">
      <c r="A26" s="1" t="str">
        <f>Student!B26</f>
        <v xml:space="preserve">ADOMAKO PRISCILLA  </v>
      </c>
      <c r="B26" s="1">
        <v>20</v>
      </c>
      <c r="C26" s="1">
        <v>20</v>
      </c>
      <c r="D26" s="1">
        <v>20</v>
      </c>
      <c r="E26" s="1">
        <v>20</v>
      </c>
      <c r="F26" s="1">
        <v>17</v>
      </c>
      <c r="G26" s="1">
        <v>20</v>
      </c>
      <c r="H26" s="1">
        <v>10</v>
      </c>
      <c r="I26" s="1">
        <v>18</v>
      </c>
      <c r="J26" s="41">
        <v>12</v>
      </c>
      <c r="K26" s="1">
        <v>20</v>
      </c>
    </row>
    <row r="27" spans="1:11" ht="15.75" x14ac:dyDescent="0.25">
      <c r="A27" s="1" t="str">
        <f>Student!B27</f>
        <v xml:space="preserve">AGBEMAZI PRECIOUS  </v>
      </c>
      <c r="B27" s="1">
        <v>16</v>
      </c>
      <c r="C27" s="1">
        <v>16</v>
      </c>
      <c r="D27" s="1">
        <v>20</v>
      </c>
      <c r="E27" s="1">
        <v>20</v>
      </c>
      <c r="F27" s="1">
        <v>17</v>
      </c>
      <c r="G27" s="1">
        <v>20</v>
      </c>
      <c r="H27" s="1">
        <v>18</v>
      </c>
      <c r="I27" s="1">
        <v>18</v>
      </c>
      <c r="J27" s="42">
        <v>10</v>
      </c>
      <c r="K27" s="1">
        <v>20</v>
      </c>
    </row>
    <row r="28" spans="1:11" ht="15.75" x14ac:dyDescent="0.25">
      <c r="A28" s="1" t="str">
        <f>Student!B28</f>
        <v xml:space="preserve">AGBENYEFIA BRIDGET </v>
      </c>
      <c r="B28" s="1">
        <v>11</v>
      </c>
      <c r="C28" s="1">
        <v>11</v>
      </c>
      <c r="D28" s="1">
        <v>20</v>
      </c>
      <c r="E28" s="1">
        <v>20</v>
      </c>
      <c r="F28" s="1">
        <v>17</v>
      </c>
      <c r="G28" s="1">
        <v>20</v>
      </c>
      <c r="H28" s="1">
        <v>18</v>
      </c>
      <c r="I28" s="1">
        <v>8</v>
      </c>
      <c r="J28" s="42">
        <v>12</v>
      </c>
      <c r="K28" s="1">
        <v>20</v>
      </c>
    </row>
    <row r="29" spans="1:11" ht="15.75" x14ac:dyDescent="0.25">
      <c r="A29" s="1" t="str">
        <f>Student!B29</f>
        <v xml:space="preserve">AKATAYURE REGINA  </v>
      </c>
      <c r="B29" s="1">
        <v>19</v>
      </c>
      <c r="C29" s="1">
        <v>19</v>
      </c>
      <c r="D29" s="1">
        <v>20</v>
      </c>
      <c r="E29" s="1">
        <v>20</v>
      </c>
      <c r="F29" s="1">
        <v>17</v>
      </c>
      <c r="G29" s="1">
        <v>20</v>
      </c>
      <c r="H29" s="1">
        <v>12</v>
      </c>
      <c r="I29" s="1">
        <v>20</v>
      </c>
      <c r="J29" s="42">
        <v>10</v>
      </c>
      <c r="K29" s="1">
        <v>20</v>
      </c>
    </row>
    <row r="30" spans="1:11" ht="15.75" x14ac:dyDescent="0.25">
      <c r="A30" s="1" t="str">
        <f>Student!B30</f>
        <v>AKROFI DORCAS</v>
      </c>
      <c r="B30" s="1">
        <v>13</v>
      </c>
      <c r="C30" s="1">
        <v>13</v>
      </c>
      <c r="D30" s="1">
        <v>20</v>
      </c>
      <c r="E30" s="1">
        <v>20</v>
      </c>
      <c r="F30" s="1">
        <v>17</v>
      </c>
      <c r="G30" s="1">
        <v>20</v>
      </c>
      <c r="H30" s="1">
        <v>10</v>
      </c>
      <c r="I30" s="1">
        <v>20</v>
      </c>
      <c r="J30" s="42">
        <v>12</v>
      </c>
      <c r="K30" s="1">
        <v>20</v>
      </c>
    </row>
    <row r="31" spans="1:11" ht="15.75" x14ac:dyDescent="0.25">
      <c r="A31" s="1" t="str">
        <f>Student!B31</f>
        <v xml:space="preserve">AMOAH SAFOA </v>
      </c>
      <c r="B31" s="1">
        <v>20</v>
      </c>
      <c r="C31" s="1">
        <v>20</v>
      </c>
      <c r="D31" s="1">
        <v>20</v>
      </c>
      <c r="E31" s="1">
        <v>20</v>
      </c>
      <c r="F31" s="1">
        <v>17</v>
      </c>
      <c r="G31" s="1">
        <v>20</v>
      </c>
      <c r="H31" s="1">
        <v>10</v>
      </c>
      <c r="I31" s="1">
        <v>10</v>
      </c>
      <c r="J31" s="42">
        <v>10</v>
      </c>
      <c r="K31" s="1">
        <v>20</v>
      </c>
    </row>
    <row r="32" spans="1:11" ht="15.75" x14ac:dyDescent="0.25">
      <c r="A32" s="1" t="str">
        <f>Student!B32</f>
        <v>ANIM AMOAH NHYIRABA</v>
      </c>
      <c r="B32" s="1">
        <v>17</v>
      </c>
      <c r="C32" s="1">
        <v>17</v>
      </c>
      <c r="D32" s="1">
        <v>20</v>
      </c>
      <c r="E32" s="1">
        <v>20</v>
      </c>
      <c r="F32" s="1">
        <v>17</v>
      </c>
      <c r="G32" s="1">
        <v>20</v>
      </c>
      <c r="H32" s="1">
        <v>10</v>
      </c>
      <c r="I32" s="1">
        <v>3</v>
      </c>
      <c r="J32" s="42">
        <v>12</v>
      </c>
      <c r="K32" s="1">
        <v>20</v>
      </c>
    </row>
    <row r="33" spans="1:11" ht="15.75" x14ac:dyDescent="0.25">
      <c r="A33" s="1" t="str">
        <f>Student!B33</f>
        <v xml:space="preserve">APPIAH GLADYS  </v>
      </c>
      <c r="B33" s="1">
        <v>15</v>
      </c>
      <c r="C33" s="1">
        <v>14</v>
      </c>
      <c r="D33" s="1">
        <v>20</v>
      </c>
      <c r="E33" s="1">
        <v>20</v>
      </c>
      <c r="F33" s="1">
        <v>17</v>
      </c>
      <c r="G33" s="1">
        <v>20</v>
      </c>
      <c r="H33" s="1">
        <v>18</v>
      </c>
      <c r="I33" s="1">
        <v>14</v>
      </c>
      <c r="J33" s="42">
        <v>10</v>
      </c>
      <c r="K33" s="1">
        <v>20</v>
      </c>
    </row>
    <row r="34" spans="1:11" ht="15.75" x14ac:dyDescent="0.25">
      <c r="A34" s="1" t="str">
        <f>Student!B34</f>
        <v xml:space="preserve">ASAMOAH STELLA  </v>
      </c>
      <c r="B34" s="1">
        <v>20</v>
      </c>
      <c r="C34" s="1">
        <v>20</v>
      </c>
      <c r="D34" s="1">
        <v>20</v>
      </c>
      <c r="E34" s="1">
        <v>20</v>
      </c>
      <c r="F34" s="1">
        <v>17</v>
      </c>
      <c r="G34" s="1">
        <v>20</v>
      </c>
      <c r="H34" s="1">
        <v>10</v>
      </c>
      <c r="I34" s="1">
        <v>14</v>
      </c>
      <c r="J34" s="42">
        <v>10</v>
      </c>
      <c r="K34" s="1">
        <v>20</v>
      </c>
    </row>
    <row r="35" spans="1:11" ht="15.75" x14ac:dyDescent="0.25">
      <c r="A35" s="1" t="str">
        <f>Student!B35</f>
        <v xml:space="preserve">ASHANGBOR ABIGAIL  </v>
      </c>
      <c r="B35" s="1">
        <v>20</v>
      </c>
      <c r="C35" s="1">
        <v>20</v>
      </c>
      <c r="D35" s="1">
        <v>20</v>
      </c>
      <c r="E35" s="1">
        <v>20</v>
      </c>
      <c r="F35" s="1">
        <v>17</v>
      </c>
      <c r="G35" s="1">
        <v>20</v>
      </c>
      <c r="H35" s="1">
        <v>10</v>
      </c>
      <c r="I35" s="1">
        <v>18</v>
      </c>
      <c r="J35" s="42">
        <v>12</v>
      </c>
      <c r="K35" s="1">
        <v>20</v>
      </c>
    </row>
    <row r="36" spans="1:11" ht="15.75" x14ac:dyDescent="0.25">
      <c r="A36" s="1" t="str">
        <f>Student!B36</f>
        <v xml:space="preserve">ASIGBEY JOYCE  </v>
      </c>
      <c r="B36" s="1">
        <v>20</v>
      </c>
      <c r="C36" s="1">
        <v>20</v>
      </c>
      <c r="D36" s="1">
        <v>20</v>
      </c>
      <c r="E36" s="1">
        <v>20</v>
      </c>
      <c r="F36" s="1">
        <v>17</v>
      </c>
      <c r="G36" s="1">
        <v>20</v>
      </c>
      <c r="H36" s="1">
        <v>10</v>
      </c>
      <c r="I36" s="1">
        <v>3</v>
      </c>
      <c r="J36" s="42">
        <v>12</v>
      </c>
      <c r="K36" s="1">
        <v>20</v>
      </c>
    </row>
    <row r="37" spans="1:11" ht="15.75" x14ac:dyDescent="0.25">
      <c r="A37" s="1" t="str">
        <f>Student!B37</f>
        <v xml:space="preserve">ATTIPOE EUNICE </v>
      </c>
      <c r="B37" s="1">
        <v>14</v>
      </c>
      <c r="C37" s="1">
        <v>14</v>
      </c>
      <c r="D37" s="1">
        <v>20</v>
      </c>
      <c r="E37" s="1">
        <v>20</v>
      </c>
      <c r="F37" s="1">
        <v>17</v>
      </c>
      <c r="G37" s="1">
        <v>20</v>
      </c>
      <c r="H37" s="1">
        <v>20</v>
      </c>
      <c r="I37" s="1">
        <v>18</v>
      </c>
      <c r="J37" s="42">
        <v>10</v>
      </c>
      <c r="K37" s="1">
        <v>20</v>
      </c>
    </row>
    <row r="38" spans="1:11" ht="15.75" x14ac:dyDescent="0.25">
      <c r="A38" s="1" t="str">
        <f>Student!B38</f>
        <v xml:space="preserve">BAAH COMFORT  </v>
      </c>
      <c r="B38" s="1">
        <v>18</v>
      </c>
      <c r="C38" s="1">
        <v>18</v>
      </c>
      <c r="D38" s="1">
        <v>20</v>
      </c>
      <c r="E38" s="1">
        <v>20</v>
      </c>
      <c r="F38" s="1">
        <v>17</v>
      </c>
      <c r="G38" s="1">
        <v>20</v>
      </c>
      <c r="H38" s="1">
        <v>16</v>
      </c>
      <c r="I38" s="1">
        <v>14</v>
      </c>
      <c r="J38" s="42">
        <v>12</v>
      </c>
      <c r="K38" s="1">
        <v>20</v>
      </c>
    </row>
    <row r="39" spans="1:11" ht="15.75" x14ac:dyDescent="0.25">
      <c r="A39" s="1" t="str">
        <f>Student!B39</f>
        <v xml:space="preserve">BOATENG AGNES  </v>
      </c>
      <c r="B39" s="1">
        <v>18</v>
      </c>
      <c r="C39" s="1">
        <v>19</v>
      </c>
      <c r="D39" s="1">
        <v>20</v>
      </c>
      <c r="E39" s="1">
        <v>20</v>
      </c>
      <c r="F39" s="1">
        <v>17</v>
      </c>
      <c r="G39" s="1">
        <v>20</v>
      </c>
      <c r="H39" s="1">
        <v>16</v>
      </c>
      <c r="I39" s="1">
        <v>12</v>
      </c>
      <c r="J39" s="42">
        <v>10</v>
      </c>
      <c r="K39" s="1">
        <v>20</v>
      </c>
    </row>
    <row r="40" spans="1:11" ht="15.75" x14ac:dyDescent="0.25">
      <c r="A40" s="1" t="str">
        <f>Student!B40</f>
        <v xml:space="preserve">BONNEY CHARITY  </v>
      </c>
      <c r="B40" s="1"/>
      <c r="C40" s="1"/>
      <c r="D40" s="1"/>
      <c r="E40" s="1"/>
      <c r="F40" s="1"/>
      <c r="G40" s="1"/>
      <c r="H40" s="1"/>
      <c r="I40" s="1"/>
      <c r="J40" s="42"/>
      <c r="K40" s="1"/>
    </row>
    <row r="41" spans="1:11" ht="15.75" x14ac:dyDescent="0.25">
      <c r="A41" s="1" t="s">
        <v>168</v>
      </c>
      <c r="B41" s="1"/>
      <c r="C41" s="1"/>
      <c r="D41" s="1"/>
      <c r="E41" s="1"/>
      <c r="F41" s="1"/>
      <c r="G41" s="1"/>
      <c r="H41" s="1"/>
      <c r="I41" s="1"/>
      <c r="J41" s="42"/>
      <c r="K41" s="1"/>
    </row>
    <row r="42" spans="1:11" ht="15.75" x14ac:dyDescent="0.25">
      <c r="A42" s="1" t="str">
        <f>Student!B41</f>
        <v xml:space="preserve">DIXON HARRIET  </v>
      </c>
      <c r="B42" s="1">
        <v>18</v>
      </c>
      <c r="C42" s="1">
        <v>18</v>
      </c>
      <c r="D42" s="1">
        <v>20</v>
      </c>
      <c r="E42" s="1">
        <v>20</v>
      </c>
      <c r="F42" s="1">
        <v>20</v>
      </c>
      <c r="G42" s="1">
        <v>20</v>
      </c>
      <c r="H42" s="1">
        <v>10</v>
      </c>
      <c r="I42" s="1">
        <v>18</v>
      </c>
      <c r="J42" s="42">
        <v>10</v>
      </c>
      <c r="K42" s="1">
        <v>20</v>
      </c>
    </row>
    <row r="43" spans="1:11" ht="15.75" x14ac:dyDescent="0.25">
      <c r="A43" s="1" t="str">
        <f>Student!B42</f>
        <v xml:space="preserve">DJABA BELINDA  </v>
      </c>
      <c r="B43" s="1">
        <v>17</v>
      </c>
      <c r="C43" s="1">
        <v>17</v>
      </c>
      <c r="D43" s="1">
        <v>20</v>
      </c>
      <c r="E43" s="1">
        <v>20</v>
      </c>
      <c r="F43" s="1">
        <v>20</v>
      </c>
      <c r="G43" s="1">
        <v>20</v>
      </c>
      <c r="H43" s="1">
        <v>10</v>
      </c>
      <c r="I43" s="1">
        <v>14</v>
      </c>
      <c r="J43" s="42">
        <v>12</v>
      </c>
      <c r="K43" s="1">
        <v>20</v>
      </c>
    </row>
    <row r="44" spans="1:11" ht="15.75" x14ac:dyDescent="0.25">
      <c r="A44" s="1" t="str">
        <f>Student!B43</f>
        <v xml:space="preserve">ESSEL EMMANUELLA  </v>
      </c>
      <c r="B44" s="1">
        <v>12</v>
      </c>
      <c r="C44" s="1">
        <v>12</v>
      </c>
      <c r="D44" s="1">
        <v>20</v>
      </c>
      <c r="E44" s="1">
        <v>20</v>
      </c>
      <c r="F44" s="1">
        <v>20</v>
      </c>
      <c r="G44" s="1">
        <v>20</v>
      </c>
      <c r="H44" s="1">
        <v>10</v>
      </c>
      <c r="I44" s="1">
        <v>8</v>
      </c>
      <c r="J44" s="42">
        <v>12</v>
      </c>
      <c r="K44" s="1">
        <v>20</v>
      </c>
    </row>
    <row r="45" spans="1:11" ht="15.75" x14ac:dyDescent="0.25">
      <c r="A45" s="1" t="str">
        <f>Student!B44</f>
        <v xml:space="preserve">GAMAH ANGELA  </v>
      </c>
      <c r="B45" s="1">
        <v>12</v>
      </c>
      <c r="C45" s="1">
        <v>12</v>
      </c>
      <c r="D45" s="1">
        <v>20</v>
      </c>
      <c r="E45" s="1">
        <v>20</v>
      </c>
      <c r="F45" s="1">
        <v>20</v>
      </c>
      <c r="G45" s="1">
        <v>20</v>
      </c>
      <c r="H45" s="1">
        <v>15</v>
      </c>
      <c r="I45" s="1">
        <v>14</v>
      </c>
      <c r="J45" s="42">
        <v>10</v>
      </c>
      <c r="K45" s="1">
        <v>20</v>
      </c>
    </row>
    <row r="46" spans="1:11" ht="15.75" x14ac:dyDescent="0.25">
      <c r="A46" s="1" t="str">
        <f>Student!B45</f>
        <v xml:space="preserve">GAMOR ESTHER  </v>
      </c>
      <c r="B46" s="1">
        <v>12</v>
      </c>
      <c r="C46" s="1">
        <v>18</v>
      </c>
      <c r="D46" s="1">
        <v>20</v>
      </c>
      <c r="E46" s="1">
        <v>20</v>
      </c>
      <c r="F46" s="1">
        <v>20</v>
      </c>
      <c r="G46" s="1">
        <v>20</v>
      </c>
      <c r="H46" s="1">
        <v>15</v>
      </c>
      <c r="I46" s="1">
        <v>20</v>
      </c>
      <c r="J46" s="42">
        <v>12</v>
      </c>
      <c r="K46" s="1">
        <v>20</v>
      </c>
    </row>
    <row r="47" spans="1:11" ht="15.75" x14ac:dyDescent="0.25">
      <c r="A47" s="1" t="str">
        <f>Student!B46</f>
        <v xml:space="preserve">GYEMENA SERWAH  </v>
      </c>
      <c r="B47" s="1">
        <v>18</v>
      </c>
      <c r="C47" s="1">
        <v>20</v>
      </c>
      <c r="D47" s="1">
        <v>20</v>
      </c>
      <c r="E47" s="1">
        <v>20</v>
      </c>
      <c r="F47" s="1">
        <v>20</v>
      </c>
      <c r="G47" s="1">
        <v>20</v>
      </c>
      <c r="H47" s="1">
        <v>14</v>
      </c>
      <c r="I47" s="1">
        <v>16</v>
      </c>
      <c r="J47" s="42">
        <v>12</v>
      </c>
      <c r="K47" s="1">
        <v>20</v>
      </c>
    </row>
    <row r="48" spans="1:11" ht="15.75" x14ac:dyDescent="0.25">
      <c r="A48" s="1" t="str">
        <f>Student!B47</f>
        <v xml:space="preserve">HABLEAME SHILLA  </v>
      </c>
      <c r="B48" s="1">
        <v>20</v>
      </c>
      <c r="C48" s="1">
        <v>20</v>
      </c>
      <c r="D48" s="1">
        <v>20</v>
      </c>
      <c r="E48" s="1">
        <v>20</v>
      </c>
      <c r="F48" s="1">
        <v>20</v>
      </c>
      <c r="G48" s="1">
        <v>20</v>
      </c>
      <c r="H48" s="1">
        <v>17</v>
      </c>
      <c r="I48" s="1">
        <v>14</v>
      </c>
      <c r="J48" s="42">
        <v>10</v>
      </c>
      <c r="K48" s="1">
        <v>20</v>
      </c>
    </row>
    <row r="49" spans="1:11" ht="15.75" x14ac:dyDescent="0.25">
      <c r="A49" s="1" t="str">
        <f>Student!B48</f>
        <v xml:space="preserve">MENSAH FLORENCE  </v>
      </c>
      <c r="B49" s="1">
        <v>20</v>
      </c>
      <c r="C49" s="1">
        <v>12</v>
      </c>
      <c r="D49" s="1">
        <v>20</v>
      </c>
      <c r="E49" s="1">
        <v>20</v>
      </c>
      <c r="F49" s="1">
        <v>20</v>
      </c>
      <c r="G49" s="1">
        <v>20</v>
      </c>
      <c r="H49" s="1">
        <v>10</v>
      </c>
      <c r="I49" s="1">
        <v>18</v>
      </c>
      <c r="J49" s="42">
        <v>12</v>
      </c>
      <c r="K49" s="1">
        <v>20</v>
      </c>
    </row>
    <row r="50" spans="1:11" ht="15.75" x14ac:dyDescent="0.25">
      <c r="A50" s="1" t="str">
        <f>Student!B49</f>
        <v xml:space="preserve">MENSAH VANESSA  </v>
      </c>
      <c r="B50" s="1"/>
      <c r="C50" s="1"/>
      <c r="D50" s="1"/>
      <c r="E50" s="1"/>
      <c r="F50" s="1"/>
      <c r="G50" s="1"/>
      <c r="H50" s="1"/>
      <c r="I50" s="1"/>
      <c r="J50" s="42"/>
      <c r="K50" s="1"/>
    </row>
    <row r="51" spans="1:11" ht="15.75" x14ac:dyDescent="0.25">
      <c r="A51" s="1" t="str">
        <f>Student!B50</f>
        <v xml:space="preserve">NKETIA POKUAA CECELIA  </v>
      </c>
      <c r="B51" s="1">
        <v>18</v>
      </c>
      <c r="C51" s="1">
        <v>20</v>
      </c>
      <c r="D51" s="1">
        <v>20</v>
      </c>
      <c r="E51" s="1">
        <v>20</v>
      </c>
      <c r="F51" s="1">
        <v>20</v>
      </c>
      <c r="G51" s="1">
        <v>20</v>
      </c>
      <c r="H51" s="1">
        <v>12</v>
      </c>
      <c r="I51" s="1">
        <v>20</v>
      </c>
      <c r="J51" s="42">
        <v>10</v>
      </c>
      <c r="K51" s="1">
        <v>20</v>
      </c>
    </row>
    <row r="52" spans="1:11" ht="15.75" x14ac:dyDescent="0.25">
      <c r="A52" s="1" t="str">
        <f>Student!B51</f>
        <v xml:space="preserve">ODOI MARGARET  </v>
      </c>
      <c r="B52" s="1">
        <v>14</v>
      </c>
      <c r="C52" s="1">
        <v>12</v>
      </c>
      <c r="D52" s="1">
        <v>20</v>
      </c>
      <c r="E52" s="1">
        <v>20</v>
      </c>
      <c r="F52" s="1">
        <v>20</v>
      </c>
      <c r="G52" s="1">
        <v>20</v>
      </c>
      <c r="H52" s="1">
        <v>12</v>
      </c>
      <c r="I52" s="1">
        <v>3</v>
      </c>
      <c r="J52" s="42">
        <v>10</v>
      </c>
      <c r="K52" s="1">
        <v>20</v>
      </c>
    </row>
    <row r="53" spans="1:11" ht="15.75" x14ac:dyDescent="0.25">
      <c r="A53" s="1" t="str">
        <f>Student!B52</f>
        <v xml:space="preserve">OKYERE PRISCILLA  </v>
      </c>
      <c r="B53" s="1">
        <v>18</v>
      </c>
      <c r="C53" s="1">
        <v>13</v>
      </c>
      <c r="D53" s="1">
        <v>20</v>
      </c>
      <c r="E53" s="1">
        <v>20</v>
      </c>
      <c r="F53" s="1">
        <v>20</v>
      </c>
      <c r="G53" s="1">
        <v>20</v>
      </c>
      <c r="H53" s="1">
        <v>20</v>
      </c>
      <c r="I53" s="1">
        <v>18</v>
      </c>
      <c r="J53" s="42">
        <v>12</v>
      </c>
      <c r="K53" s="1">
        <v>20</v>
      </c>
    </row>
    <row r="54" spans="1:11" ht="15.75" x14ac:dyDescent="0.25">
      <c r="A54" s="1" t="str">
        <f>Student!B53</f>
        <v xml:space="preserve">SALIFU ZULAIHA  </v>
      </c>
      <c r="B54" s="1">
        <v>13</v>
      </c>
      <c r="C54" s="1">
        <v>20</v>
      </c>
      <c r="D54" s="1">
        <v>20</v>
      </c>
      <c r="E54" s="1">
        <v>20</v>
      </c>
      <c r="F54" s="1">
        <v>20</v>
      </c>
      <c r="G54" s="1">
        <v>20</v>
      </c>
      <c r="H54" s="1">
        <v>15</v>
      </c>
      <c r="I54" s="1">
        <v>3</v>
      </c>
      <c r="J54" s="42">
        <v>12</v>
      </c>
      <c r="K54" s="1">
        <v>20</v>
      </c>
    </row>
    <row r="55" spans="1:11" ht="15.75" x14ac:dyDescent="0.25">
      <c r="A55" s="1" t="str">
        <f>Student!B54</f>
        <v>SEFA AMA OWUSUWAA</v>
      </c>
      <c r="B55" s="1">
        <v>13</v>
      </c>
      <c r="C55" s="1">
        <v>12</v>
      </c>
      <c r="D55" s="1">
        <v>20</v>
      </c>
      <c r="E55" s="1">
        <v>20</v>
      </c>
      <c r="F55" s="1">
        <v>20</v>
      </c>
      <c r="G55" s="1">
        <v>20</v>
      </c>
      <c r="H55" s="1">
        <v>16</v>
      </c>
      <c r="I55" s="1">
        <v>8</v>
      </c>
      <c r="J55" s="42">
        <v>10</v>
      </c>
      <c r="K55" s="1">
        <v>20</v>
      </c>
    </row>
    <row r="56" spans="1:11" ht="15.75" x14ac:dyDescent="0.25">
      <c r="A56" s="1" t="str">
        <f>Student!B55</f>
        <v xml:space="preserve">TETTEH MAVIS  </v>
      </c>
      <c r="B56" s="1">
        <v>20</v>
      </c>
      <c r="C56" s="1">
        <v>16</v>
      </c>
      <c r="D56" s="1">
        <v>20</v>
      </c>
      <c r="E56" s="1">
        <v>20</v>
      </c>
      <c r="F56" s="1">
        <v>20</v>
      </c>
      <c r="G56" s="1">
        <v>20</v>
      </c>
      <c r="H56" s="1">
        <v>13</v>
      </c>
      <c r="I56" s="1">
        <v>16</v>
      </c>
      <c r="J56" s="42">
        <v>12</v>
      </c>
      <c r="K56" s="1">
        <v>20</v>
      </c>
    </row>
    <row r="57" spans="1:11" ht="15.75" x14ac:dyDescent="0.25">
      <c r="A57" s="1" t="str">
        <f>Student!B56</f>
        <v xml:space="preserve">TWUMASI VERA  </v>
      </c>
      <c r="B57" s="1">
        <v>20</v>
      </c>
      <c r="C57" s="1">
        <v>17</v>
      </c>
      <c r="D57" s="1">
        <v>20</v>
      </c>
      <c r="E57" s="1">
        <v>20</v>
      </c>
      <c r="F57" s="1">
        <v>20</v>
      </c>
      <c r="G57" s="1">
        <v>20</v>
      </c>
      <c r="H57" s="1">
        <v>10</v>
      </c>
      <c r="I57" s="1">
        <v>18</v>
      </c>
      <c r="J57" s="42">
        <v>12</v>
      </c>
      <c r="K57" s="1">
        <v>20</v>
      </c>
    </row>
    <row r="58" spans="1:11" ht="15.75" x14ac:dyDescent="0.25">
      <c r="A58" s="1" t="str">
        <f>Student!B57</f>
        <v xml:space="preserve">WORMENOR JULIA  </v>
      </c>
      <c r="B58" s="1">
        <v>20</v>
      </c>
      <c r="C58" s="1">
        <v>15</v>
      </c>
      <c r="D58" s="1">
        <v>20</v>
      </c>
      <c r="E58" s="1">
        <v>20</v>
      </c>
      <c r="F58" s="1">
        <v>20</v>
      </c>
      <c r="G58" s="1">
        <v>20</v>
      </c>
      <c r="H58" s="1">
        <v>19</v>
      </c>
      <c r="I58" s="1">
        <v>20</v>
      </c>
      <c r="J58" s="42">
        <v>12</v>
      </c>
      <c r="K58" s="1">
        <v>20</v>
      </c>
    </row>
    <row r="59" spans="1:11" ht="15.75" x14ac:dyDescent="0.25">
      <c r="A59" s="1" t="str">
        <f>Student!B58</f>
        <v xml:space="preserve">YEBOAH OLIVIA  </v>
      </c>
      <c r="B59" s="1">
        <v>16</v>
      </c>
      <c r="C59" s="1">
        <v>12</v>
      </c>
      <c r="D59" s="1">
        <v>20</v>
      </c>
      <c r="E59" s="1">
        <v>20</v>
      </c>
      <c r="F59" s="1">
        <v>20</v>
      </c>
      <c r="G59" s="1">
        <v>20</v>
      </c>
      <c r="H59" s="1">
        <v>10</v>
      </c>
      <c r="I59" s="1">
        <v>14</v>
      </c>
      <c r="J59" s="42">
        <v>10</v>
      </c>
      <c r="K59" s="1">
        <v>20</v>
      </c>
    </row>
    <row r="60" spans="1:11" ht="15.75" x14ac:dyDescent="0.25">
      <c r="A60" s="1" t="str">
        <f>Student!B59</f>
        <v>BRAHENE PRISCILLA</v>
      </c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15.75" x14ac:dyDescent="0.25">
      <c r="A61" s="1">
        <f>Student!B60</f>
        <v>0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x14ac:dyDescent="0.25">
      <c r="A62" s="1">
        <f>Student!B61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 x14ac:dyDescent="0.2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 x14ac:dyDescent="0.2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 x14ac:dyDescent="0.2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 x14ac:dyDescent="0.2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 x14ac:dyDescent="0.2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</sheetData>
  <dataValidations count="1">
    <dataValidation type="whole" allowBlank="1" showInputMessage="1" showErrorMessage="1" errorTitle="Invalid Entery!" error="Value shoud not be more than 20." sqref="K41 B2:E339 F42:K339 F2:K40 F41:I41" xr:uid="{00000000-0002-0000-0A00-000000000000}">
      <formula1>0</formula1>
      <formula2>20</formula2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103"/>
  <sheetViews>
    <sheetView workbookViewId="0"/>
  </sheetViews>
  <sheetFormatPr defaultRowHeight="15.75" x14ac:dyDescent="0.25"/>
  <cols>
    <col min="1" max="1" width="56.42578125" style="1" customWidth="1"/>
    <col min="2" max="16384" width="9.140625" style="1"/>
  </cols>
  <sheetData>
    <row r="1" spans="1:11" ht="159.7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x14ac:dyDescent="0.25">
      <c r="A2" s="1" t="str">
        <f>Student!B2</f>
        <v xml:space="preserve">AGBENOR  ALFRED </v>
      </c>
      <c r="B2" s="1">
        <v>14</v>
      </c>
      <c r="C2" s="1">
        <v>14</v>
      </c>
      <c r="D2" s="1">
        <v>17</v>
      </c>
      <c r="E2" s="1">
        <v>19</v>
      </c>
      <c r="F2" s="1">
        <v>14</v>
      </c>
      <c r="G2" s="1">
        <v>17</v>
      </c>
      <c r="H2" s="1">
        <v>5</v>
      </c>
      <c r="I2" s="1">
        <v>14</v>
      </c>
      <c r="J2" s="42">
        <v>15</v>
      </c>
      <c r="K2" s="1">
        <v>20</v>
      </c>
    </row>
    <row r="3" spans="1:11" x14ac:dyDescent="0.25">
      <c r="A3" s="1" t="str">
        <f>Student!B3</f>
        <v xml:space="preserve">AGBENU JORDAN </v>
      </c>
      <c r="B3" s="1">
        <v>14</v>
      </c>
      <c r="C3" s="1">
        <v>14</v>
      </c>
      <c r="D3" s="1">
        <v>16</v>
      </c>
      <c r="E3" s="1">
        <v>13</v>
      </c>
      <c r="F3" s="1">
        <v>8</v>
      </c>
      <c r="G3" s="1">
        <v>17</v>
      </c>
      <c r="H3" s="1">
        <v>5</v>
      </c>
      <c r="I3" s="1">
        <v>14</v>
      </c>
      <c r="J3" s="42">
        <v>14</v>
      </c>
      <c r="K3" s="1">
        <v>20</v>
      </c>
    </row>
    <row r="4" spans="1:11" x14ac:dyDescent="0.25">
      <c r="A4" s="1" t="str">
        <f>Student!B4</f>
        <v>AGBO PRINCE</v>
      </c>
      <c r="B4" s="1">
        <v>16</v>
      </c>
      <c r="C4" s="1">
        <v>16</v>
      </c>
      <c r="D4" s="1">
        <v>16</v>
      </c>
      <c r="E4" s="1">
        <v>20</v>
      </c>
      <c r="F4" s="1">
        <v>20</v>
      </c>
      <c r="G4" s="1">
        <v>17</v>
      </c>
      <c r="H4" s="1">
        <v>5</v>
      </c>
      <c r="I4" s="1">
        <v>20</v>
      </c>
      <c r="J4" s="42">
        <v>13</v>
      </c>
      <c r="K4" s="1">
        <v>20</v>
      </c>
    </row>
    <row r="5" spans="1:11" x14ac:dyDescent="0.25">
      <c r="A5" s="1" t="str">
        <f>Student!B5</f>
        <v xml:space="preserve">AGBOTSE EBENEZER </v>
      </c>
      <c r="B5" s="1">
        <v>20</v>
      </c>
      <c r="C5" s="1">
        <v>20</v>
      </c>
      <c r="D5" s="1">
        <v>16</v>
      </c>
      <c r="E5" s="1">
        <v>11</v>
      </c>
      <c r="F5" s="1">
        <v>6</v>
      </c>
      <c r="G5" s="1">
        <v>12</v>
      </c>
      <c r="H5" s="1">
        <v>10</v>
      </c>
      <c r="I5" s="1">
        <v>10</v>
      </c>
      <c r="J5" s="42">
        <v>14</v>
      </c>
      <c r="K5" s="1">
        <v>20</v>
      </c>
    </row>
    <row r="6" spans="1:11" x14ac:dyDescent="0.25">
      <c r="A6" s="1" t="str">
        <f>Student!B6</f>
        <v xml:space="preserve">APPIAH EMMANUEL </v>
      </c>
      <c r="B6" s="1">
        <v>20</v>
      </c>
      <c r="C6" s="1">
        <v>20</v>
      </c>
      <c r="D6" s="1">
        <v>19</v>
      </c>
      <c r="E6" s="1">
        <v>7</v>
      </c>
      <c r="F6" s="1">
        <v>6</v>
      </c>
      <c r="G6" s="1">
        <v>15</v>
      </c>
      <c r="H6" s="1">
        <v>16</v>
      </c>
      <c r="I6" s="1">
        <v>6</v>
      </c>
      <c r="J6" s="42">
        <v>15</v>
      </c>
      <c r="K6" s="1">
        <v>20</v>
      </c>
    </row>
    <row r="7" spans="1:11" x14ac:dyDescent="0.25">
      <c r="A7" s="1" t="str">
        <f>Student!B7</f>
        <v xml:space="preserve">ASARE RICHMOND </v>
      </c>
      <c r="B7" s="1">
        <v>20</v>
      </c>
      <c r="C7" s="1">
        <v>20</v>
      </c>
      <c r="D7" s="1">
        <v>16</v>
      </c>
      <c r="E7" s="1">
        <v>5</v>
      </c>
      <c r="F7" s="1">
        <v>12</v>
      </c>
      <c r="G7" s="1">
        <v>12</v>
      </c>
      <c r="H7" s="1">
        <v>9</v>
      </c>
      <c r="I7" s="1">
        <v>10</v>
      </c>
      <c r="J7" s="42">
        <v>14</v>
      </c>
      <c r="K7" s="1">
        <v>20</v>
      </c>
    </row>
    <row r="8" spans="1:11" x14ac:dyDescent="0.25">
      <c r="A8" s="1" t="str">
        <f>Student!B8</f>
        <v xml:space="preserve">ASIAMAH JOSEPH </v>
      </c>
      <c r="B8" s="1">
        <v>20</v>
      </c>
      <c r="C8" s="1">
        <v>15</v>
      </c>
      <c r="D8" s="1">
        <v>17</v>
      </c>
      <c r="E8" s="1">
        <v>7</v>
      </c>
      <c r="F8" s="1">
        <v>12</v>
      </c>
      <c r="G8" s="1">
        <v>12</v>
      </c>
      <c r="H8" s="1">
        <v>5</v>
      </c>
      <c r="I8" s="1">
        <v>3</v>
      </c>
      <c r="J8" s="42">
        <v>15</v>
      </c>
      <c r="K8" s="1">
        <v>20</v>
      </c>
    </row>
    <row r="9" spans="1:11" x14ac:dyDescent="0.25">
      <c r="A9" s="1" t="str">
        <f>Student!B9</f>
        <v>AWUAH KEKELI JERRY</v>
      </c>
      <c r="B9" s="1">
        <v>15</v>
      </c>
      <c r="C9" s="1">
        <v>20</v>
      </c>
      <c r="D9" s="1">
        <v>17</v>
      </c>
      <c r="E9" s="1">
        <v>17</v>
      </c>
      <c r="F9" s="1">
        <v>12</v>
      </c>
      <c r="G9" s="1">
        <v>14</v>
      </c>
      <c r="H9" s="1">
        <v>10</v>
      </c>
      <c r="I9" s="1">
        <v>10</v>
      </c>
      <c r="J9" s="42">
        <v>14</v>
      </c>
      <c r="K9" s="1">
        <v>20</v>
      </c>
    </row>
    <row r="10" spans="1:11" x14ac:dyDescent="0.25">
      <c r="A10" s="1" t="str">
        <f>Student!B10</f>
        <v xml:space="preserve">BAWA BASSIT </v>
      </c>
      <c r="B10" s="1">
        <v>20</v>
      </c>
      <c r="C10" s="1">
        <v>20</v>
      </c>
      <c r="D10" s="1">
        <v>16</v>
      </c>
      <c r="E10" s="1">
        <v>5</v>
      </c>
      <c r="F10" s="1">
        <v>12</v>
      </c>
      <c r="G10" s="1">
        <v>12</v>
      </c>
      <c r="H10" s="1">
        <v>16</v>
      </c>
      <c r="I10" s="1">
        <v>10</v>
      </c>
      <c r="J10" s="42">
        <v>15</v>
      </c>
      <c r="K10" s="1">
        <v>20</v>
      </c>
    </row>
    <row r="11" spans="1:11" x14ac:dyDescent="0.25">
      <c r="A11" s="1" t="str">
        <f>Student!B11</f>
        <v xml:space="preserve">DANQWAH PHILIP </v>
      </c>
      <c r="B11" s="1">
        <v>20</v>
      </c>
      <c r="C11" s="1">
        <v>12</v>
      </c>
      <c r="D11" s="1">
        <v>19</v>
      </c>
      <c r="E11" s="1">
        <v>17</v>
      </c>
      <c r="F11" s="1">
        <v>12</v>
      </c>
      <c r="G11" s="1">
        <v>15</v>
      </c>
      <c r="H11" s="1">
        <v>5</v>
      </c>
      <c r="I11" s="1">
        <v>10</v>
      </c>
      <c r="J11" s="42">
        <v>14</v>
      </c>
      <c r="K11" s="1">
        <v>20</v>
      </c>
    </row>
    <row r="12" spans="1:11" x14ac:dyDescent="0.25">
      <c r="A12" s="1" t="str">
        <f>Student!B12</f>
        <v>DEDIHA GIDEON</v>
      </c>
      <c r="B12" s="1">
        <v>12</v>
      </c>
      <c r="C12" s="1">
        <v>20</v>
      </c>
      <c r="D12" s="1">
        <v>16</v>
      </c>
      <c r="E12" s="1">
        <v>7</v>
      </c>
      <c r="F12" s="1">
        <v>20</v>
      </c>
      <c r="G12" s="1">
        <v>14</v>
      </c>
      <c r="H12" s="1">
        <v>5</v>
      </c>
      <c r="I12" s="1">
        <v>8</v>
      </c>
      <c r="J12" s="42">
        <v>13</v>
      </c>
      <c r="K12" s="1">
        <v>20</v>
      </c>
    </row>
    <row r="13" spans="1:11" x14ac:dyDescent="0.25">
      <c r="A13" s="1" t="str">
        <f>Student!B13</f>
        <v xml:space="preserve">ENCHILL KENNETH  </v>
      </c>
      <c r="B13" s="1">
        <v>20</v>
      </c>
      <c r="C13" s="1">
        <v>20</v>
      </c>
      <c r="D13" s="1">
        <v>16</v>
      </c>
      <c r="E13" s="1">
        <v>20</v>
      </c>
      <c r="F13" s="1">
        <v>10</v>
      </c>
      <c r="G13" s="1">
        <v>16</v>
      </c>
      <c r="H13" s="1">
        <v>5</v>
      </c>
      <c r="I13" s="1">
        <v>10</v>
      </c>
      <c r="J13" s="42">
        <v>15</v>
      </c>
      <c r="K13" s="1">
        <v>20</v>
      </c>
    </row>
    <row r="14" spans="1:11" x14ac:dyDescent="0.25">
      <c r="A14" s="1" t="str">
        <f>Student!B14</f>
        <v xml:space="preserve">ENTSIE FRANCIS </v>
      </c>
      <c r="B14" s="1">
        <v>20</v>
      </c>
      <c r="C14" s="1">
        <v>16</v>
      </c>
      <c r="D14" s="1">
        <v>19</v>
      </c>
      <c r="E14" s="1">
        <v>15</v>
      </c>
      <c r="F14" s="1">
        <v>16</v>
      </c>
      <c r="G14" s="1">
        <v>15</v>
      </c>
      <c r="H14" s="1">
        <v>10</v>
      </c>
      <c r="I14" s="1">
        <v>10</v>
      </c>
      <c r="J14" s="42">
        <v>14</v>
      </c>
      <c r="K14" s="1">
        <v>20</v>
      </c>
    </row>
    <row r="15" spans="1:11" x14ac:dyDescent="0.25">
      <c r="A15" s="1" t="str">
        <f>Student!B15</f>
        <v xml:space="preserve">ESHUN EVANS </v>
      </c>
      <c r="B15" s="1">
        <v>16</v>
      </c>
      <c r="C15" s="1">
        <v>20</v>
      </c>
      <c r="D15" s="1">
        <v>19</v>
      </c>
      <c r="E15" s="1">
        <v>7</v>
      </c>
      <c r="F15" s="1">
        <v>16</v>
      </c>
      <c r="G15" s="1">
        <v>15</v>
      </c>
      <c r="H15" s="1">
        <v>5</v>
      </c>
      <c r="I15" s="1">
        <v>6</v>
      </c>
      <c r="J15" s="42">
        <v>13</v>
      </c>
      <c r="K15" s="1">
        <v>20</v>
      </c>
    </row>
    <row r="16" spans="1:11" x14ac:dyDescent="0.25">
      <c r="A16" s="1" t="str">
        <f>Student!B16</f>
        <v xml:space="preserve">GOMASHIE PRINCE </v>
      </c>
      <c r="B16" s="1">
        <v>20</v>
      </c>
      <c r="C16" s="1">
        <v>17</v>
      </c>
      <c r="D16" s="1">
        <v>16</v>
      </c>
      <c r="E16" s="1">
        <v>11</v>
      </c>
      <c r="F16" s="1">
        <v>14</v>
      </c>
      <c r="G16" s="1">
        <v>17</v>
      </c>
      <c r="H16" s="1">
        <v>5</v>
      </c>
      <c r="I16" s="1">
        <v>12</v>
      </c>
      <c r="J16" s="42">
        <v>15</v>
      </c>
      <c r="K16" s="1">
        <v>20</v>
      </c>
    </row>
    <row r="17" spans="1:11" x14ac:dyDescent="0.25">
      <c r="A17" s="1" t="str">
        <f>Student!B17</f>
        <v xml:space="preserve">NUMEGBOR WISDOM </v>
      </c>
      <c r="B17" s="1">
        <v>19</v>
      </c>
      <c r="C17" s="1">
        <v>19</v>
      </c>
      <c r="D17" s="1">
        <v>19</v>
      </c>
      <c r="E17" s="1">
        <v>7</v>
      </c>
      <c r="F17" s="1">
        <v>10</v>
      </c>
      <c r="G17" s="1">
        <v>14</v>
      </c>
      <c r="H17" s="1">
        <v>5</v>
      </c>
      <c r="I17" s="1">
        <v>4</v>
      </c>
      <c r="J17" s="42">
        <v>14</v>
      </c>
      <c r="K17" s="1">
        <v>20</v>
      </c>
    </row>
    <row r="18" spans="1:11" x14ac:dyDescent="0.25">
      <c r="A18" s="1" t="str">
        <f>Student!B18</f>
        <v xml:space="preserve">OFFEI JUSTICE </v>
      </c>
      <c r="B18" s="1">
        <v>18</v>
      </c>
      <c r="C18" s="1">
        <v>18</v>
      </c>
      <c r="D18" s="1">
        <v>17</v>
      </c>
      <c r="E18" s="1">
        <v>19</v>
      </c>
      <c r="F18" s="1">
        <v>16</v>
      </c>
      <c r="G18" s="1">
        <v>17</v>
      </c>
      <c r="H18" s="1">
        <v>5</v>
      </c>
      <c r="I18" s="1">
        <v>16</v>
      </c>
      <c r="J18" s="42">
        <v>13</v>
      </c>
      <c r="K18" s="1">
        <v>20</v>
      </c>
    </row>
    <row r="19" spans="1:11" x14ac:dyDescent="0.25">
      <c r="A19" s="1" t="str">
        <f>Student!B19</f>
        <v xml:space="preserve">OSEI BELVIS </v>
      </c>
      <c r="B19" s="1">
        <v>19</v>
      </c>
      <c r="C19" s="1">
        <v>19</v>
      </c>
      <c r="D19" s="1">
        <v>19</v>
      </c>
      <c r="E19" s="1">
        <v>15</v>
      </c>
      <c r="F19" s="1">
        <v>12</v>
      </c>
      <c r="G19" s="1">
        <v>20</v>
      </c>
      <c r="H19" s="1">
        <v>5</v>
      </c>
      <c r="I19" s="1">
        <v>10</v>
      </c>
      <c r="J19" s="42">
        <v>15</v>
      </c>
      <c r="K19" s="1">
        <v>20</v>
      </c>
    </row>
    <row r="20" spans="1:11" x14ac:dyDescent="0.25">
      <c r="A20" s="1" t="str">
        <f>Student!B20</f>
        <v xml:space="preserve">OTU KOFI SOLOMON  </v>
      </c>
      <c r="B20" s="1">
        <v>20</v>
      </c>
      <c r="C20" s="1">
        <v>20</v>
      </c>
      <c r="D20" s="1">
        <v>16</v>
      </c>
      <c r="E20" s="1">
        <v>7</v>
      </c>
      <c r="F20" s="1">
        <v>20</v>
      </c>
      <c r="G20" s="1">
        <v>16</v>
      </c>
      <c r="H20" s="1">
        <v>5</v>
      </c>
      <c r="I20" s="1">
        <v>8</v>
      </c>
      <c r="J20" s="42">
        <v>13</v>
      </c>
      <c r="K20" s="1">
        <v>20</v>
      </c>
    </row>
    <row r="21" spans="1:11" x14ac:dyDescent="0.25">
      <c r="A21" s="1" t="str">
        <f>Student!B21</f>
        <v xml:space="preserve">OWUSU RUBEN </v>
      </c>
      <c r="B21" s="1">
        <v>20</v>
      </c>
      <c r="C21" s="1">
        <v>17</v>
      </c>
      <c r="D21" s="1">
        <v>10</v>
      </c>
      <c r="E21" s="1">
        <v>7</v>
      </c>
      <c r="F21" s="1">
        <v>12</v>
      </c>
      <c r="G21" s="1">
        <v>15</v>
      </c>
      <c r="H21" s="1">
        <v>5</v>
      </c>
      <c r="I21" s="1">
        <v>3</v>
      </c>
      <c r="J21" s="42">
        <v>14</v>
      </c>
      <c r="K21" s="1">
        <v>20</v>
      </c>
    </row>
    <row r="22" spans="1:11" x14ac:dyDescent="0.25">
      <c r="A22" s="1" t="str">
        <f>Student!B22</f>
        <v xml:space="preserve">SEIDU IBRAHIM </v>
      </c>
      <c r="B22" s="1">
        <v>19</v>
      </c>
      <c r="C22" s="1">
        <v>16</v>
      </c>
      <c r="D22" s="1">
        <v>17</v>
      </c>
      <c r="E22" s="1">
        <v>7</v>
      </c>
      <c r="F22" s="1">
        <v>13</v>
      </c>
      <c r="G22" s="1">
        <v>12</v>
      </c>
      <c r="H22" s="1">
        <v>5</v>
      </c>
      <c r="I22" s="1">
        <v>8</v>
      </c>
      <c r="J22" s="42">
        <v>15</v>
      </c>
      <c r="K22" s="1">
        <v>20</v>
      </c>
    </row>
    <row r="23" spans="1:11" x14ac:dyDescent="0.25">
      <c r="A23" s="1" t="str">
        <f>Student!B23</f>
        <v xml:space="preserve">TAGBOR MICHAEL </v>
      </c>
      <c r="B23" s="1">
        <v>20</v>
      </c>
      <c r="C23" s="1">
        <v>15</v>
      </c>
      <c r="D23" s="1">
        <v>16</v>
      </c>
      <c r="E23" s="1">
        <v>5</v>
      </c>
      <c r="F23" s="1">
        <v>15</v>
      </c>
      <c r="G23" s="1">
        <v>15</v>
      </c>
      <c r="H23" s="1">
        <v>5</v>
      </c>
      <c r="I23" s="1">
        <v>4</v>
      </c>
      <c r="J23" s="42">
        <v>13</v>
      </c>
      <c r="K23" s="1">
        <v>20</v>
      </c>
    </row>
    <row r="24" spans="1:11" x14ac:dyDescent="0.25">
      <c r="A24" s="1" t="str">
        <f>Student!B24</f>
        <v xml:space="preserve">ACQUAH PRISCILLA  </v>
      </c>
      <c r="B24" s="1">
        <v>13</v>
      </c>
      <c r="C24" s="1">
        <v>13</v>
      </c>
      <c r="D24" s="1">
        <v>19</v>
      </c>
      <c r="E24" s="1">
        <v>5</v>
      </c>
      <c r="F24" s="1">
        <v>17</v>
      </c>
      <c r="G24" s="1">
        <v>15</v>
      </c>
      <c r="H24" s="1">
        <v>12</v>
      </c>
      <c r="I24" s="1">
        <v>8</v>
      </c>
      <c r="J24" s="42">
        <v>14</v>
      </c>
      <c r="K24" s="1">
        <v>20</v>
      </c>
    </row>
    <row r="25" spans="1:11" x14ac:dyDescent="0.25">
      <c r="A25" s="1" t="str">
        <f>Student!B25</f>
        <v xml:space="preserve">ADI ROSE  </v>
      </c>
      <c r="B25" s="1">
        <v>20</v>
      </c>
      <c r="C25" s="1">
        <v>20</v>
      </c>
      <c r="D25" s="1">
        <v>19</v>
      </c>
      <c r="E25" s="1">
        <v>15</v>
      </c>
      <c r="F25" s="1">
        <v>13</v>
      </c>
      <c r="G25" s="1">
        <v>15</v>
      </c>
      <c r="H25" s="1">
        <v>16</v>
      </c>
      <c r="I25" s="1">
        <v>12</v>
      </c>
      <c r="J25" s="42">
        <v>15</v>
      </c>
      <c r="K25" s="1">
        <v>20</v>
      </c>
    </row>
    <row r="26" spans="1:11" x14ac:dyDescent="0.25">
      <c r="A26" s="1" t="str">
        <f>Student!B26</f>
        <v xml:space="preserve">ADOMAKO PRISCILLA  </v>
      </c>
      <c r="B26" s="1">
        <v>20</v>
      </c>
      <c r="C26" s="1">
        <v>20</v>
      </c>
      <c r="D26" s="1">
        <v>19</v>
      </c>
      <c r="E26" s="1">
        <v>20</v>
      </c>
      <c r="F26" s="1">
        <v>14</v>
      </c>
      <c r="G26" s="1">
        <v>15</v>
      </c>
      <c r="H26" s="1">
        <v>5</v>
      </c>
      <c r="I26" s="1">
        <v>10</v>
      </c>
      <c r="J26" s="42">
        <v>14</v>
      </c>
      <c r="K26" s="1">
        <v>20</v>
      </c>
    </row>
    <row r="27" spans="1:11" x14ac:dyDescent="0.25">
      <c r="A27" s="1" t="str">
        <f>Student!B27</f>
        <v xml:space="preserve">AGBEMAZI PRECIOUS  </v>
      </c>
      <c r="B27" s="1">
        <v>16</v>
      </c>
      <c r="C27" s="1">
        <v>16</v>
      </c>
      <c r="D27" s="1">
        <v>10</v>
      </c>
      <c r="E27" s="1">
        <v>20</v>
      </c>
      <c r="F27" s="1">
        <v>17</v>
      </c>
      <c r="G27" s="1">
        <v>13</v>
      </c>
      <c r="H27" s="1">
        <v>7</v>
      </c>
      <c r="I27" s="1">
        <v>14</v>
      </c>
      <c r="J27" s="42">
        <v>15</v>
      </c>
      <c r="K27" s="1">
        <v>20</v>
      </c>
    </row>
    <row r="28" spans="1:11" x14ac:dyDescent="0.25">
      <c r="A28" s="1" t="str">
        <f>Student!B28</f>
        <v xml:space="preserve">AGBENYEFIA BRIDGET </v>
      </c>
      <c r="B28" s="1">
        <v>11</v>
      </c>
      <c r="C28" s="1">
        <v>11</v>
      </c>
      <c r="D28" s="1">
        <v>17</v>
      </c>
      <c r="E28" s="1">
        <v>5</v>
      </c>
      <c r="F28" s="1">
        <v>16</v>
      </c>
      <c r="G28" s="1">
        <v>13</v>
      </c>
      <c r="H28" s="1">
        <v>5</v>
      </c>
      <c r="I28" s="1">
        <v>8</v>
      </c>
      <c r="J28" s="42">
        <v>13</v>
      </c>
      <c r="K28" s="1">
        <v>20</v>
      </c>
    </row>
    <row r="29" spans="1:11" x14ac:dyDescent="0.25">
      <c r="A29" s="1" t="str">
        <f>Student!B29</f>
        <v xml:space="preserve">AKATAYURE REGINA  </v>
      </c>
      <c r="B29" s="1">
        <v>19</v>
      </c>
      <c r="C29" s="1">
        <v>19</v>
      </c>
      <c r="D29" s="1">
        <v>17</v>
      </c>
      <c r="E29" s="1">
        <v>9</v>
      </c>
      <c r="F29" s="1">
        <v>12</v>
      </c>
      <c r="G29" s="1">
        <v>12</v>
      </c>
      <c r="H29" s="1">
        <v>6</v>
      </c>
      <c r="I29" s="1">
        <v>10</v>
      </c>
      <c r="J29" s="42">
        <v>15</v>
      </c>
      <c r="K29" s="1">
        <v>20</v>
      </c>
    </row>
    <row r="30" spans="1:11" x14ac:dyDescent="0.25">
      <c r="A30" s="1" t="str">
        <f>Student!B30</f>
        <v>AKROFI DORCAS</v>
      </c>
      <c r="B30" s="1">
        <v>13</v>
      </c>
      <c r="C30" s="1">
        <v>13</v>
      </c>
      <c r="D30" s="1">
        <v>16</v>
      </c>
      <c r="E30" s="1">
        <v>20</v>
      </c>
      <c r="F30" s="1">
        <v>15</v>
      </c>
      <c r="G30" s="1">
        <v>12</v>
      </c>
      <c r="H30" s="1">
        <v>5</v>
      </c>
      <c r="I30" s="1">
        <v>10</v>
      </c>
      <c r="J30" s="42">
        <v>14</v>
      </c>
      <c r="K30" s="1">
        <v>20</v>
      </c>
    </row>
    <row r="31" spans="1:11" x14ac:dyDescent="0.25">
      <c r="A31" s="1" t="str">
        <f>Student!B31</f>
        <v xml:space="preserve">AMOAH SAFOA </v>
      </c>
      <c r="B31" s="1">
        <v>20</v>
      </c>
      <c r="C31" s="1">
        <v>20</v>
      </c>
      <c r="D31" s="1">
        <v>19</v>
      </c>
      <c r="E31" s="1">
        <v>20</v>
      </c>
      <c r="F31" s="1">
        <v>16</v>
      </c>
      <c r="G31" s="1">
        <v>17</v>
      </c>
      <c r="H31" s="1">
        <v>5</v>
      </c>
      <c r="I31" s="1">
        <v>8</v>
      </c>
      <c r="J31" s="42">
        <v>13</v>
      </c>
      <c r="K31" s="1">
        <v>20</v>
      </c>
    </row>
    <row r="32" spans="1:11" x14ac:dyDescent="0.25">
      <c r="A32" s="1" t="str">
        <f>Student!B32</f>
        <v>ANIM AMOAH NHYIRABA</v>
      </c>
      <c r="B32" s="1">
        <v>17</v>
      </c>
      <c r="C32" s="1">
        <v>17</v>
      </c>
      <c r="D32" s="1">
        <v>19</v>
      </c>
      <c r="E32" s="1">
        <v>5</v>
      </c>
      <c r="F32" s="1">
        <v>18</v>
      </c>
      <c r="G32" s="1">
        <v>17</v>
      </c>
      <c r="H32" s="1">
        <v>5</v>
      </c>
      <c r="I32" s="1">
        <v>3</v>
      </c>
      <c r="J32" s="42">
        <v>13</v>
      </c>
      <c r="K32" s="1">
        <v>20</v>
      </c>
    </row>
    <row r="33" spans="1:11" x14ac:dyDescent="0.25">
      <c r="A33" s="1" t="str">
        <f>Student!B33</f>
        <v xml:space="preserve">APPIAH GLADYS  </v>
      </c>
      <c r="B33" s="1">
        <v>15</v>
      </c>
      <c r="C33" s="1">
        <v>14</v>
      </c>
      <c r="D33" s="1">
        <v>16</v>
      </c>
      <c r="E33" s="1">
        <v>20</v>
      </c>
      <c r="F33" s="1">
        <v>16</v>
      </c>
      <c r="G33" s="1">
        <v>15</v>
      </c>
      <c r="H33" s="1">
        <v>9</v>
      </c>
      <c r="I33" s="1">
        <v>10</v>
      </c>
      <c r="J33" s="42">
        <v>14</v>
      </c>
      <c r="K33" s="1">
        <v>20</v>
      </c>
    </row>
    <row r="34" spans="1:11" x14ac:dyDescent="0.25">
      <c r="A34" s="1" t="str">
        <f>Student!B34</f>
        <v xml:space="preserve">ASAMOAH STELLA  </v>
      </c>
      <c r="B34" s="1">
        <v>20</v>
      </c>
      <c r="C34" s="1">
        <v>20</v>
      </c>
      <c r="D34" s="1">
        <v>19</v>
      </c>
      <c r="E34" s="1">
        <v>17</v>
      </c>
      <c r="F34" s="1">
        <v>12</v>
      </c>
      <c r="G34" s="1">
        <v>15</v>
      </c>
      <c r="H34" s="1">
        <v>5</v>
      </c>
      <c r="I34" s="1">
        <v>3</v>
      </c>
      <c r="J34" s="42">
        <v>15</v>
      </c>
      <c r="K34" s="1">
        <v>20</v>
      </c>
    </row>
    <row r="35" spans="1:11" x14ac:dyDescent="0.25">
      <c r="A35" s="1" t="str">
        <f>Student!B35</f>
        <v xml:space="preserve">ASHANGBOR ABIGAIL  </v>
      </c>
      <c r="B35" s="1">
        <v>20</v>
      </c>
      <c r="C35" s="1">
        <v>20</v>
      </c>
      <c r="D35" s="1">
        <v>17</v>
      </c>
      <c r="E35" s="1">
        <v>20</v>
      </c>
      <c r="F35" s="1">
        <v>14</v>
      </c>
      <c r="G35" s="1">
        <v>11</v>
      </c>
      <c r="H35" s="1">
        <v>11</v>
      </c>
      <c r="I35" s="1">
        <v>10</v>
      </c>
      <c r="J35" s="42">
        <v>14</v>
      </c>
      <c r="K35" s="1">
        <v>20</v>
      </c>
    </row>
    <row r="36" spans="1:11" x14ac:dyDescent="0.25">
      <c r="A36" s="1" t="str">
        <f>Student!B36</f>
        <v xml:space="preserve">ASIGBEY JOYCE  </v>
      </c>
      <c r="B36" s="1">
        <v>20</v>
      </c>
      <c r="C36" s="1">
        <v>20</v>
      </c>
      <c r="D36" s="1">
        <v>19</v>
      </c>
      <c r="E36" s="1">
        <v>7</v>
      </c>
      <c r="F36" s="1">
        <v>15</v>
      </c>
      <c r="G36" s="1">
        <v>12</v>
      </c>
      <c r="H36" s="1">
        <v>5</v>
      </c>
      <c r="I36" s="1">
        <v>10</v>
      </c>
      <c r="J36" s="42">
        <v>15</v>
      </c>
      <c r="K36" s="1">
        <v>20</v>
      </c>
    </row>
    <row r="37" spans="1:11" x14ac:dyDescent="0.25">
      <c r="A37" s="1" t="str">
        <f>Student!B37</f>
        <v xml:space="preserve">ATTIPOE EUNICE </v>
      </c>
      <c r="B37" s="1">
        <v>14</v>
      </c>
      <c r="C37" s="1">
        <v>14</v>
      </c>
      <c r="D37" s="1">
        <v>19</v>
      </c>
      <c r="E37" s="1">
        <v>15</v>
      </c>
      <c r="F37" s="1">
        <v>16</v>
      </c>
      <c r="G37" s="1">
        <v>17</v>
      </c>
      <c r="H37" s="1">
        <v>16</v>
      </c>
      <c r="I37" s="1">
        <v>12</v>
      </c>
      <c r="J37" s="42">
        <v>13</v>
      </c>
      <c r="K37" s="1">
        <v>20</v>
      </c>
    </row>
    <row r="38" spans="1:11" x14ac:dyDescent="0.25">
      <c r="A38" s="1" t="str">
        <f>Student!B38</f>
        <v xml:space="preserve">BAAH COMFORT  </v>
      </c>
      <c r="B38" s="1">
        <v>18</v>
      </c>
      <c r="C38" s="1">
        <v>18</v>
      </c>
      <c r="D38" s="1">
        <v>16</v>
      </c>
      <c r="E38" s="1">
        <v>9</v>
      </c>
      <c r="F38" s="1">
        <v>17</v>
      </c>
      <c r="G38" s="1">
        <v>17</v>
      </c>
      <c r="H38" s="1">
        <v>9</v>
      </c>
      <c r="I38" s="1">
        <v>8</v>
      </c>
      <c r="J38" s="42">
        <v>10</v>
      </c>
      <c r="K38" s="1">
        <v>20</v>
      </c>
    </row>
    <row r="39" spans="1:11" x14ac:dyDescent="0.25">
      <c r="A39" s="1" t="str">
        <f>Student!B39</f>
        <v xml:space="preserve">BOATENG AGNES  </v>
      </c>
      <c r="B39" s="1">
        <v>18</v>
      </c>
      <c r="C39" s="1">
        <v>19</v>
      </c>
      <c r="D39" s="1">
        <v>19</v>
      </c>
      <c r="E39" s="1">
        <v>15</v>
      </c>
      <c r="F39" s="1">
        <v>16</v>
      </c>
      <c r="G39" s="1">
        <v>11</v>
      </c>
      <c r="H39" s="1">
        <v>5</v>
      </c>
      <c r="I39" s="1">
        <v>3</v>
      </c>
      <c r="J39" s="42">
        <v>14</v>
      </c>
      <c r="K39" s="1">
        <v>20</v>
      </c>
    </row>
    <row r="40" spans="1:11" x14ac:dyDescent="0.25">
      <c r="A40" s="1" t="str">
        <f>Student!B40</f>
        <v xml:space="preserve">BONNEY CHARITY  </v>
      </c>
      <c r="J40" s="42"/>
      <c r="K40" s="1">
        <v>20</v>
      </c>
    </row>
    <row r="41" spans="1:11" x14ac:dyDescent="0.25">
      <c r="A41" s="1" t="s">
        <v>168</v>
      </c>
      <c r="J41" s="42"/>
    </row>
    <row r="42" spans="1:11" x14ac:dyDescent="0.25">
      <c r="A42" s="1" t="str">
        <f>Student!B41</f>
        <v xml:space="preserve">DIXON HARRIET  </v>
      </c>
      <c r="B42" s="1">
        <v>18</v>
      </c>
      <c r="C42" s="1">
        <v>18</v>
      </c>
      <c r="D42" s="1">
        <v>16</v>
      </c>
      <c r="E42" s="1">
        <v>4</v>
      </c>
      <c r="F42" s="1">
        <v>12</v>
      </c>
      <c r="G42" s="1">
        <v>20</v>
      </c>
      <c r="H42" s="1">
        <v>5</v>
      </c>
      <c r="I42" s="1">
        <v>16</v>
      </c>
      <c r="J42" s="42">
        <v>15</v>
      </c>
      <c r="K42" s="1">
        <v>20</v>
      </c>
    </row>
    <row r="43" spans="1:11" x14ac:dyDescent="0.25">
      <c r="A43" s="1" t="str">
        <f>Student!B42</f>
        <v xml:space="preserve">DJABA BELINDA  </v>
      </c>
      <c r="B43" s="1">
        <v>17</v>
      </c>
      <c r="C43" s="1">
        <v>17</v>
      </c>
      <c r="D43" s="1">
        <v>16</v>
      </c>
      <c r="E43" s="1">
        <v>4</v>
      </c>
      <c r="F43" s="1">
        <v>13</v>
      </c>
      <c r="G43" s="1">
        <v>15</v>
      </c>
      <c r="H43" s="1">
        <v>5</v>
      </c>
      <c r="I43" s="1">
        <v>18</v>
      </c>
      <c r="J43" s="42">
        <v>14</v>
      </c>
      <c r="K43" s="1">
        <v>20</v>
      </c>
    </row>
    <row r="44" spans="1:11" x14ac:dyDescent="0.25">
      <c r="A44" s="1" t="str">
        <f>Student!B43</f>
        <v xml:space="preserve">ESSEL EMMANUELLA  </v>
      </c>
      <c r="B44" s="1">
        <v>12</v>
      </c>
      <c r="C44" s="1">
        <v>12</v>
      </c>
      <c r="D44" s="1">
        <v>19</v>
      </c>
      <c r="E44" s="1">
        <v>10</v>
      </c>
      <c r="F44" s="1">
        <v>16</v>
      </c>
      <c r="G44" s="1">
        <v>15</v>
      </c>
      <c r="H44" s="1">
        <v>9</v>
      </c>
      <c r="I44" s="1">
        <v>6</v>
      </c>
      <c r="J44" s="42">
        <v>10</v>
      </c>
      <c r="K44" s="1">
        <v>20</v>
      </c>
    </row>
    <row r="45" spans="1:11" x14ac:dyDescent="0.25">
      <c r="A45" s="1" t="str">
        <f>Student!B44</f>
        <v xml:space="preserve">GAMAH ANGELA  </v>
      </c>
      <c r="B45" s="1">
        <v>12</v>
      </c>
      <c r="C45" s="1">
        <v>12</v>
      </c>
      <c r="D45" s="1">
        <v>16</v>
      </c>
      <c r="E45" s="1">
        <v>10</v>
      </c>
      <c r="F45" s="1">
        <v>17</v>
      </c>
      <c r="G45" s="1">
        <v>17</v>
      </c>
      <c r="H45" s="1">
        <v>11</v>
      </c>
      <c r="I45" s="1">
        <v>14</v>
      </c>
      <c r="J45" s="42">
        <v>15</v>
      </c>
      <c r="K45" s="1">
        <v>20</v>
      </c>
    </row>
    <row r="46" spans="1:11" x14ac:dyDescent="0.25">
      <c r="A46" s="1" t="str">
        <f>Student!B45</f>
        <v xml:space="preserve">GAMOR ESTHER  </v>
      </c>
      <c r="B46" s="1">
        <v>18</v>
      </c>
      <c r="C46" s="1">
        <v>18</v>
      </c>
      <c r="D46" s="1">
        <v>19</v>
      </c>
      <c r="E46" s="1">
        <v>10</v>
      </c>
      <c r="F46" s="1">
        <v>13</v>
      </c>
      <c r="G46" s="1">
        <v>20</v>
      </c>
      <c r="H46" s="1">
        <v>5</v>
      </c>
      <c r="I46" s="1">
        <v>12</v>
      </c>
      <c r="J46" s="42">
        <v>13</v>
      </c>
      <c r="K46" s="1">
        <v>20</v>
      </c>
    </row>
    <row r="47" spans="1:11" x14ac:dyDescent="0.25">
      <c r="A47" s="1" t="str">
        <f>Student!B46</f>
        <v xml:space="preserve">GYEMENA SERWAH  </v>
      </c>
      <c r="B47" s="1">
        <v>20</v>
      </c>
      <c r="C47" s="1">
        <v>20</v>
      </c>
      <c r="D47" s="1">
        <v>16</v>
      </c>
      <c r="E47" s="1">
        <v>6</v>
      </c>
      <c r="F47" s="1">
        <v>15</v>
      </c>
      <c r="G47" s="1">
        <v>12</v>
      </c>
      <c r="H47" s="1">
        <v>8</v>
      </c>
      <c r="I47" s="1">
        <v>8</v>
      </c>
      <c r="J47" s="42">
        <v>14</v>
      </c>
      <c r="K47" s="1">
        <v>20</v>
      </c>
    </row>
    <row r="48" spans="1:11" x14ac:dyDescent="0.25">
      <c r="A48" s="1" t="str">
        <f>Student!B47</f>
        <v xml:space="preserve">HABLEAME SHILLA  </v>
      </c>
      <c r="B48" s="1">
        <v>20</v>
      </c>
      <c r="C48" s="1">
        <v>20</v>
      </c>
      <c r="D48" s="1">
        <v>16</v>
      </c>
      <c r="E48" s="1">
        <v>10</v>
      </c>
      <c r="F48" s="1">
        <v>17</v>
      </c>
      <c r="G48" s="1">
        <v>11</v>
      </c>
      <c r="H48" s="1">
        <v>9</v>
      </c>
      <c r="I48" s="1">
        <v>12</v>
      </c>
      <c r="J48" s="42">
        <v>10</v>
      </c>
      <c r="K48" s="1">
        <v>20</v>
      </c>
    </row>
    <row r="49" spans="1:11" x14ac:dyDescent="0.25">
      <c r="A49" s="1" t="str">
        <f>Student!B48</f>
        <v xml:space="preserve">MENSAH FLORENCE  </v>
      </c>
      <c r="B49" s="1">
        <v>12</v>
      </c>
      <c r="C49" s="1">
        <v>12</v>
      </c>
      <c r="D49" s="1">
        <v>17</v>
      </c>
      <c r="E49" s="1">
        <v>10</v>
      </c>
      <c r="F49" s="1">
        <v>12</v>
      </c>
      <c r="G49" s="1">
        <v>12</v>
      </c>
      <c r="H49" s="1">
        <v>5</v>
      </c>
      <c r="I49" s="1">
        <v>10</v>
      </c>
      <c r="J49" s="42">
        <v>15</v>
      </c>
      <c r="K49" s="1">
        <v>20</v>
      </c>
    </row>
    <row r="50" spans="1:11" x14ac:dyDescent="0.25">
      <c r="A50" s="1" t="str">
        <f>Student!B49</f>
        <v xml:space="preserve">MENSAH VANESSA  </v>
      </c>
      <c r="J50" s="42"/>
    </row>
    <row r="51" spans="1:11" x14ac:dyDescent="0.25">
      <c r="A51" s="1" t="str">
        <f>Student!B50</f>
        <v xml:space="preserve">NKETIA POKUAA CECELIA  </v>
      </c>
      <c r="B51" s="1">
        <v>20</v>
      </c>
      <c r="C51" s="1">
        <v>18</v>
      </c>
      <c r="D51" s="1">
        <v>16</v>
      </c>
      <c r="E51" s="1">
        <v>20</v>
      </c>
      <c r="F51" s="1">
        <v>17</v>
      </c>
      <c r="G51" s="1">
        <v>20</v>
      </c>
      <c r="H51" s="1">
        <v>5</v>
      </c>
      <c r="I51" s="1">
        <v>14</v>
      </c>
      <c r="J51" s="42">
        <v>15</v>
      </c>
      <c r="K51" s="1">
        <v>20</v>
      </c>
    </row>
    <row r="52" spans="1:11" x14ac:dyDescent="0.25">
      <c r="A52" s="1" t="str">
        <f>Student!B51</f>
        <v xml:space="preserve">ODOI MARGARET  </v>
      </c>
      <c r="B52" s="1">
        <v>18</v>
      </c>
      <c r="C52" s="1">
        <v>14</v>
      </c>
      <c r="D52" s="1">
        <v>16</v>
      </c>
      <c r="E52" s="1">
        <v>2</v>
      </c>
      <c r="F52" s="1">
        <v>15</v>
      </c>
      <c r="G52" s="1">
        <v>12</v>
      </c>
      <c r="H52" s="1">
        <v>9</v>
      </c>
      <c r="I52" s="1">
        <v>3</v>
      </c>
      <c r="J52" s="42">
        <v>10</v>
      </c>
      <c r="K52" s="1">
        <v>20</v>
      </c>
    </row>
    <row r="53" spans="1:11" x14ac:dyDescent="0.25">
      <c r="A53" s="1" t="str">
        <f>Student!B52</f>
        <v xml:space="preserve">OKYERE PRISCILLA  </v>
      </c>
      <c r="B53" s="1">
        <v>14</v>
      </c>
      <c r="C53" s="1">
        <v>19</v>
      </c>
      <c r="D53" s="1">
        <v>17</v>
      </c>
      <c r="E53" s="1">
        <v>10</v>
      </c>
      <c r="F53" s="1">
        <v>13</v>
      </c>
      <c r="G53" s="1">
        <v>20</v>
      </c>
      <c r="H53" s="1">
        <v>14</v>
      </c>
      <c r="I53" s="1">
        <v>16</v>
      </c>
      <c r="J53" s="42">
        <v>13</v>
      </c>
      <c r="K53" s="1">
        <v>20</v>
      </c>
    </row>
    <row r="54" spans="1:11" x14ac:dyDescent="0.25">
      <c r="A54" s="1" t="str">
        <f>Student!B53</f>
        <v xml:space="preserve">SALIFU ZULAIHA  </v>
      </c>
      <c r="B54" s="1">
        <v>18</v>
      </c>
      <c r="C54" s="1">
        <v>13</v>
      </c>
      <c r="D54" s="1">
        <v>17</v>
      </c>
      <c r="E54" s="1">
        <v>10</v>
      </c>
      <c r="F54" s="1">
        <v>15</v>
      </c>
      <c r="G54" s="1">
        <v>15</v>
      </c>
      <c r="H54" s="1">
        <v>6</v>
      </c>
      <c r="I54" s="1">
        <v>3</v>
      </c>
      <c r="J54" s="42">
        <v>10</v>
      </c>
      <c r="K54" s="1">
        <v>20</v>
      </c>
    </row>
    <row r="55" spans="1:11" x14ac:dyDescent="0.25">
      <c r="A55" s="1" t="str">
        <f>Student!B54</f>
        <v>SEFA AMA OWUSUWAA</v>
      </c>
      <c r="B55" s="1">
        <v>14</v>
      </c>
      <c r="C55" s="1">
        <v>13</v>
      </c>
      <c r="D55" s="1">
        <v>16</v>
      </c>
      <c r="E55" s="1">
        <v>20</v>
      </c>
      <c r="F55" s="1">
        <v>13</v>
      </c>
      <c r="G55" s="1">
        <v>17</v>
      </c>
      <c r="H55" s="1">
        <v>5</v>
      </c>
      <c r="I55" s="1">
        <v>6</v>
      </c>
      <c r="J55" s="42">
        <v>14</v>
      </c>
      <c r="K55" s="1">
        <v>20</v>
      </c>
    </row>
    <row r="56" spans="1:11" x14ac:dyDescent="0.25">
      <c r="A56" s="1" t="str">
        <f>Student!B55</f>
        <v xml:space="preserve">TETTEH MAVIS  </v>
      </c>
      <c r="B56" s="1">
        <v>18</v>
      </c>
      <c r="C56" s="1">
        <v>20</v>
      </c>
      <c r="D56" s="1">
        <v>16</v>
      </c>
      <c r="E56" s="1">
        <v>0</v>
      </c>
      <c r="F56" s="1">
        <v>14</v>
      </c>
      <c r="G56" s="1">
        <v>18</v>
      </c>
      <c r="H56" s="1">
        <v>9</v>
      </c>
      <c r="I56" s="1">
        <v>8</v>
      </c>
      <c r="J56" s="42">
        <v>10</v>
      </c>
      <c r="K56" s="1">
        <v>20</v>
      </c>
    </row>
    <row r="57" spans="1:11" x14ac:dyDescent="0.25">
      <c r="A57" s="1" t="str">
        <f>Student!B56</f>
        <v xml:space="preserve">TWUMASI VERA  </v>
      </c>
      <c r="B57" s="1">
        <v>20</v>
      </c>
      <c r="C57" s="1">
        <v>20</v>
      </c>
      <c r="D57" s="1">
        <v>17</v>
      </c>
      <c r="E57" s="1">
        <v>12</v>
      </c>
      <c r="F57" s="1">
        <v>15</v>
      </c>
      <c r="G57" s="1">
        <v>14</v>
      </c>
      <c r="H57" s="1">
        <v>5</v>
      </c>
      <c r="I57" s="1">
        <v>16</v>
      </c>
      <c r="J57" s="42">
        <v>10</v>
      </c>
      <c r="K57" s="1">
        <v>20</v>
      </c>
    </row>
    <row r="58" spans="1:11" x14ac:dyDescent="0.25">
      <c r="A58" s="1" t="str">
        <f>Student!B57</f>
        <v xml:space="preserve">WORMENOR JULIA  </v>
      </c>
      <c r="B58" s="1">
        <v>20</v>
      </c>
      <c r="C58" s="1">
        <v>16</v>
      </c>
      <c r="D58" s="1">
        <v>19</v>
      </c>
      <c r="E58" s="1">
        <v>20</v>
      </c>
      <c r="F58" s="1">
        <v>16</v>
      </c>
      <c r="G58" s="1">
        <v>15</v>
      </c>
      <c r="H58" s="1">
        <v>16</v>
      </c>
      <c r="I58" s="1">
        <v>16</v>
      </c>
      <c r="J58" s="42">
        <v>15</v>
      </c>
      <c r="K58" s="1">
        <v>20</v>
      </c>
    </row>
    <row r="59" spans="1:11" x14ac:dyDescent="0.25">
      <c r="A59" s="1" t="str">
        <f>Student!B58</f>
        <v xml:space="preserve">YEBOAH OLIVIA  </v>
      </c>
      <c r="B59" s="1">
        <v>16</v>
      </c>
      <c r="C59" s="1">
        <v>20</v>
      </c>
      <c r="D59" s="1">
        <v>16</v>
      </c>
      <c r="E59" s="1">
        <v>4</v>
      </c>
      <c r="F59" s="1">
        <v>17</v>
      </c>
      <c r="G59" s="1">
        <v>17</v>
      </c>
      <c r="H59" s="1">
        <v>5</v>
      </c>
      <c r="I59" s="1">
        <v>10</v>
      </c>
      <c r="J59" s="42">
        <v>10</v>
      </c>
      <c r="K59" s="1">
        <v>20</v>
      </c>
    </row>
    <row r="60" spans="1:11" x14ac:dyDescent="0.25">
      <c r="A60" s="1" t="str">
        <f>Student!B59</f>
        <v>BRAHENE PRISCILLA</v>
      </c>
    </row>
    <row r="61" spans="1:11" x14ac:dyDescent="0.25">
      <c r="A61" s="1">
        <f>Student!B60</f>
        <v>0</v>
      </c>
    </row>
    <row r="62" spans="1:11" x14ac:dyDescent="0.25">
      <c r="A62" s="1">
        <f>Student!B61</f>
        <v>0</v>
      </c>
    </row>
    <row r="63" spans="1:11" x14ac:dyDescent="0.25">
      <c r="A63" s="1">
        <f>Student!B62</f>
        <v>0</v>
      </c>
    </row>
    <row r="64" spans="1:11" x14ac:dyDescent="0.25">
      <c r="A64" s="1">
        <f>Student!B63</f>
        <v>0</v>
      </c>
    </row>
    <row r="65" spans="1:1" x14ac:dyDescent="0.25">
      <c r="A65" s="1">
        <f>Student!B64</f>
        <v>0</v>
      </c>
    </row>
    <row r="66" spans="1:1" x14ac:dyDescent="0.25">
      <c r="A66" s="1">
        <f>Student!B65</f>
        <v>0</v>
      </c>
    </row>
    <row r="67" spans="1:1" x14ac:dyDescent="0.25">
      <c r="A67" s="1">
        <f>Student!B66</f>
        <v>0</v>
      </c>
    </row>
    <row r="68" spans="1:1" x14ac:dyDescent="0.25">
      <c r="A68" s="1">
        <f>Student!B67</f>
        <v>0</v>
      </c>
    </row>
    <row r="69" spans="1:1" x14ac:dyDescent="0.25">
      <c r="A69" s="1">
        <f>Student!B68</f>
        <v>0</v>
      </c>
    </row>
    <row r="70" spans="1:1" x14ac:dyDescent="0.25">
      <c r="A70" s="1">
        <f>Student!B69</f>
        <v>0</v>
      </c>
    </row>
    <row r="71" spans="1:1" x14ac:dyDescent="0.25">
      <c r="A71" s="1">
        <f>Student!B70</f>
        <v>0</v>
      </c>
    </row>
    <row r="72" spans="1:1" x14ac:dyDescent="0.25">
      <c r="A72" s="1">
        <f>Student!B71</f>
        <v>0</v>
      </c>
    </row>
    <row r="73" spans="1:1" x14ac:dyDescent="0.25">
      <c r="A73" s="1">
        <f>Student!B72</f>
        <v>0</v>
      </c>
    </row>
    <row r="74" spans="1:1" x14ac:dyDescent="0.25">
      <c r="A74" s="1">
        <f>Student!B73</f>
        <v>0</v>
      </c>
    </row>
    <row r="75" spans="1:1" x14ac:dyDescent="0.25">
      <c r="A75" s="1">
        <f>Student!B74</f>
        <v>0</v>
      </c>
    </row>
    <row r="76" spans="1:1" x14ac:dyDescent="0.25">
      <c r="A76" s="1">
        <f>Student!B75</f>
        <v>0</v>
      </c>
    </row>
    <row r="77" spans="1:1" x14ac:dyDescent="0.25">
      <c r="A77" s="1">
        <f>Student!B76</f>
        <v>0</v>
      </c>
    </row>
    <row r="78" spans="1:1" x14ac:dyDescent="0.25">
      <c r="A78" s="1">
        <f>Student!B77</f>
        <v>0</v>
      </c>
    </row>
    <row r="79" spans="1:1" x14ac:dyDescent="0.25">
      <c r="A79" s="1">
        <f>Student!B78</f>
        <v>0</v>
      </c>
    </row>
    <row r="80" spans="1:1" x14ac:dyDescent="0.25">
      <c r="A80" s="1">
        <f>Student!B79</f>
        <v>0</v>
      </c>
    </row>
    <row r="81" spans="1:1" x14ac:dyDescent="0.25">
      <c r="A81" s="1">
        <f>Student!B80</f>
        <v>0</v>
      </c>
    </row>
    <row r="82" spans="1:1" x14ac:dyDescent="0.25">
      <c r="A82" s="1">
        <f>Student!B81</f>
        <v>0</v>
      </c>
    </row>
    <row r="83" spans="1:1" x14ac:dyDescent="0.25">
      <c r="A83" s="1">
        <f>Student!B82</f>
        <v>0</v>
      </c>
    </row>
    <row r="84" spans="1:1" x14ac:dyDescent="0.25">
      <c r="A84" s="1">
        <f>Student!B83</f>
        <v>0</v>
      </c>
    </row>
    <row r="85" spans="1:1" x14ac:dyDescent="0.25">
      <c r="A85" s="1">
        <f>Student!B84</f>
        <v>0</v>
      </c>
    </row>
    <row r="86" spans="1:1" x14ac:dyDescent="0.25">
      <c r="A86" s="1">
        <f>Student!B85</f>
        <v>0</v>
      </c>
    </row>
    <row r="87" spans="1:1" x14ac:dyDescent="0.25">
      <c r="A87" s="1">
        <f>Student!B86</f>
        <v>0</v>
      </c>
    </row>
    <row r="88" spans="1:1" x14ac:dyDescent="0.25">
      <c r="A88" s="1">
        <f>Student!B87</f>
        <v>0</v>
      </c>
    </row>
    <row r="89" spans="1:1" x14ac:dyDescent="0.25">
      <c r="A89" s="1">
        <f>Student!B88</f>
        <v>0</v>
      </c>
    </row>
    <row r="90" spans="1:1" x14ac:dyDescent="0.25">
      <c r="A90" s="1">
        <f>Student!B89</f>
        <v>0</v>
      </c>
    </row>
    <row r="91" spans="1:1" x14ac:dyDescent="0.25">
      <c r="A91" s="1">
        <f>Student!B90</f>
        <v>0</v>
      </c>
    </row>
    <row r="92" spans="1:1" x14ac:dyDescent="0.25">
      <c r="A92" s="1">
        <f>Student!B91</f>
        <v>0</v>
      </c>
    </row>
    <row r="93" spans="1:1" x14ac:dyDescent="0.25">
      <c r="A93" s="1">
        <f>Student!B92</f>
        <v>0</v>
      </c>
    </row>
    <row r="94" spans="1:1" x14ac:dyDescent="0.25">
      <c r="A94" s="1">
        <f>Student!B93</f>
        <v>0</v>
      </c>
    </row>
    <row r="95" spans="1:1" x14ac:dyDescent="0.25">
      <c r="A95" s="1">
        <f>Student!B94</f>
        <v>0</v>
      </c>
    </row>
    <row r="96" spans="1:1" x14ac:dyDescent="0.25">
      <c r="A96" s="1">
        <f>Student!B95</f>
        <v>0</v>
      </c>
    </row>
    <row r="97" spans="1:1" x14ac:dyDescent="0.25">
      <c r="A97" s="1">
        <f>Student!B96</f>
        <v>0</v>
      </c>
    </row>
    <row r="98" spans="1:1" x14ac:dyDescent="0.25">
      <c r="A98" s="1">
        <f>Student!B97</f>
        <v>0</v>
      </c>
    </row>
    <row r="99" spans="1:1" x14ac:dyDescent="0.25">
      <c r="A99" s="1">
        <f>Student!B98</f>
        <v>0</v>
      </c>
    </row>
    <row r="100" spans="1:1" x14ac:dyDescent="0.25">
      <c r="A100" s="1">
        <f>Student!B99</f>
        <v>0</v>
      </c>
    </row>
    <row r="101" spans="1:1" x14ac:dyDescent="0.25">
      <c r="A101" s="1">
        <f>Student!B100</f>
        <v>0</v>
      </c>
    </row>
    <row r="102" spans="1:1" x14ac:dyDescent="0.25">
      <c r="A102" s="1">
        <f>Student!B101</f>
        <v>0</v>
      </c>
    </row>
    <row r="103" spans="1:1" x14ac:dyDescent="0.25">
      <c r="A103" s="1">
        <f>Student!B102</f>
        <v>0</v>
      </c>
    </row>
  </sheetData>
  <dataValidations count="1">
    <dataValidation type="whole" allowBlank="1" showInputMessage="1" showErrorMessage="1" errorTitle="Invalid Entery!" error="Value shoud not be more than 20." sqref="B2:K401" xr:uid="{00000000-0002-0000-0B00-000000000000}">
      <formula1>0</formula1>
      <formula2>20</formula2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V179"/>
  <sheetViews>
    <sheetView topLeftCell="A46" workbookViewId="0">
      <selection activeCell="D46" sqref="D46"/>
    </sheetView>
  </sheetViews>
  <sheetFormatPr defaultRowHeight="15" x14ac:dyDescent="0.25"/>
  <cols>
    <col min="1" max="1" width="20" customWidth="1"/>
    <col min="2" max="2" width="43.28515625" customWidth="1"/>
  </cols>
  <sheetData>
    <row r="1" spans="1:22" ht="159.75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91</v>
      </c>
      <c r="N1" s="16" t="s">
        <v>89</v>
      </c>
      <c r="O1" s="16" t="s">
        <v>90</v>
      </c>
      <c r="P1" s="16" t="s">
        <v>92</v>
      </c>
      <c r="Q1" s="16" t="s">
        <v>93</v>
      </c>
      <c r="R1" s="16" t="s">
        <v>94</v>
      </c>
      <c r="S1" s="16" t="s">
        <v>95</v>
      </c>
      <c r="T1" s="16" t="s">
        <v>96</v>
      </c>
      <c r="U1" s="16" t="s">
        <v>97</v>
      </c>
      <c r="V1" s="16" t="s">
        <v>98</v>
      </c>
    </row>
    <row r="2" spans="1:22" ht="15.75" x14ac:dyDescent="0.25">
      <c r="A2" s="5">
        <f>Student!A2</f>
        <v>4056</v>
      </c>
      <c r="B2" s="21" t="str">
        <f>Student!B2</f>
        <v xml:space="preserve">AGBENOR  ALFRED </v>
      </c>
      <c r="C2" s="20">
        <f>SUM('Test 1'!B2,'Test 2'!B2,'Project Work'!B2,'Group Work'!B2)</f>
        <v>88</v>
      </c>
      <c r="D2" s="20">
        <f>'Group Work'!C2</f>
        <v>14</v>
      </c>
      <c r="E2" s="20">
        <f>SUM('Test 1'!D2,'Test 2'!D2,'Project Work'!D2,'Group Work'!D2)</f>
        <v>69</v>
      </c>
      <c r="F2" s="20">
        <f>SUM('Test 1'!E2,'Test 2'!E2,'Project Work'!E2,'Group Work'!E2)</f>
        <v>87</v>
      </c>
      <c r="G2" s="20">
        <f>SUM('Test 1'!F2,'Test 2'!F2,'Project Work'!F2,'Group Work'!F2)</f>
        <v>79</v>
      </c>
      <c r="H2" s="20">
        <f>SUM('Test 1'!G2,'Test 2'!G2,'Project Work'!G2,'Group Work'!G2)</f>
        <v>55</v>
      </c>
      <c r="I2" s="20">
        <f>SUM('Test 1'!H2,'Test 2'!H2,'Project Work'!H2,'Group Work'!H2)</f>
        <v>30</v>
      </c>
      <c r="J2" s="20">
        <f>SUM('Test 1'!I2,'Test 2'!I2,'Project Work'!I2,'Group Work'!I2)</f>
        <v>49</v>
      </c>
      <c r="K2" s="20">
        <f>SUM('Test 1'!J2,'Test 2'!J2,'Project Work'!J2,'Group Work'!J2)</f>
        <v>65</v>
      </c>
      <c r="L2" s="20">
        <f>SUM('Test 1'!K2,'Test 2'!K2,'Project Work'!K2,'Group Work'!K2)</f>
        <v>88</v>
      </c>
      <c r="M2">
        <f>50%*C2</f>
        <v>44</v>
      </c>
      <c r="N2">
        <f t="shared" ref="N2:V2" si="0">50%*D2</f>
        <v>7</v>
      </c>
      <c r="O2">
        <f t="shared" si="0"/>
        <v>34.5</v>
      </c>
      <c r="P2">
        <f t="shared" si="0"/>
        <v>43.5</v>
      </c>
      <c r="Q2">
        <f t="shared" si="0"/>
        <v>39.5</v>
      </c>
      <c r="R2">
        <f t="shared" si="0"/>
        <v>27.5</v>
      </c>
      <c r="S2">
        <f t="shared" si="0"/>
        <v>15</v>
      </c>
      <c r="T2">
        <f t="shared" si="0"/>
        <v>24.5</v>
      </c>
      <c r="U2">
        <f t="shared" si="0"/>
        <v>32.5</v>
      </c>
      <c r="V2">
        <f t="shared" si="0"/>
        <v>44</v>
      </c>
    </row>
    <row r="3" spans="1:22" ht="15.75" x14ac:dyDescent="0.25">
      <c r="A3" s="5">
        <f>Student!A3</f>
        <v>567</v>
      </c>
      <c r="B3" s="21" t="str">
        <f>Student!B3</f>
        <v xml:space="preserve">AGBENU JORDAN </v>
      </c>
      <c r="C3" s="20">
        <f>SUM('Test 1'!B3,'Test 2'!B3,'Project Work'!B3,'Group Work'!B3)</f>
        <v>62</v>
      </c>
      <c r="D3" s="20">
        <f>SUM('Test 1'!C3,'Test 2'!C3,'Project Work'!C3,'Group Work'!C3)</f>
        <v>61</v>
      </c>
      <c r="E3" s="20">
        <f>SUM('Test 1'!D3,'Test 2'!D3,'Project Work'!D3,'Group Work'!D3)</f>
        <v>62</v>
      </c>
      <c r="F3" s="20">
        <f>SUM('Test 1'!E3,'Test 2'!E3,'Project Work'!E3,'Group Work'!E3)</f>
        <v>72</v>
      </c>
      <c r="G3" s="20">
        <f>SUM('Test 1'!F3,'Test 2'!F3,'Project Work'!F3,'Group Work'!F3)</f>
        <v>75</v>
      </c>
      <c r="H3" s="20">
        <f>SUM('Test 1'!G3,'Test 2'!G3,'Project Work'!G3,'Group Work'!G3)</f>
        <v>55</v>
      </c>
      <c r="I3" s="20">
        <f>SUM('Test 1'!H3,'Test 2'!H3,'Project Work'!H3,'Group Work'!H3)</f>
        <v>54</v>
      </c>
      <c r="J3" s="20">
        <f>SUM('Test 1'!I3,'Test 2'!I3,'Project Work'!I3,'Group Work'!I3)</f>
        <v>46</v>
      </c>
      <c r="K3" s="20">
        <f>SUM('Test 1'!J3,'Test 2'!J3,'Project Work'!J3,'Group Work'!J3)</f>
        <v>43</v>
      </c>
      <c r="L3" s="20">
        <f>SUM('Test 1'!K3,'Test 2'!K3,'Project Work'!K3,'Group Work'!K3)</f>
        <v>90</v>
      </c>
      <c r="M3">
        <f t="shared" ref="M3:M65" si="1">50%*C3</f>
        <v>31</v>
      </c>
      <c r="N3">
        <f t="shared" ref="N3:N65" si="2">50%*D3</f>
        <v>30.5</v>
      </c>
      <c r="O3">
        <f t="shared" ref="O3:O65" si="3">50%*E3</f>
        <v>31</v>
      </c>
      <c r="P3">
        <f t="shared" ref="P3:P65" si="4">50%*F3</f>
        <v>36</v>
      </c>
      <c r="Q3">
        <f t="shared" ref="Q3:Q65" si="5">50%*G3</f>
        <v>37.5</v>
      </c>
      <c r="R3">
        <f t="shared" ref="R3:R65" si="6">50%*H3</f>
        <v>27.5</v>
      </c>
      <c r="S3">
        <f t="shared" ref="S3:S65" si="7">50%*I3</f>
        <v>27</v>
      </c>
      <c r="T3">
        <f t="shared" ref="T3:T65" si="8">50%*J3</f>
        <v>23</v>
      </c>
      <c r="U3">
        <f t="shared" ref="U3:U65" si="9">50%*K3</f>
        <v>21.5</v>
      </c>
      <c r="V3">
        <f t="shared" ref="V3:V65" si="10">50%*L3</f>
        <v>45</v>
      </c>
    </row>
    <row r="4" spans="1:22" ht="15.75" x14ac:dyDescent="0.25">
      <c r="A4" s="5">
        <f>Student!A4</f>
        <v>749</v>
      </c>
      <c r="B4" s="21" t="str">
        <f>Student!B4</f>
        <v>AGBO PRINCE</v>
      </c>
      <c r="C4" s="20">
        <f>SUM('Test 1'!B4,'Test 2'!B4,'Project Work'!B4,'Group Work'!B4)</f>
        <v>68</v>
      </c>
      <c r="D4" s="20">
        <f>SUM('Test 1'!C4,'Test 2'!C4,'Project Work'!C4,'Group Work'!C4)</f>
        <v>69</v>
      </c>
      <c r="E4" s="20">
        <f>SUM('Test 1'!D4,'Test 2'!D4,'Project Work'!D4,'Group Work'!D4)</f>
        <v>70</v>
      </c>
      <c r="F4" s="20">
        <f>SUM('Test 1'!E4,'Test 2'!E4,'Project Work'!E4,'Group Work'!E4)</f>
        <v>86</v>
      </c>
      <c r="G4" s="20">
        <f>SUM('Test 1'!F4,'Test 2'!F4,'Project Work'!F4,'Group Work'!F4)</f>
        <v>83</v>
      </c>
      <c r="H4" s="20">
        <f>SUM('Test 1'!G4,'Test 2'!G4,'Project Work'!G4,'Group Work'!G4)</f>
        <v>75</v>
      </c>
      <c r="I4" s="20">
        <f>SUM('Test 1'!H4,'Test 2'!H4,'Project Work'!H4,'Group Work'!H4)</f>
        <v>50</v>
      </c>
      <c r="J4" s="20">
        <f>SUM('Test 1'!I4,'Test 2'!I4,'Project Work'!I4,'Group Work'!I4)</f>
        <v>52</v>
      </c>
      <c r="K4" s="20">
        <f>SUM('Test 1'!J4,'Test 2'!J4,'Project Work'!J4,'Group Work'!J4)</f>
        <v>49</v>
      </c>
      <c r="L4" s="20">
        <f>SUM('Test 1'!K4,'Test 2'!K4,'Project Work'!K4,'Group Work'!K4)</f>
        <v>86</v>
      </c>
      <c r="M4">
        <f t="shared" si="1"/>
        <v>34</v>
      </c>
      <c r="N4">
        <f t="shared" si="2"/>
        <v>34.5</v>
      </c>
      <c r="O4">
        <f t="shared" si="3"/>
        <v>35</v>
      </c>
      <c r="P4">
        <f t="shared" si="4"/>
        <v>43</v>
      </c>
      <c r="Q4">
        <f t="shared" si="5"/>
        <v>41.5</v>
      </c>
      <c r="R4">
        <f t="shared" si="6"/>
        <v>37.5</v>
      </c>
      <c r="S4">
        <f t="shared" si="7"/>
        <v>25</v>
      </c>
      <c r="T4">
        <f t="shared" si="8"/>
        <v>26</v>
      </c>
      <c r="U4">
        <f t="shared" si="9"/>
        <v>24.5</v>
      </c>
      <c r="V4">
        <f t="shared" si="10"/>
        <v>43</v>
      </c>
    </row>
    <row r="5" spans="1:22" ht="15.75" x14ac:dyDescent="0.25">
      <c r="A5" s="5">
        <f>Student!A5</f>
        <v>2050</v>
      </c>
      <c r="B5" s="21" t="str">
        <f>Student!B5</f>
        <v xml:space="preserve">AGBOTSE EBENEZER </v>
      </c>
      <c r="C5" s="20">
        <f>SUM('Test 1'!B5,'Test 2'!B5,'Project Work'!B5,'Group Work'!B5)</f>
        <v>64</v>
      </c>
      <c r="D5" s="20">
        <f>SUM('Test 1'!C5,'Test 2'!C5,'Project Work'!C5,'Group Work'!C5)</f>
        <v>83</v>
      </c>
      <c r="E5" s="20">
        <f>SUM('Test 1'!D5,'Test 2'!D5,'Project Work'!D5,'Group Work'!D5)</f>
        <v>46</v>
      </c>
      <c r="F5" s="20">
        <f>SUM('Test 1'!E5,'Test 2'!E5,'Project Work'!E5,'Group Work'!E5)</f>
        <v>79</v>
      </c>
      <c r="G5" s="20">
        <f>SUM('Test 1'!F5,'Test 2'!F5,'Project Work'!F5,'Group Work'!F5)</f>
        <v>62</v>
      </c>
      <c r="H5" s="20">
        <f>SUM('Test 1'!G5,'Test 2'!G5,'Project Work'!G5,'Group Work'!G5)</f>
        <v>50</v>
      </c>
      <c r="I5" s="20">
        <f>SUM('Test 1'!H5,'Test 2'!H5,'Project Work'!H5,'Group Work'!H5)</f>
        <v>53</v>
      </c>
      <c r="J5" s="20">
        <f>SUM('Test 1'!I5,'Test 2'!I5,'Project Work'!I5,'Group Work'!I5)</f>
        <v>46</v>
      </c>
      <c r="K5" s="20">
        <f>SUM('Test 1'!J5,'Test 2'!J5,'Project Work'!J5,'Group Work'!J5)</f>
        <v>41</v>
      </c>
      <c r="L5" s="20">
        <f>SUM('Test 1'!K5,'Test 2'!K5,'Project Work'!K5,'Group Work'!K5)</f>
        <v>79</v>
      </c>
      <c r="M5">
        <f t="shared" si="1"/>
        <v>32</v>
      </c>
      <c r="N5">
        <f t="shared" si="2"/>
        <v>41.5</v>
      </c>
      <c r="O5">
        <f t="shared" si="3"/>
        <v>23</v>
      </c>
      <c r="P5">
        <f t="shared" si="4"/>
        <v>39.5</v>
      </c>
      <c r="Q5">
        <f t="shared" si="5"/>
        <v>31</v>
      </c>
      <c r="R5">
        <f t="shared" si="6"/>
        <v>25</v>
      </c>
      <c r="S5">
        <f t="shared" si="7"/>
        <v>26.5</v>
      </c>
      <c r="T5">
        <f t="shared" si="8"/>
        <v>23</v>
      </c>
      <c r="U5">
        <f t="shared" si="9"/>
        <v>20.5</v>
      </c>
      <c r="V5">
        <f t="shared" si="10"/>
        <v>39.5</v>
      </c>
    </row>
    <row r="6" spans="1:22" ht="15.75" x14ac:dyDescent="0.25">
      <c r="A6" s="5">
        <f>Student!A6</f>
        <v>696</v>
      </c>
      <c r="B6" s="21" t="str">
        <f>Student!B6</f>
        <v xml:space="preserve">APPIAH EMMANUEL </v>
      </c>
      <c r="C6" s="20">
        <f>SUM('Test 1'!B6,'Test 2'!B6,'Project Work'!B6,'Group Work'!B6)</f>
        <v>79</v>
      </c>
      <c r="D6" s="20">
        <f>SUM('Test 1'!C6,'Test 2'!C6,'Project Work'!C6,'Group Work'!C6)</f>
        <v>68</v>
      </c>
      <c r="E6" s="20">
        <f>SUM('Test 1'!D6,'Test 2'!D6,'Project Work'!D6,'Group Work'!D6)</f>
        <v>65</v>
      </c>
      <c r="F6" s="20">
        <f>SUM('Test 1'!E6,'Test 2'!E6,'Project Work'!E6,'Group Work'!E6)</f>
        <v>31</v>
      </c>
      <c r="G6" s="20">
        <f>SUM('Test 1'!F6,'Test 2'!F6,'Project Work'!F6,'Group Work'!F6)</f>
        <v>62</v>
      </c>
      <c r="H6" s="20">
        <f>SUM('Test 1'!G6,'Test 2'!G6,'Project Work'!G6,'Group Work'!G6)</f>
        <v>53</v>
      </c>
      <c r="I6" s="20">
        <f>SUM('Test 1'!H6,'Test 2'!H6,'Project Work'!H6,'Group Work'!H6)</f>
        <v>51</v>
      </c>
      <c r="J6" s="20">
        <f>SUM('Test 1'!I6,'Test 2'!I6,'Project Work'!I6,'Group Work'!I6)</f>
        <v>24</v>
      </c>
      <c r="K6" s="20">
        <f>SUM('Test 1'!J6,'Test 2'!J6,'Project Work'!J6,'Group Work'!J6)</f>
        <v>32</v>
      </c>
      <c r="L6" s="20">
        <f>SUM('Test 1'!K6,'Test 2'!K6,'Project Work'!K6,'Group Work'!K6)</f>
        <v>79</v>
      </c>
      <c r="M6">
        <f t="shared" si="1"/>
        <v>39.5</v>
      </c>
      <c r="N6">
        <f t="shared" si="2"/>
        <v>34</v>
      </c>
      <c r="O6">
        <f t="shared" si="3"/>
        <v>32.5</v>
      </c>
      <c r="P6">
        <f t="shared" si="4"/>
        <v>15.5</v>
      </c>
      <c r="Q6">
        <f t="shared" si="5"/>
        <v>31</v>
      </c>
      <c r="R6">
        <f t="shared" si="6"/>
        <v>26.5</v>
      </c>
      <c r="S6">
        <f t="shared" si="7"/>
        <v>25.5</v>
      </c>
      <c r="T6">
        <f t="shared" si="8"/>
        <v>12</v>
      </c>
      <c r="U6">
        <f t="shared" si="9"/>
        <v>16</v>
      </c>
      <c r="V6">
        <f t="shared" si="10"/>
        <v>39.5</v>
      </c>
    </row>
    <row r="7" spans="1:22" ht="15.75" x14ac:dyDescent="0.25">
      <c r="A7" s="5">
        <f>Student!A7</f>
        <v>435</v>
      </c>
      <c r="B7" s="21" t="str">
        <f>Student!B7</f>
        <v xml:space="preserve">ASARE RICHMOND </v>
      </c>
      <c r="C7" s="20">
        <f>SUM('Test 1'!B7,'Test 2'!B7,'Project Work'!B7,'Group Work'!B7)</f>
        <v>74</v>
      </c>
      <c r="D7" s="20">
        <f>SUM('Test 1'!C7,'Test 2'!C7,'Project Work'!C7,'Group Work'!C7)</f>
        <v>74</v>
      </c>
      <c r="E7" s="20">
        <f>SUM('Test 1'!D7,'Test 2'!D7,'Project Work'!D7,'Group Work'!D7)</f>
        <v>72</v>
      </c>
      <c r="F7" s="20">
        <f>SUM('Test 1'!E7,'Test 2'!E7,'Project Work'!E7,'Group Work'!E7)</f>
        <v>64</v>
      </c>
      <c r="G7" s="20">
        <f>SUM('Test 1'!F7,'Test 2'!F7,'Project Work'!F7,'Group Work'!F7)</f>
        <v>68</v>
      </c>
      <c r="H7" s="20">
        <f>SUM('Test 1'!G7,'Test 2'!G7,'Project Work'!G7,'Group Work'!G7)</f>
        <v>50</v>
      </c>
      <c r="I7" s="20">
        <f>SUM('Test 1'!H7,'Test 2'!H7,'Project Work'!H7,'Group Work'!H7)</f>
        <v>41</v>
      </c>
      <c r="J7" s="20">
        <f>SUM('Test 1'!I7,'Test 2'!I7,'Project Work'!I7,'Group Work'!I7)</f>
        <v>33</v>
      </c>
      <c r="K7" s="20">
        <f>SUM('Test 1'!J7,'Test 2'!J7,'Project Work'!J7,'Group Work'!J7)</f>
        <v>33</v>
      </c>
      <c r="L7" s="20">
        <f>SUM('Test 1'!K7,'Test 2'!K7,'Project Work'!K7,'Group Work'!K7)</f>
        <v>79</v>
      </c>
      <c r="M7">
        <f t="shared" si="1"/>
        <v>37</v>
      </c>
      <c r="N7">
        <f t="shared" si="2"/>
        <v>37</v>
      </c>
      <c r="O7">
        <f t="shared" si="3"/>
        <v>36</v>
      </c>
      <c r="P7">
        <f t="shared" si="4"/>
        <v>32</v>
      </c>
      <c r="Q7">
        <f t="shared" si="5"/>
        <v>34</v>
      </c>
      <c r="R7">
        <f t="shared" si="6"/>
        <v>25</v>
      </c>
      <c r="S7">
        <f t="shared" si="7"/>
        <v>20.5</v>
      </c>
      <c r="T7">
        <f t="shared" si="8"/>
        <v>16.5</v>
      </c>
      <c r="U7">
        <f t="shared" si="9"/>
        <v>16.5</v>
      </c>
      <c r="V7">
        <f t="shared" si="10"/>
        <v>39.5</v>
      </c>
    </row>
    <row r="8" spans="1:22" ht="15.75" x14ac:dyDescent="0.25">
      <c r="A8" s="5">
        <f>Student!A8</f>
        <v>4240</v>
      </c>
      <c r="B8" s="21" t="str">
        <f>Student!B8</f>
        <v xml:space="preserve">ASIAMAH JOSEPH </v>
      </c>
      <c r="C8" s="20">
        <f>SUM('Test 1'!B8,'Test 2'!B8,'Project Work'!B8,'Group Work'!B8)</f>
        <v>71</v>
      </c>
      <c r="D8" s="20">
        <f>SUM('Test 1'!C8,'Test 2'!C8,'Project Work'!C8,'Group Work'!C8)</f>
        <v>72</v>
      </c>
      <c r="E8" s="20">
        <f>SUM('Test 1'!D8,'Test 2'!D8,'Project Work'!D8,'Group Work'!D8)</f>
        <v>59</v>
      </c>
      <c r="F8" s="20">
        <f>SUM('Test 1'!E8,'Test 2'!E8,'Project Work'!E8,'Group Work'!E8)</f>
        <v>31</v>
      </c>
      <c r="G8" s="20">
        <f>SUM('Test 1'!F8,'Test 2'!F8,'Project Work'!F8,'Group Work'!F8)</f>
        <v>70</v>
      </c>
      <c r="H8" s="20">
        <f>SUM('Test 1'!G8,'Test 2'!G8,'Project Work'!G8,'Group Work'!G8)</f>
        <v>50</v>
      </c>
      <c r="I8" s="20">
        <f>SUM('Test 1'!H8,'Test 2'!H8,'Project Work'!H8,'Group Work'!H8)</f>
        <v>30</v>
      </c>
      <c r="J8" s="20">
        <f>SUM('Test 1'!I8,'Test 2'!I8,'Project Work'!I8,'Group Work'!I8)</f>
        <v>39</v>
      </c>
      <c r="K8" s="20">
        <f>SUM('Test 1'!J8,'Test 2'!J8,'Project Work'!J8,'Group Work'!J8)</f>
        <v>56</v>
      </c>
      <c r="L8" s="20">
        <f>SUM('Test 1'!K8,'Test 2'!K8,'Project Work'!K8,'Group Work'!K8)</f>
        <v>54</v>
      </c>
      <c r="M8">
        <f t="shared" si="1"/>
        <v>35.5</v>
      </c>
      <c r="N8">
        <f t="shared" si="2"/>
        <v>36</v>
      </c>
      <c r="O8">
        <f t="shared" si="3"/>
        <v>29.5</v>
      </c>
      <c r="P8">
        <f t="shared" si="4"/>
        <v>15.5</v>
      </c>
      <c r="Q8">
        <f t="shared" si="5"/>
        <v>35</v>
      </c>
      <c r="R8">
        <f t="shared" si="6"/>
        <v>25</v>
      </c>
      <c r="S8">
        <f t="shared" si="7"/>
        <v>15</v>
      </c>
      <c r="T8">
        <f t="shared" si="8"/>
        <v>19.5</v>
      </c>
      <c r="U8">
        <f t="shared" si="9"/>
        <v>28</v>
      </c>
      <c r="V8">
        <f t="shared" si="10"/>
        <v>27</v>
      </c>
    </row>
    <row r="9" spans="1:22" ht="15.75" x14ac:dyDescent="0.25">
      <c r="A9" s="5">
        <f>Student!A9</f>
        <v>727</v>
      </c>
      <c r="B9" s="21" t="str">
        <f>Student!B9</f>
        <v>AWUAH KEKELI JERRY</v>
      </c>
      <c r="C9" s="20">
        <f>SUM('Test 1'!B9,'Test 2'!B9,'Project Work'!B9,'Group Work'!B9)</f>
        <v>75</v>
      </c>
      <c r="D9" s="20">
        <f>SUM('Test 1'!C9,'Test 2'!C9,'Project Work'!C9,'Group Work'!C9)</f>
        <v>73</v>
      </c>
      <c r="E9" s="20">
        <f>SUM('Test 1'!D9,'Test 2'!D9,'Project Work'!D9,'Group Work'!D9)</f>
        <v>67</v>
      </c>
      <c r="F9" s="20">
        <f>SUM('Test 1'!E9,'Test 2'!E9,'Project Work'!E9,'Group Work'!E9)</f>
        <v>82</v>
      </c>
      <c r="G9" s="20">
        <f>SUM('Test 1'!F9,'Test 2'!F9,'Project Work'!F9,'Group Work'!F9)</f>
        <v>74</v>
      </c>
      <c r="H9" s="20">
        <f>SUM('Test 1'!G9,'Test 2'!G9,'Project Work'!G9,'Group Work'!G9)</f>
        <v>52</v>
      </c>
      <c r="I9" s="20">
        <f>SUM('Test 1'!H9,'Test 2'!H9,'Project Work'!H9,'Group Work'!H9)</f>
        <v>48</v>
      </c>
      <c r="J9" s="20">
        <f>SUM('Test 1'!I9,'Test 2'!I9,'Project Work'!I9,'Group Work'!I9)</f>
        <v>46</v>
      </c>
      <c r="K9" s="20">
        <f>SUM('Test 1'!J9,'Test 2'!J9,'Project Work'!J9,'Group Work'!J9)</f>
        <v>38</v>
      </c>
      <c r="L9" s="20">
        <f>SUM('Test 1'!K9,'Test 2'!K9,'Project Work'!K9,'Group Work'!K9)</f>
        <v>85</v>
      </c>
      <c r="M9">
        <f t="shared" si="1"/>
        <v>37.5</v>
      </c>
      <c r="N9">
        <f t="shared" si="2"/>
        <v>36.5</v>
      </c>
      <c r="O9">
        <f t="shared" si="3"/>
        <v>33.5</v>
      </c>
      <c r="P9">
        <f t="shared" si="4"/>
        <v>41</v>
      </c>
      <c r="Q9">
        <f t="shared" si="5"/>
        <v>37</v>
      </c>
      <c r="R9">
        <f t="shared" si="6"/>
        <v>26</v>
      </c>
      <c r="S9">
        <f t="shared" si="7"/>
        <v>24</v>
      </c>
      <c r="T9">
        <f t="shared" si="8"/>
        <v>23</v>
      </c>
      <c r="U9">
        <f t="shared" si="9"/>
        <v>19</v>
      </c>
      <c r="V9">
        <f t="shared" si="10"/>
        <v>42.5</v>
      </c>
    </row>
    <row r="10" spans="1:22" ht="15.75" x14ac:dyDescent="0.25">
      <c r="A10" s="5">
        <f>Student!A10</f>
        <v>385</v>
      </c>
      <c r="B10" s="21" t="str">
        <f>Student!B10</f>
        <v xml:space="preserve">BAWA BASSIT </v>
      </c>
      <c r="C10" s="20">
        <f>SUM('Test 1'!B10,'Test 2'!B10,'Project Work'!B10,'Group Work'!B10)</f>
        <v>72</v>
      </c>
      <c r="D10" s="20">
        <f>SUM('Test 1'!C10,'Test 2'!C10,'Project Work'!C10,'Group Work'!C10)</f>
        <v>80</v>
      </c>
      <c r="E10" s="20">
        <f>SUM('Test 1'!D10,'Test 2'!D10,'Project Work'!D10,'Group Work'!D10)</f>
        <v>68</v>
      </c>
      <c r="F10" s="20">
        <f>SUM('Test 1'!E10,'Test 2'!E10,'Project Work'!E10,'Group Work'!E10)</f>
        <v>70</v>
      </c>
      <c r="G10" s="20">
        <f>SUM('Test 1'!F10,'Test 2'!F10,'Project Work'!F10,'Group Work'!F10)</f>
        <v>74</v>
      </c>
      <c r="H10" s="20">
        <f>SUM('Test 1'!G10,'Test 2'!G10,'Project Work'!G10,'Group Work'!G10)</f>
        <v>65</v>
      </c>
      <c r="I10" s="20">
        <f>SUM('Test 1'!H10,'Test 2'!H10,'Project Work'!H10,'Group Work'!H10)</f>
        <v>48</v>
      </c>
      <c r="J10" s="20">
        <f>SUM('Test 1'!I10,'Test 2'!I10,'Project Work'!I10,'Group Work'!I10)</f>
        <v>53</v>
      </c>
      <c r="K10" s="20">
        <f>SUM('Test 1'!J10,'Test 2'!J10,'Project Work'!J10,'Group Work'!J10)</f>
        <v>47</v>
      </c>
      <c r="L10" s="20">
        <f>SUM('Test 1'!K10,'Test 2'!K10,'Project Work'!K10,'Group Work'!K10)</f>
        <v>85</v>
      </c>
      <c r="M10">
        <f t="shared" si="1"/>
        <v>36</v>
      </c>
      <c r="N10">
        <f t="shared" si="2"/>
        <v>40</v>
      </c>
      <c r="O10">
        <f t="shared" si="3"/>
        <v>34</v>
      </c>
      <c r="P10">
        <f t="shared" si="4"/>
        <v>35</v>
      </c>
      <c r="Q10">
        <f t="shared" si="5"/>
        <v>37</v>
      </c>
      <c r="R10">
        <f t="shared" si="6"/>
        <v>32.5</v>
      </c>
      <c r="S10">
        <f t="shared" si="7"/>
        <v>24</v>
      </c>
      <c r="T10">
        <f t="shared" si="8"/>
        <v>26.5</v>
      </c>
      <c r="U10">
        <f t="shared" si="9"/>
        <v>23.5</v>
      </c>
      <c r="V10">
        <f t="shared" si="10"/>
        <v>42.5</v>
      </c>
    </row>
    <row r="11" spans="1:22" ht="15.75" x14ac:dyDescent="0.25">
      <c r="A11" s="5" t="str">
        <f>Student!A11</f>
        <v>A319</v>
      </c>
      <c r="B11" s="21" t="str">
        <f>Student!B11</f>
        <v xml:space="preserve">DANQWAH PHILIP </v>
      </c>
      <c r="C11" s="20">
        <f>SUM('Test 1'!B11,'Test 2'!B11,'Project Work'!B11,'Group Work'!B11)</f>
        <v>81</v>
      </c>
      <c r="D11" s="20">
        <f>SUM('Test 1'!C11,'Test 2'!C11,'Project Work'!C11,'Group Work'!C11)</f>
        <v>62</v>
      </c>
      <c r="E11" s="20">
        <f>SUM('Test 1'!D11,'Test 2'!D11,'Project Work'!D11,'Group Work'!D11)</f>
        <v>69</v>
      </c>
      <c r="F11" s="20">
        <f>SUM('Test 1'!E11,'Test 2'!E11,'Project Work'!E11,'Group Work'!E11)</f>
        <v>73</v>
      </c>
      <c r="G11" s="20">
        <f>SUM('Test 1'!F11,'Test 2'!F11,'Project Work'!F11,'Group Work'!F11)</f>
        <v>65</v>
      </c>
      <c r="H11" s="20">
        <f>SUM('Test 1'!G11,'Test 2'!G11,'Project Work'!G11,'Group Work'!G11)</f>
        <v>70</v>
      </c>
      <c r="I11" s="20">
        <f>SUM('Test 1'!H11,'Test 2'!H11,'Project Work'!H11,'Group Work'!H11)</f>
        <v>39</v>
      </c>
      <c r="J11" s="20">
        <f>SUM('Test 1'!I11,'Test 2'!I11,'Project Work'!I11,'Group Work'!I11)</f>
        <v>43</v>
      </c>
      <c r="K11" s="20">
        <f>SUM('Test 1'!J11,'Test 2'!J11,'Project Work'!J11,'Group Work'!J11)</f>
        <v>44</v>
      </c>
      <c r="L11" s="20">
        <f>SUM('Test 1'!K11,'Test 2'!K11,'Project Work'!K11,'Group Work'!K11)</f>
        <v>76</v>
      </c>
      <c r="M11">
        <f t="shared" si="1"/>
        <v>40.5</v>
      </c>
      <c r="N11">
        <f t="shared" si="2"/>
        <v>31</v>
      </c>
      <c r="O11">
        <f t="shared" si="3"/>
        <v>34.5</v>
      </c>
      <c r="P11">
        <f t="shared" si="4"/>
        <v>36.5</v>
      </c>
      <c r="Q11">
        <f t="shared" si="5"/>
        <v>32.5</v>
      </c>
      <c r="R11">
        <f t="shared" si="6"/>
        <v>35</v>
      </c>
      <c r="S11">
        <f t="shared" si="7"/>
        <v>19.5</v>
      </c>
      <c r="T11">
        <f t="shared" si="8"/>
        <v>21.5</v>
      </c>
      <c r="U11">
        <f t="shared" si="9"/>
        <v>22</v>
      </c>
      <c r="V11">
        <f t="shared" si="10"/>
        <v>38</v>
      </c>
    </row>
    <row r="12" spans="1:22" ht="15.75" x14ac:dyDescent="0.25">
      <c r="A12" s="5">
        <f>Student!A12</f>
        <v>714</v>
      </c>
      <c r="B12" s="21" t="str">
        <f>Student!B12</f>
        <v>DEDIHA GIDEON</v>
      </c>
      <c r="C12" s="20">
        <f>SUM('Test 1'!B12,'Test 2'!B12,'Project Work'!B12,'Group Work'!B12)</f>
        <v>64</v>
      </c>
      <c r="D12" s="20">
        <f>SUM('Test 1'!C12,'Test 2'!C12,'Project Work'!C12,'Group Work'!C12)</f>
        <v>74</v>
      </c>
      <c r="E12" s="20">
        <f>SUM('Test 1'!D12,'Test 2'!D12,'Project Work'!D12,'Group Work'!D12)</f>
        <v>50</v>
      </c>
      <c r="F12" s="20">
        <f>SUM('Test 1'!E12,'Test 2'!E12,'Project Work'!E12,'Group Work'!E12)</f>
        <v>31</v>
      </c>
      <c r="G12" s="20">
        <f>SUM('Test 1'!F12,'Test 2'!F12,'Project Work'!F12,'Group Work'!F12)</f>
        <v>56</v>
      </c>
      <c r="H12" s="20">
        <f>SUM('Test 1'!G12,'Test 2'!G12,'Project Work'!G12,'Group Work'!G12)</f>
        <v>61</v>
      </c>
      <c r="I12" s="20">
        <f>SUM('Test 1'!H12,'Test 2'!H12,'Project Work'!H12,'Group Work'!H12)</f>
        <v>30</v>
      </c>
      <c r="J12" s="20">
        <f>SUM('Test 1'!I12,'Test 2'!I12,'Project Work'!I12,'Group Work'!I12)</f>
        <v>49</v>
      </c>
      <c r="K12" s="20">
        <f>SUM('Test 1'!J12,'Test 2'!J12,'Project Work'!J12,'Group Work'!J12)</f>
        <v>40</v>
      </c>
      <c r="L12" s="20">
        <f>SUM('Test 1'!K12,'Test 2'!K12,'Project Work'!K12,'Group Work'!K12)</f>
        <v>69</v>
      </c>
      <c r="M12">
        <f t="shared" si="1"/>
        <v>32</v>
      </c>
      <c r="N12">
        <f t="shared" si="2"/>
        <v>37</v>
      </c>
      <c r="O12">
        <f t="shared" si="3"/>
        <v>25</v>
      </c>
      <c r="P12">
        <f t="shared" si="4"/>
        <v>15.5</v>
      </c>
      <c r="Q12">
        <f t="shared" si="5"/>
        <v>28</v>
      </c>
      <c r="R12">
        <f t="shared" si="6"/>
        <v>30.5</v>
      </c>
      <c r="S12">
        <f t="shared" si="7"/>
        <v>15</v>
      </c>
      <c r="T12">
        <f t="shared" si="8"/>
        <v>24.5</v>
      </c>
      <c r="U12">
        <f t="shared" si="9"/>
        <v>20</v>
      </c>
      <c r="V12">
        <f t="shared" si="10"/>
        <v>34.5</v>
      </c>
    </row>
    <row r="13" spans="1:22" ht="15.75" x14ac:dyDescent="0.25">
      <c r="A13" s="5">
        <f>Student!A13</f>
        <v>7334</v>
      </c>
      <c r="B13" s="21" t="str">
        <f>Student!B13</f>
        <v xml:space="preserve">ENCHILL KENNETH  </v>
      </c>
      <c r="C13" s="20">
        <f>SUM('Test 1'!B13,'Test 2'!B13,'Project Work'!B13,'Group Work'!B13)</f>
        <v>84</v>
      </c>
      <c r="D13" s="20">
        <f>SUM('Test 1'!C13,'Test 2'!C13,'Project Work'!C13,'Group Work'!C13)</f>
        <v>86</v>
      </c>
      <c r="E13" s="20">
        <f>SUM('Test 1'!D13,'Test 2'!D13,'Project Work'!D13,'Group Work'!D13)</f>
        <v>64</v>
      </c>
      <c r="F13" s="20">
        <f>SUM('Test 1'!E13,'Test 2'!E13,'Project Work'!E13,'Group Work'!E13)</f>
        <v>47</v>
      </c>
      <c r="G13" s="20">
        <f>SUM('Test 1'!F13,'Test 2'!F13,'Project Work'!F13,'Group Work'!F13)</f>
        <v>44</v>
      </c>
      <c r="H13" s="20">
        <f>SUM('Test 1'!G13,'Test 2'!G13,'Project Work'!G13,'Group Work'!G13)</f>
        <v>54</v>
      </c>
      <c r="I13" s="20">
        <f>SUM('Test 1'!H13,'Test 2'!H13,'Project Work'!H13,'Group Work'!H13)</f>
        <v>51</v>
      </c>
      <c r="J13" s="20">
        <f>SUM('Test 1'!I13,'Test 2'!I13,'Project Work'!I13,'Group Work'!I13)</f>
        <v>48</v>
      </c>
      <c r="K13" s="20">
        <f>SUM('Test 1'!J13,'Test 2'!J13,'Project Work'!J13,'Group Work'!J13)</f>
        <v>48</v>
      </c>
      <c r="L13" s="20">
        <f>SUM('Test 1'!K13,'Test 2'!K13,'Project Work'!K13,'Group Work'!K13)</f>
        <v>68</v>
      </c>
      <c r="M13">
        <f t="shared" si="1"/>
        <v>42</v>
      </c>
      <c r="N13">
        <f t="shared" si="2"/>
        <v>43</v>
      </c>
      <c r="O13">
        <f t="shared" si="3"/>
        <v>32</v>
      </c>
      <c r="P13">
        <f t="shared" si="4"/>
        <v>23.5</v>
      </c>
      <c r="Q13">
        <f t="shared" si="5"/>
        <v>22</v>
      </c>
      <c r="R13">
        <f t="shared" si="6"/>
        <v>27</v>
      </c>
      <c r="S13">
        <f t="shared" si="7"/>
        <v>25.5</v>
      </c>
      <c r="T13">
        <f t="shared" si="8"/>
        <v>24</v>
      </c>
      <c r="U13">
        <f t="shared" si="9"/>
        <v>24</v>
      </c>
      <c r="V13">
        <f t="shared" si="10"/>
        <v>34</v>
      </c>
    </row>
    <row r="14" spans="1:22" ht="15.75" x14ac:dyDescent="0.25">
      <c r="A14" s="5">
        <f>Student!A14</f>
        <v>437</v>
      </c>
      <c r="B14" s="21" t="str">
        <f>Student!B14</f>
        <v xml:space="preserve">ENTSIE FRANCIS </v>
      </c>
      <c r="C14" s="20">
        <f>SUM('Test 1'!B14,'Test 2'!B14,'Project Work'!B14,'Group Work'!B14)</f>
        <v>76</v>
      </c>
      <c r="D14" s="20">
        <f>SUM('Test 1'!C14,'Test 2'!C14,'Project Work'!C14,'Group Work'!C14)</f>
        <v>71</v>
      </c>
      <c r="E14" s="20">
        <f>SUM('Test 1'!D14,'Test 2'!D14,'Project Work'!D14,'Group Work'!D14)</f>
        <v>67</v>
      </c>
      <c r="F14" s="20">
        <f>SUM('Test 1'!E14,'Test 2'!E14,'Project Work'!E14,'Group Work'!E14)</f>
        <v>83</v>
      </c>
      <c r="G14" s="20">
        <f>SUM('Test 1'!F14,'Test 2'!F14,'Project Work'!F14,'Group Work'!F14)</f>
        <v>69</v>
      </c>
      <c r="H14" s="20">
        <f>SUM('Test 1'!G14,'Test 2'!G14,'Project Work'!G14,'Group Work'!G14)</f>
        <v>53</v>
      </c>
      <c r="I14" s="20">
        <f>SUM('Test 1'!H14,'Test 2'!H14,'Project Work'!H14,'Group Work'!H14)</f>
        <v>62</v>
      </c>
      <c r="J14" s="20">
        <f>SUM('Test 1'!I14,'Test 2'!I14,'Project Work'!I14,'Group Work'!I14)</f>
        <v>55</v>
      </c>
      <c r="K14" s="20">
        <f>SUM('Test 1'!J14,'Test 2'!J14,'Project Work'!J14,'Group Work'!J14)</f>
        <v>57</v>
      </c>
      <c r="L14" s="20">
        <f>SUM('Test 1'!K14,'Test 2'!K14,'Project Work'!K14,'Group Work'!K14)</f>
        <v>76</v>
      </c>
      <c r="M14">
        <f t="shared" si="1"/>
        <v>38</v>
      </c>
      <c r="N14">
        <f t="shared" si="2"/>
        <v>35.5</v>
      </c>
      <c r="O14">
        <f t="shared" si="3"/>
        <v>33.5</v>
      </c>
      <c r="P14">
        <f t="shared" si="4"/>
        <v>41.5</v>
      </c>
      <c r="Q14">
        <f t="shared" si="5"/>
        <v>34.5</v>
      </c>
      <c r="R14">
        <f t="shared" si="6"/>
        <v>26.5</v>
      </c>
      <c r="S14">
        <f t="shared" si="7"/>
        <v>31</v>
      </c>
      <c r="T14">
        <f t="shared" si="8"/>
        <v>27.5</v>
      </c>
      <c r="U14">
        <f t="shared" si="9"/>
        <v>28.5</v>
      </c>
      <c r="V14">
        <f t="shared" si="10"/>
        <v>38</v>
      </c>
    </row>
    <row r="15" spans="1:22" ht="15.75" x14ac:dyDescent="0.25">
      <c r="A15" s="5">
        <f>Student!A15</f>
        <v>271</v>
      </c>
      <c r="B15" s="21" t="str">
        <f>Student!B15</f>
        <v xml:space="preserve">ESHUN EVANS </v>
      </c>
      <c r="C15" s="20">
        <f>SUM('Test 1'!B15,'Test 2'!B15,'Project Work'!B15,'Group Work'!B15)</f>
        <v>75</v>
      </c>
      <c r="D15" s="20">
        <f>SUM('Test 1'!C15,'Test 2'!C15,'Project Work'!C15,'Group Work'!C15)</f>
        <v>76</v>
      </c>
      <c r="E15" s="20">
        <f>SUM('Test 1'!D15,'Test 2'!D15,'Project Work'!D15,'Group Work'!D15)</f>
        <v>66</v>
      </c>
      <c r="F15" s="20">
        <f>SUM('Test 1'!E15,'Test 2'!E15,'Project Work'!E15,'Group Work'!E15)</f>
        <v>31</v>
      </c>
      <c r="G15" s="20">
        <f>SUM('Test 1'!F15,'Test 2'!F15,'Project Work'!F15,'Group Work'!F15)</f>
        <v>69</v>
      </c>
      <c r="H15" s="20">
        <f>SUM('Test 1'!G15,'Test 2'!G15,'Project Work'!G15,'Group Work'!G15)</f>
        <v>53</v>
      </c>
      <c r="I15" s="20">
        <f>SUM('Test 1'!H15,'Test 2'!H15,'Project Work'!H15,'Group Work'!H15)</f>
        <v>33</v>
      </c>
      <c r="J15" s="20">
        <f>SUM('Test 1'!I15,'Test 2'!I15,'Project Work'!I15,'Group Work'!I15)</f>
        <v>40</v>
      </c>
      <c r="K15" s="20">
        <f>SUM('Test 1'!J15,'Test 2'!J15,'Project Work'!J15,'Group Work'!J15)</f>
        <v>33</v>
      </c>
      <c r="L15" s="20">
        <f>SUM('Test 1'!K15,'Test 2'!K15,'Project Work'!K15,'Group Work'!K15)</f>
        <v>73</v>
      </c>
      <c r="M15">
        <f t="shared" si="1"/>
        <v>37.5</v>
      </c>
      <c r="N15">
        <f t="shared" si="2"/>
        <v>38</v>
      </c>
      <c r="O15">
        <f t="shared" si="3"/>
        <v>33</v>
      </c>
      <c r="P15">
        <f t="shared" si="4"/>
        <v>15.5</v>
      </c>
      <c r="Q15">
        <f t="shared" si="5"/>
        <v>34.5</v>
      </c>
      <c r="R15">
        <f t="shared" si="6"/>
        <v>26.5</v>
      </c>
      <c r="S15">
        <f t="shared" si="7"/>
        <v>16.5</v>
      </c>
      <c r="T15">
        <f t="shared" si="8"/>
        <v>20</v>
      </c>
      <c r="U15">
        <f t="shared" si="9"/>
        <v>16.5</v>
      </c>
      <c r="V15">
        <f t="shared" si="10"/>
        <v>36.5</v>
      </c>
    </row>
    <row r="16" spans="1:22" ht="15.75" x14ac:dyDescent="0.25">
      <c r="A16" s="5">
        <f>Student!A16</f>
        <v>300</v>
      </c>
      <c r="B16" s="21" t="str">
        <f>Student!B16</f>
        <v xml:space="preserve">GOMASHIE PRINCE </v>
      </c>
      <c r="C16" s="20">
        <f>SUM('Test 1'!B16,'Test 2'!B16,'Project Work'!B16,'Group Work'!B16)</f>
        <v>92</v>
      </c>
      <c r="D16" s="20">
        <f>SUM('Test 1'!C16,'Test 2'!C16,'Project Work'!C16,'Group Work'!C16)</f>
        <v>87</v>
      </c>
      <c r="E16" s="20">
        <f>SUM('Test 1'!D16,'Test 2'!D16,'Project Work'!D16,'Group Work'!D16)</f>
        <v>64</v>
      </c>
      <c r="F16" s="20">
        <f>SUM('Test 1'!E16,'Test 2'!E16,'Project Work'!E16,'Group Work'!E16)</f>
        <v>55</v>
      </c>
      <c r="G16" s="20">
        <f>SUM('Test 1'!F16,'Test 2'!F16,'Project Work'!F16,'Group Work'!F16)</f>
        <v>64</v>
      </c>
      <c r="H16" s="20">
        <f>SUM('Test 1'!G16,'Test 2'!G16,'Project Work'!G16,'Group Work'!G16)</f>
        <v>55</v>
      </c>
      <c r="I16" s="20">
        <f>SUM('Test 1'!H16,'Test 2'!H16,'Project Work'!H16,'Group Work'!H16)</f>
        <v>54</v>
      </c>
      <c r="J16" s="20">
        <f>SUM('Test 1'!I16,'Test 2'!I16,'Project Work'!I16,'Group Work'!I16)</f>
        <v>56</v>
      </c>
      <c r="K16" s="20">
        <f>SUM('Test 1'!J16,'Test 2'!J16,'Project Work'!J16,'Group Work'!J16)</f>
        <v>47</v>
      </c>
      <c r="L16" s="20">
        <f>SUM('Test 1'!K16,'Test 2'!K16,'Project Work'!K16,'Group Work'!K16)</f>
        <v>75</v>
      </c>
      <c r="M16">
        <f t="shared" si="1"/>
        <v>46</v>
      </c>
      <c r="N16">
        <f t="shared" si="2"/>
        <v>43.5</v>
      </c>
      <c r="O16">
        <f t="shared" si="3"/>
        <v>32</v>
      </c>
      <c r="P16">
        <f t="shared" si="4"/>
        <v>27.5</v>
      </c>
      <c r="Q16">
        <f t="shared" si="5"/>
        <v>32</v>
      </c>
      <c r="R16">
        <f t="shared" si="6"/>
        <v>27.5</v>
      </c>
      <c r="S16">
        <f t="shared" si="7"/>
        <v>27</v>
      </c>
      <c r="T16">
        <f t="shared" si="8"/>
        <v>28</v>
      </c>
      <c r="U16">
        <f t="shared" si="9"/>
        <v>23.5</v>
      </c>
      <c r="V16">
        <f t="shared" si="10"/>
        <v>37.5</v>
      </c>
    </row>
    <row r="17" spans="1:22" ht="15.75" x14ac:dyDescent="0.25">
      <c r="A17" s="5" t="str">
        <f>Student!A17</f>
        <v>A070</v>
      </c>
      <c r="B17" s="21" t="str">
        <f>Student!B17</f>
        <v xml:space="preserve">NUMEGBOR WISDOM </v>
      </c>
      <c r="C17" s="20">
        <f>SUM('Test 1'!B17,'Test 2'!B17,'Project Work'!B17,'Group Work'!B17)</f>
        <v>92</v>
      </c>
      <c r="D17" s="20">
        <f>SUM('Test 1'!C17,'Test 2'!C17,'Project Work'!C17,'Group Work'!C17)</f>
        <v>89</v>
      </c>
      <c r="E17" s="20">
        <f>SUM('Test 1'!D17,'Test 2'!D17,'Project Work'!D17,'Group Work'!D17)</f>
        <v>64</v>
      </c>
      <c r="F17" s="20">
        <f>SUM('Test 1'!E17,'Test 2'!E17,'Project Work'!E17,'Group Work'!E17)</f>
        <v>31</v>
      </c>
      <c r="G17" s="20">
        <f>SUM('Test 1'!F17,'Test 2'!F17,'Project Work'!F17,'Group Work'!F17)</f>
        <v>62</v>
      </c>
      <c r="H17" s="20">
        <f>SUM('Test 1'!G17,'Test 2'!G17,'Project Work'!G17,'Group Work'!G17)</f>
        <v>52</v>
      </c>
      <c r="I17" s="20">
        <f>SUM('Test 1'!H17,'Test 2'!H17,'Project Work'!H17,'Group Work'!H17)</f>
        <v>40</v>
      </c>
      <c r="J17" s="20">
        <f>SUM('Test 1'!I17,'Test 2'!I17,'Project Work'!I17,'Group Work'!I17)</f>
        <v>33</v>
      </c>
      <c r="K17" s="20">
        <f>SUM('Test 1'!J17,'Test 2'!J17,'Project Work'!J17,'Group Work'!J17)</f>
        <v>41</v>
      </c>
      <c r="L17" s="20">
        <f>SUM('Test 1'!K17,'Test 2'!K17,'Project Work'!K17,'Group Work'!K17)</f>
        <v>73</v>
      </c>
      <c r="M17">
        <f t="shared" si="1"/>
        <v>46</v>
      </c>
      <c r="N17">
        <f t="shared" si="2"/>
        <v>44.5</v>
      </c>
      <c r="O17">
        <f t="shared" si="3"/>
        <v>32</v>
      </c>
      <c r="P17">
        <f t="shared" si="4"/>
        <v>15.5</v>
      </c>
      <c r="Q17">
        <f t="shared" si="5"/>
        <v>31</v>
      </c>
      <c r="R17">
        <f t="shared" si="6"/>
        <v>26</v>
      </c>
      <c r="S17">
        <f t="shared" si="7"/>
        <v>20</v>
      </c>
      <c r="T17">
        <f t="shared" si="8"/>
        <v>16.5</v>
      </c>
      <c r="U17">
        <f t="shared" si="9"/>
        <v>20.5</v>
      </c>
      <c r="V17">
        <f t="shared" si="10"/>
        <v>36.5</v>
      </c>
    </row>
    <row r="18" spans="1:22" ht="15.75" x14ac:dyDescent="0.25">
      <c r="A18" s="5">
        <f>Student!A18</f>
        <v>267</v>
      </c>
      <c r="B18" s="21" t="str">
        <f>Student!B18</f>
        <v xml:space="preserve">OFFEI JUSTICE </v>
      </c>
      <c r="C18" s="20">
        <f>SUM('Test 1'!B18,'Test 2'!B18,'Project Work'!B18,'Group Work'!B18)</f>
        <v>86</v>
      </c>
      <c r="D18" s="20">
        <f>SUM('Test 1'!C18,'Test 2'!C18,'Project Work'!C18,'Group Work'!C18)</f>
        <v>83</v>
      </c>
      <c r="E18" s="20">
        <f>SUM('Test 1'!D18,'Test 2'!D18,'Project Work'!D18,'Group Work'!D18)</f>
        <v>62</v>
      </c>
      <c r="F18" s="20">
        <f>SUM('Test 1'!E18,'Test 2'!E18,'Project Work'!E18,'Group Work'!E18)</f>
        <v>84</v>
      </c>
      <c r="G18" s="20">
        <f>SUM('Test 1'!F18,'Test 2'!F18,'Project Work'!F18,'Group Work'!F18)</f>
        <v>62</v>
      </c>
      <c r="H18" s="20">
        <f>SUM('Test 1'!G18,'Test 2'!G18,'Project Work'!G18,'Group Work'!G18)</f>
        <v>55</v>
      </c>
      <c r="I18" s="20">
        <f>SUM('Test 1'!H18,'Test 2'!H18,'Project Work'!H18,'Group Work'!H18)</f>
        <v>30</v>
      </c>
      <c r="J18" s="20">
        <f>SUM('Test 1'!I18,'Test 2'!I18,'Project Work'!I18,'Group Work'!I18)</f>
        <v>66</v>
      </c>
      <c r="K18" s="20">
        <f>SUM('Test 1'!J18,'Test 2'!J18,'Project Work'!J18,'Group Work'!J18)</f>
        <v>61</v>
      </c>
      <c r="L18" s="20">
        <f>SUM('Test 1'!K18,'Test 2'!K18,'Project Work'!K18,'Group Work'!K18)</f>
        <v>76</v>
      </c>
      <c r="M18">
        <f t="shared" si="1"/>
        <v>43</v>
      </c>
      <c r="N18">
        <f t="shared" si="2"/>
        <v>41.5</v>
      </c>
      <c r="O18">
        <f t="shared" si="3"/>
        <v>31</v>
      </c>
      <c r="P18">
        <f t="shared" si="4"/>
        <v>42</v>
      </c>
      <c r="Q18">
        <f t="shared" si="5"/>
        <v>31</v>
      </c>
      <c r="R18">
        <f t="shared" si="6"/>
        <v>27.5</v>
      </c>
      <c r="S18">
        <f t="shared" si="7"/>
        <v>15</v>
      </c>
      <c r="T18">
        <f t="shared" si="8"/>
        <v>33</v>
      </c>
      <c r="U18">
        <f t="shared" si="9"/>
        <v>30.5</v>
      </c>
      <c r="V18">
        <f t="shared" si="10"/>
        <v>38</v>
      </c>
    </row>
    <row r="19" spans="1:22" ht="15.75" x14ac:dyDescent="0.25">
      <c r="A19" s="5">
        <f>Student!A19</f>
        <v>503</v>
      </c>
      <c r="B19" s="21" t="str">
        <f>Student!B19</f>
        <v xml:space="preserve">OSEI BELVIS </v>
      </c>
      <c r="C19" s="20">
        <f>SUM('Test 1'!B19,'Test 2'!B19,'Project Work'!B19,'Group Work'!B19)</f>
        <v>87</v>
      </c>
      <c r="D19" s="20">
        <f>SUM('Test 1'!C19,'Test 2'!C19,'Project Work'!C19,'Group Work'!C19)</f>
        <v>80</v>
      </c>
      <c r="E19" s="20">
        <f>SUM('Test 1'!D19,'Test 2'!D19,'Project Work'!D19,'Group Work'!D19)</f>
        <v>66</v>
      </c>
      <c r="F19" s="20">
        <f>SUM('Test 1'!E19,'Test 2'!E19,'Project Work'!E19,'Group Work'!E19)</f>
        <v>77</v>
      </c>
      <c r="G19" s="20">
        <f>SUM('Test 1'!F19,'Test 2'!F19,'Project Work'!F19,'Group Work'!F19)</f>
        <v>67</v>
      </c>
      <c r="H19" s="20">
        <f>SUM('Test 1'!G19,'Test 2'!G19,'Project Work'!G19,'Group Work'!G19)</f>
        <v>58</v>
      </c>
      <c r="I19" s="20">
        <f>SUM('Test 1'!H19,'Test 2'!H19,'Project Work'!H19,'Group Work'!H19)</f>
        <v>30</v>
      </c>
      <c r="J19" s="20">
        <f>SUM('Test 1'!I19,'Test 2'!I19,'Project Work'!I19,'Group Work'!I19)</f>
        <v>58</v>
      </c>
      <c r="K19" s="20">
        <f>SUM('Test 1'!J19,'Test 2'!J19,'Project Work'!J19,'Group Work'!J19)</f>
        <v>42</v>
      </c>
      <c r="L19" s="20">
        <f>SUM('Test 1'!K19,'Test 2'!K19,'Project Work'!K19,'Group Work'!K19)</f>
        <v>73</v>
      </c>
      <c r="M19">
        <f t="shared" si="1"/>
        <v>43.5</v>
      </c>
      <c r="N19">
        <f t="shared" si="2"/>
        <v>40</v>
      </c>
      <c r="O19">
        <f t="shared" si="3"/>
        <v>33</v>
      </c>
      <c r="P19">
        <f t="shared" si="4"/>
        <v>38.5</v>
      </c>
      <c r="Q19">
        <f t="shared" si="5"/>
        <v>33.5</v>
      </c>
      <c r="R19">
        <f t="shared" si="6"/>
        <v>29</v>
      </c>
      <c r="S19">
        <f t="shared" si="7"/>
        <v>15</v>
      </c>
      <c r="T19">
        <f t="shared" si="8"/>
        <v>29</v>
      </c>
      <c r="U19">
        <f t="shared" si="9"/>
        <v>21</v>
      </c>
      <c r="V19">
        <f t="shared" si="10"/>
        <v>36.5</v>
      </c>
    </row>
    <row r="20" spans="1:22" ht="15.75" x14ac:dyDescent="0.25">
      <c r="A20" s="5">
        <f>Student!A20</f>
        <v>459</v>
      </c>
      <c r="B20" s="21" t="str">
        <f>Student!B20</f>
        <v xml:space="preserve">OTU KOFI SOLOMON  </v>
      </c>
      <c r="C20" s="20">
        <f>SUM('Test 1'!B20,'Test 2'!B20,'Project Work'!B20,'Group Work'!B20)</f>
        <v>75</v>
      </c>
      <c r="D20" s="20">
        <f>SUM('Test 1'!C20,'Test 2'!C20,'Project Work'!C20,'Group Work'!C20)</f>
        <v>78</v>
      </c>
      <c r="E20" s="20">
        <f>SUM('Test 1'!D20,'Test 2'!D20,'Project Work'!D20,'Group Work'!D20)</f>
        <v>63</v>
      </c>
      <c r="F20" s="20">
        <f>SUM('Test 1'!E20,'Test 2'!E20,'Project Work'!E20,'Group Work'!E20)</f>
        <v>43</v>
      </c>
      <c r="G20" s="20">
        <f>SUM('Test 1'!F20,'Test 2'!F20,'Project Work'!F20,'Group Work'!F20)</f>
        <v>71</v>
      </c>
      <c r="H20" s="20">
        <f>SUM('Test 1'!G20,'Test 2'!G20,'Project Work'!G20,'Group Work'!G20)</f>
        <v>60</v>
      </c>
      <c r="I20" s="20">
        <f>SUM('Test 1'!H20,'Test 2'!H20,'Project Work'!H20,'Group Work'!H20)</f>
        <v>57</v>
      </c>
      <c r="J20" s="20">
        <f>SUM('Test 1'!I20,'Test 2'!I20,'Project Work'!I20,'Group Work'!I20)</f>
        <v>45</v>
      </c>
      <c r="K20" s="20">
        <f>SUM('Test 1'!J20,'Test 2'!J20,'Project Work'!J20,'Group Work'!J20)</f>
        <v>46</v>
      </c>
      <c r="L20" s="20">
        <f>SUM('Test 1'!K20,'Test 2'!K20,'Project Work'!K20,'Group Work'!K20)</f>
        <v>80</v>
      </c>
      <c r="M20">
        <f t="shared" si="1"/>
        <v>37.5</v>
      </c>
      <c r="N20">
        <f t="shared" si="2"/>
        <v>39</v>
      </c>
      <c r="O20">
        <f t="shared" si="3"/>
        <v>31.5</v>
      </c>
      <c r="P20">
        <f t="shared" si="4"/>
        <v>21.5</v>
      </c>
      <c r="Q20">
        <f t="shared" si="5"/>
        <v>35.5</v>
      </c>
      <c r="R20">
        <f t="shared" si="6"/>
        <v>30</v>
      </c>
      <c r="S20">
        <f t="shared" si="7"/>
        <v>28.5</v>
      </c>
      <c r="T20">
        <f t="shared" si="8"/>
        <v>22.5</v>
      </c>
      <c r="U20">
        <f t="shared" si="9"/>
        <v>23</v>
      </c>
      <c r="V20">
        <f t="shared" si="10"/>
        <v>40</v>
      </c>
    </row>
    <row r="21" spans="1:22" ht="15.75" x14ac:dyDescent="0.25">
      <c r="A21" s="5">
        <f>Student!A21</f>
        <v>436</v>
      </c>
      <c r="B21" s="21" t="str">
        <f>Student!B21</f>
        <v xml:space="preserve">OWUSU RUBEN </v>
      </c>
      <c r="C21" s="20">
        <f>SUM('Test 1'!B21,'Test 2'!B21,'Project Work'!B21,'Group Work'!B21)</f>
        <v>85</v>
      </c>
      <c r="D21" s="20">
        <f>SUM('Test 1'!C21,'Test 2'!C21,'Project Work'!C21,'Group Work'!C21)</f>
        <v>81</v>
      </c>
      <c r="E21" s="20">
        <f>SUM('Test 1'!D21,'Test 2'!D21,'Project Work'!D21,'Group Work'!D21)</f>
        <v>34</v>
      </c>
      <c r="F21" s="20">
        <f>SUM('Test 1'!E21,'Test 2'!E21,'Project Work'!E21,'Group Work'!E21)</f>
        <v>31</v>
      </c>
      <c r="G21" s="20">
        <f>SUM('Test 1'!F21,'Test 2'!F21,'Project Work'!F21,'Group Work'!F21)</f>
        <v>65</v>
      </c>
      <c r="H21" s="20">
        <f>SUM('Test 1'!G21,'Test 2'!G21,'Project Work'!G21,'Group Work'!G21)</f>
        <v>53</v>
      </c>
      <c r="I21" s="20">
        <f>SUM('Test 1'!H21,'Test 2'!H21,'Project Work'!H21,'Group Work'!H21)</f>
        <v>30</v>
      </c>
      <c r="J21" s="20">
        <f>SUM('Test 1'!I21,'Test 2'!I21,'Project Work'!I21,'Group Work'!I21)</f>
        <v>34</v>
      </c>
      <c r="K21" s="20">
        <f>SUM('Test 1'!J21,'Test 2'!J21,'Project Work'!J21,'Group Work'!J21)</f>
        <v>29</v>
      </c>
      <c r="L21" s="20">
        <f>SUM('Test 1'!K21,'Test 2'!K21,'Project Work'!K21,'Group Work'!K21)</f>
        <v>74</v>
      </c>
      <c r="M21">
        <f t="shared" si="1"/>
        <v>42.5</v>
      </c>
      <c r="N21">
        <f t="shared" si="2"/>
        <v>40.5</v>
      </c>
      <c r="O21">
        <f t="shared" si="3"/>
        <v>17</v>
      </c>
      <c r="P21">
        <f t="shared" si="4"/>
        <v>15.5</v>
      </c>
      <c r="Q21">
        <f t="shared" si="5"/>
        <v>32.5</v>
      </c>
      <c r="R21">
        <f t="shared" si="6"/>
        <v>26.5</v>
      </c>
      <c r="S21">
        <f t="shared" si="7"/>
        <v>15</v>
      </c>
      <c r="T21">
        <f t="shared" si="8"/>
        <v>17</v>
      </c>
      <c r="U21">
        <f t="shared" si="9"/>
        <v>14.5</v>
      </c>
      <c r="V21">
        <f t="shared" si="10"/>
        <v>37</v>
      </c>
    </row>
    <row r="22" spans="1:22" ht="15.75" x14ac:dyDescent="0.25">
      <c r="A22" s="5">
        <f>Student!A22</f>
        <v>309</v>
      </c>
      <c r="B22" s="21" t="str">
        <f>Student!B22</f>
        <v xml:space="preserve">SEIDU IBRAHIM </v>
      </c>
      <c r="C22" s="20">
        <f>SUM('Test 1'!B22,'Test 2'!B22,'Project Work'!B22,'Group Work'!B22)</f>
        <v>81</v>
      </c>
      <c r="D22" s="20">
        <f>SUM('Test 1'!C22,'Test 2'!C22,'Project Work'!C22,'Group Work'!C22)</f>
        <v>78</v>
      </c>
      <c r="E22" s="20">
        <f>SUM('Test 1'!D22,'Test 2'!D22,'Project Work'!D22,'Group Work'!D22)</f>
        <v>41</v>
      </c>
      <c r="F22" s="20">
        <f>SUM('Test 1'!E22,'Test 2'!E22,'Project Work'!E22,'Group Work'!E22)</f>
        <v>31</v>
      </c>
      <c r="G22" s="20">
        <f>SUM('Test 1'!F22,'Test 2'!F22,'Project Work'!F22,'Group Work'!F22)</f>
        <v>65</v>
      </c>
      <c r="H22" s="20">
        <f>SUM('Test 1'!G22,'Test 2'!G22,'Project Work'!G22,'Group Work'!G22)</f>
        <v>50</v>
      </c>
      <c r="I22" s="20">
        <f>SUM('Test 1'!H22,'Test 2'!H22,'Project Work'!H22,'Group Work'!H22)</f>
        <v>30</v>
      </c>
      <c r="J22" s="20">
        <f>SUM('Test 1'!I22,'Test 2'!I22,'Project Work'!I22,'Group Work'!I22)</f>
        <v>48</v>
      </c>
      <c r="K22" s="20">
        <f>SUM('Test 1'!J22,'Test 2'!J22,'Project Work'!J22,'Group Work'!J22)</f>
        <v>28</v>
      </c>
      <c r="L22" s="20">
        <f>SUM('Test 1'!K22,'Test 2'!K22,'Project Work'!K22,'Group Work'!K22)</f>
        <v>75</v>
      </c>
      <c r="M22">
        <f t="shared" si="1"/>
        <v>40.5</v>
      </c>
      <c r="N22">
        <f t="shared" si="2"/>
        <v>39</v>
      </c>
      <c r="O22">
        <f t="shared" si="3"/>
        <v>20.5</v>
      </c>
      <c r="P22">
        <f t="shared" si="4"/>
        <v>15.5</v>
      </c>
      <c r="Q22">
        <f t="shared" si="5"/>
        <v>32.5</v>
      </c>
      <c r="R22">
        <f t="shared" si="6"/>
        <v>25</v>
      </c>
      <c r="S22">
        <f t="shared" si="7"/>
        <v>15</v>
      </c>
      <c r="T22">
        <f t="shared" si="8"/>
        <v>24</v>
      </c>
      <c r="U22">
        <f t="shared" si="9"/>
        <v>14</v>
      </c>
      <c r="V22">
        <f t="shared" si="10"/>
        <v>37.5</v>
      </c>
    </row>
    <row r="23" spans="1:22" ht="15.75" x14ac:dyDescent="0.25">
      <c r="A23" s="5">
        <f>Student!A23</f>
        <v>645</v>
      </c>
      <c r="B23" s="21" t="str">
        <f>Student!B23</f>
        <v xml:space="preserve">TAGBOR MICHAEL </v>
      </c>
      <c r="C23" s="20">
        <f>SUM('Test 1'!B23,'Test 2'!B23,'Project Work'!B23,'Group Work'!B23)</f>
        <v>72</v>
      </c>
      <c r="D23" s="20">
        <f>SUM('Test 1'!C23,'Test 2'!C23,'Project Work'!C23,'Group Work'!C23)</f>
        <v>69</v>
      </c>
      <c r="E23" s="20">
        <f>SUM('Test 1'!D23,'Test 2'!D23,'Project Work'!D23,'Group Work'!D23)</f>
        <v>55</v>
      </c>
      <c r="F23" s="20">
        <f>SUM('Test 1'!E23,'Test 2'!E23,'Project Work'!E23,'Group Work'!E23)</f>
        <v>31</v>
      </c>
      <c r="G23" s="20">
        <f>SUM('Test 1'!F23,'Test 2'!F23,'Project Work'!F23,'Group Work'!F23)</f>
        <v>67</v>
      </c>
      <c r="H23" s="20">
        <f>SUM('Test 1'!G23,'Test 2'!G23,'Project Work'!G23,'Group Work'!G23)</f>
        <v>66</v>
      </c>
      <c r="I23" s="20">
        <f>SUM('Test 1'!H23,'Test 2'!H23,'Project Work'!H23,'Group Work'!H23)</f>
        <v>30</v>
      </c>
      <c r="J23" s="20">
        <f>SUM('Test 1'!I23,'Test 2'!I23,'Project Work'!I23,'Group Work'!I23)</f>
        <v>30</v>
      </c>
      <c r="K23" s="20">
        <f>SUM('Test 1'!J23,'Test 2'!J23,'Project Work'!J23,'Group Work'!J23)</f>
        <v>57</v>
      </c>
      <c r="L23" s="20">
        <f>SUM('Test 1'!K23,'Test 2'!K23,'Project Work'!K23,'Group Work'!K23)</f>
        <v>76</v>
      </c>
      <c r="M23">
        <f t="shared" si="1"/>
        <v>36</v>
      </c>
      <c r="N23">
        <f t="shared" si="2"/>
        <v>34.5</v>
      </c>
      <c r="O23">
        <f t="shared" si="3"/>
        <v>27.5</v>
      </c>
      <c r="P23">
        <f t="shared" si="4"/>
        <v>15.5</v>
      </c>
      <c r="Q23">
        <f t="shared" si="5"/>
        <v>33.5</v>
      </c>
      <c r="R23">
        <f t="shared" si="6"/>
        <v>33</v>
      </c>
      <c r="S23">
        <f t="shared" si="7"/>
        <v>15</v>
      </c>
      <c r="T23">
        <f t="shared" si="8"/>
        <v>15</v>
      </c>
      <c r="U23">
        <f t="shared" si="9"/>
        <v>28.5</v>
      </c>
      <c r="V23">
        <f t="shared" si="10"/>
        <v>38</v>
      </c>
    </row>
    <row r="24" spans="1:22" ht="15.75" x14ac:dyDescent="0.25">
      <c r="A24" s="5">
        <f>Student!A24</f>
        <v>4070</v>
      </c>
      <c r="B24" s="21" t="str">
        <f>Student!B24</f>
        <v xml:space="preserve">ACQUAH PRISCILLA  </v>
      </c>
      <c r="C24" s="20">
        <f>SUM('Test 1'!B24,'Test 2'!B24,'Project Work'!B24,'Group Work'!B24)</f>
        <v>82</v>
      </c>
      <c r="D24" s="20">
        <f>SUM('Test 1'!C24,'Test 2'!C24,'Project Work'!C24,'Group Work'!C24)</f>
        <v>75</v>
      </c>
      <c r="E24" s="20">
        <f>SUM('Test 1'!D24,'Test 2'!D24,'Project Work'!D24,'Group Work'!D24)</f>
        <v>43</v>
      </c>
      <c r="F24" s="20">
        <f>SUM('Test 1'!E24,'Test 2'!E24,'Project Work'!E24,'Group Work'!E24)</f>
        <v>58</v>
      </c>
      <c r="G24" s="20">
        <f>SUM('Test 1'!F24,'Test 2'!F24,'Project Work'!F24,'Group Work'!F24)</f>
        <v>73</v>
      </c>
      <c r="H24" s="20">
        <f>SUM('Test 1'!G24,'Test 2'!G24,'Project Work'!G24,'Group Work'!G24)</f>
        <v>78</v>
      </c>
      <c r="I24" s="20">
        <f>SUM('Test 1'!H24,'Test 2'!H24,'Project Work'!H24,'Group Work'!H24)</f>
        <v>70</v>
      </c>
      <c r="J24" s="20">
        <f>SUM('Test 1'!I24,'Test 2'!I24,'Project Work'!I24,'Group Work'!I24)</f>
        <v>41</v>
      </c>
      <c r="K24" s="20">
        <f>SUM('Test 1'!J24,'Test 2'!J24,'Project Work'!J24,'Group Work'!J24)</f>
        <v>50</v>
      </c>
      <c r="L24" s="20">
        <f>SUM('Test 1'!K24,'Test 2'!K24,'Project Work'!K24,'Group Work'!K24)</f>
        <v>75</v>
      </c>
      <c r="M24">
        <f t="shared" si="1"/>
        <v>41</v>
      </c>
      <c r="N24">
        <f t="shared" si="2"/>
        <v>37.5</v>
      </c>
      <c r="O24">
        <f t="shared" si="3"/>
        <v>21.5</v>
      </c>
      <c r="P24">
        <f t="shared" si="4"/>
        <v>29</v>
      </c>
      <c r="Q24">
        <f t="shared" si="5"/>
        <v>36.5</v>
      </c>
      <c r="R24">
        <f t="shared" si="6"/>
        <v>39</v>
      </c>
      <c r="S24">
        <f t="shared" si="7"/>
        <v>35</v>
      </c>
      <c r="T24">
        <f t="shared" si="8"/>
        <v>20.5</v>
      </c>
      <c r="U24">
        <f t="shared" si="9"/>
        <v>25</v>
      </c>
      <c r="V24">
        <f t="shared" si="10"/>
        <v>37.5</v>
      </c>
    </row>
    <row r="25" spans="1:22" ht="15.75" x14ac:dyDescent="0.25">
      <c r="A25" s="5">
        <f>Student!A25</f>
        <v>624</v>
      </c>
      <c r="B25" s="21" t="str">
        <f>Student!B25</f>
        <v xml:space="preserve">ADI ROSE  </v>
      </c>
      <c r="C25" s="20">
        <f>SUM('Test 1'!B25,'Test 2'!B25,'Project Work'!B25,'Group Work'!B25)</f>
        <v>90</v>
      </c>
      <c r="D25" s="20">
        <f>SUM('Test 1'!C25,'Test 2'!C25,'Project Work'!C25,'Group Work'!C25)</f>
        <v>88</v>
      </c>
      <c r="E25" s="20">
        <f>SUM('Test 1'!D25,'Test 2'!D25,'Project Work'!D25,'Group Work'!D25)</f>
        <v>43</v>
      </c>
      <c r="F25" s="20">
        <f>SUM('Test 1'!E25,'Test 2'!E25,'Project Work'!E25,'Group Work'!E25)</f>
        <v>83</v>
      </c>
      <c r="G25" s="20">
        <f>SUM('Test 1'!F25,'Test 2'!F25,'Project Work'!F25,'Group Work'!F25)</f>
        <v>84</v>
      </c>
      <c r="H25" s="20">
        <f>SUM('Test 1'!G25,'Test 2'!G25,'Project Work'!G25,'Group Work'!G25)</f>
        <v>53</v>
      </c>
      <c r="I25" s="20">
        <f>SUM('Test 1'!H25,'Test 2'!H25,'Project Work'!H25,'Group Work'!H25)</f>
        <v>56</v>
      </c>
      <c r="J25" s="20">
        <f>SUM('Test 1'!I25,'Test 2'!I25,'Project Work'!I25,'Group Work'!I25)</f>
        <v>53</v>
      </c>
      <c r="K25" s="20">
        <f>SUM('Test 1'!J25,'Test 2'!J25,'Project Work'!J25,'Group Work'!J25)</f>
        <v>39</v>
      </c>
      <c r="L25" s="20">
        <f>SUM('Test 1'!K25,'Test 2'!K25,'Project Work'!K25,'Group Work'!K25)</f>
        <v>79</v>
      </c>
      <c r="M25">
        <f t="shared" si="1"/>
        <v>45</v>
      </c>
      <c r="N25">
        <f t="shared" si="2"/>
        <v>44</v>
      </c>
      <c r="O25">
        <f t="shared" si="3"/>
        <v>21.5</v>
      </c>
      <c r="P25">
        <f t="shared" si="4"/>
        <v>41.5</v>
      </c>
      <c r="Q25">
        <f t="shared" si="5"/>
        <v>42</v>
      </c>
      <c r="R25">
        <f t="shared" si="6"/>
        <v>26.5</v>
      </c>
      <c r="S25">
        <f t="shared" si="7"/>
        <v>28</v>
      </c>
      <c r="T25">
        <f t="shared" si="8"/>
        <v>26.5</v>
      </c>
      <c r="U25">
        <f t="shared" si="9"/>
        <v>19.5</v>
      </c>
      <c r="V25">
        <f t="shared" si="10"/>
        <v>39.5</v>
      </c>
    </row>
    <row r="26" spans="1:22" ht="15.75" x14ac:dyDescent="0.25">
      <c r="A26" s="5">
        <f>Student!A26</f>
        <v>387</v>
      </c>
      <c r="B26" s="21" t="str">
        <f>Student!B26</f>
        <v xml:space="preserve">ADOMAKO PRISCILLA  </v>
      </c>
      <c r="C26" s="20">
        <f>SUM('Test 1'!B26,'Test 2'!B26,'Project Work'!B26,'Group Work'!B26)</f>
        <v>68</v>
      </c>
      <c r="D26" s="20">
        <f>SUM('Test 1'!C26,'Test 2'!C26,'Project Work'!C26,'Group Work'!C26)</f>
        <v>71</v>
      </c>
      <c r="E26" s="20">
        <f>SUM('Test 1'!D26,'Test 2'!D26,'Project Work'!D26,'Group Work'!D26)</f>
        <v>43</v>
      </c>
      <c r="F26" s="20">
        <f>SUM('Test 1'!E26,'Test 2'!E26,'Project Work'!E26,'Group Work'!E26)</f>
        <v>88</v>
      </c>
      <c r="G26" s="20">
        <f>SUM('Test 1'!F26,'Test 2'!F26,'Project Work'!F26,'Group Work'!F26)</f>
        <v>75</v>
      </c>
      <c r="H26" s="20">
        <f>SUM('Test 1'!G26,'Test 2'!G26,'Project Work'!G26,'Group Work'!G26)</f>
        <v>70</v>
      </c>
      <c r="I26" s="20">
        <f>SUM('Test 1'!H26,'Test 2'!H26,'Project Work'!H26,'Group Work'!H26)</f>
        <v>30</v>
      </c>
      <c r="J26" s="20">
        <f>SUM('Test 1'!I26,'Test 2'!I26,'Project Work'!I26,'Group Work'!I26)</f>
        <v>48</v>
      </c>
      <c r="K26" s="20">
        <f>SUM('Test 1'!J26,'Test 2'!J26,'Project Work'!J26,'Group Work'!J26)</f>
        <v>46</v>
      </c>
      <c r="L26" s="20">
        <f>SUM('Test 1'!K26,'Test 2'!K26,'Project Work'!K26,'Group Work'!K26)</f>
        <v>82</v>
      </c>
      <c r="M26">
        <f t="shared" si="1"/>
        <v>34</v>
      </c>
      <c r="N26">
        <f t="shared" si="2"/>
        <v>35.5</v>
      </c>
      <c r="O26">
        <f t="shared" si="3"/>
        <v>21.5</v>
      </c>
      <c r="P26">
        <f t="shared" si="4"/>
        <v>44</v>
      </c>
      <c r="Q26">
        <f t="shared" si="5"/>
        <v>37.5</v>
      </c>
      <c r="R26">
        <f t="shared" si="6"/>
        <v>35</v>
      </c>
      <c r="S26">
        <f t="shared" si="7"/>
        <v>15</v>
      </c>
      <c r="T26">
        <f t="shared" si="8"/>
        <v>24</v>
      </c>
      <c r="U26">
        <f t="shared" si="9"/>
        <v>23</v>
      </c>
      <c r="V26">
        <f t="shared" si="10"/>
        <v>41</v>
      </c>
    </row>
    <row r="27" spans="1:22" ht="15.75" x14ac:dyDescent="0.25">
      <c r="A27" s="5">
        <f>Student!A27</f>
        <v>554</v>
      </c>
      <c r="B27" s="21" t="str">
        <f>Student!B27</f>
        <v xml:space="preserve">AGBEMAZI PRECIOUS  </v>
      </c>
      <c r="C27" s="20">
        <f>SUM('Test 1'!B27,'Test 2'!B27,'Project Work'!B27,'Group Work'!B27)</f>
        <v>90</v>
      </c>
      <c r="D27" s="20">
        <f>SUM('Test 1'!C27,'Test 2'!C27,'Project Work'!C27,'Group Work'!C27)</f>
        <v>84</v>
      </c>
      <c r="E27" s="20">
        <f>SUM('Test 1'!D27,'Test 2'!D27,'Project Work'!D27,'Group Work'!D27)</f>
        <v>46</v>
      </c>
      <c r="F27" s="20">
        <f>SUM('Test 1'!E27,'Test 2'!E27,'Project Work'!E27,'Group Work'!E27)</f>
        <v>78</v>
      </c>
      <c r="G27" s="20">
        <f>SUM('Test 1'!F27,'Test 2'!F27,'Project Work'!F27,'Group Work'!F27)</f>
        <v>72</v>
      </c>
      <c r="H27" s="20">
        <f>SUM('Test 1'!G27,'Test 2'!G27,'Project Work'!G27,'Group Work'!G27)</f>
        <v>66</v>
      </c>
      <c r="I27" s="20">
        <f>SUM('Test 1'!H27,'Test 2'!H27,'Project Work'!H27,'Group Work'!H27)</f>
        <v>40</v>
      </c>
      <c r="J27" s="20">
        <f>SUM('Test 1'!I27,'Test 2'!I27,'Project Work'!I27,'Group Work'!I27)</f>
        <v>65</v>
      </c>
      <c r="K27" s="20">
        <f>SUM('Test 1'!J27,'Test 2'!J27,'Project Work'!J27,'Group Work'!J27)</f>
        <v>50</v>
      </c>
      <c r="L27" s="20">
        <f>SUM('Test 1'!K27,'Test 2'!K27,'Project Work'!K27,'Group Work'!K27)</f>
        <v>78</v>
      </c>
      <c r="M27">
        <f t="shared" si="1"/>
        <v>45</v>
      </c>
      <c r="N27">
        <f t="shared" si="2"/>
        <v>42</v>
      </c>
      <c r="O27">
        <f t="shared" si="3"/>
        <v>23</v>
      </c>
      <c r="P27">
        <f t="shared" si="4"/>
        <v>39</v>
      </c>
      <c r="Q27">
        <f t="shared" si="5"/>
        <v>36</v>
      </c>
      <c r="R27">
        <f t="shared" si="6"/>
        <v>33</v>
      </c>
      <c r="S27">
        <f t="shared" si="7"/>
        <v>20</v>
      </c>
      <c r="T27">
        <f t="shared" si="8"/>
        <v>32.5</v>
      </c>
      <c r="U27">
        <f t="shared" si="9"/>
        <v>25</v>
      </c>
      <c r="V27">
        <f t="shared" si="10"/>
        <v>39</v>
      </c>
    </row>
    <row r="28" spans="1:22" ht="15.75" x14ac:dyDescent="0.25">
      <c r="A28" s="5">
        <f>Student!A28</f>
        <v>365</v>
      </c>
      <c r="B28" s="21" t="str">
        <f>Student!B28</f>
        <v xml:space="preserve">AGBENYEFIA BRIDGET </v>
      </c>
      <c r="C28" s="20">
        <f>SUM('Test 1'!B28,'Test 2'!B28,'Project Work'!B28,'Group Work'!B28)</f>
        <v>62</v>
      </c>
      <c r="D28" s="20">
        <f>SUM('Test 1'!C28,'Test 2'!C28,'Project Work'!C28,'Group Work'!C28)</f>
        <v>58</v>
      </c>
      <c r="E28" s="20">
        <f>SUM('Test 1'!D28,'Test 2'!D28,'Project Work'!D28,'Group Work'!D28)</f>
        <v>41</v>
      </c>
      <c r="F28" s="20">
        <f>SUM('Test 1'!E28,'Test 2'!E28,'Project Work'!E28,'Group Work'!E28)</f>
        <v>63</v>
      </c>
      <c r="G28" s="20">
        <f>SUM('Test 1'!F28,'Test 2'!F28,'Project Work'!F28,'Group Work'!F28)</f>
        <v>63</v>
      </c>
      <c r="H28" s="20">
        <f>SUM('Test 1'!G28,'Test 2'!G28,'Project Work'!G28,'Group Work'!G28)</f>
        <v>51</v>
      </c>
      <c r="I28" s="20">
        <f>SUM('Test 1'!H28,'Test 2'!H28,'Project Work'!H28,'Group Work'!H28)</f>
        <v>38</v>
      </c>
      <c r="J28" s="20">
        <f>SUM('Test 1'!I28,'Test 2'!I28,'Project Work'!I28,'Group Work'!I28)</f>
        <v>45</v>
      </c>
      <c r="K28" s="20">
        <f>SUM('Test 1'!J28,'Test 2'!J28,'Project Work'!J28,'Group Work'!J28)</f>
        <v>44</v>
      </c>
      <c r="L28" s="20">
        <f>SUM('Test 1'!K28,'Test 2'!K28,'Project Work'!K28,'Group Work'!K28)</f>
        <v>84</v>
      </c>
      <c r="M28">
        <f t="shared" si="1"/>
        <v>31</v>
      </c>
      <c r="N28">
        <f t="shared" si="2"/>
        <v>29</v>
      </c>
      <c r="O28">
        <f t="shared" si="3"/>
        <v>20.5</v>
      </c>
      <c r="P28">
        <f t="shared" si="4"/>
        <v>31.5</v>
      </c>
      <c r="Q28">
        <f t="shared" si="5"/>
        <v>31.5</v>
      </c>
      <c r="R28">
        <f t="shared" si="6"/>
        <v>25.5</v>
      </c>
      <c r="S28">
        <f t="shared" si="7"/>
        <v>19</v>
      </c>
      <c r="T28">
        <f t="shared" si="8"/>
        <v>22.5</v>
      </c>
      <c r="U28">
        <f t="shared" si="9"/>
        <v>22</v>
      </c>
      <c r="V28">
        <f t="shared" si="10"/>
        <v>42</v>
      </c>
    </row>
    <row r="29" spans="1:22" ht="15.75" x14ac:dyDescent="0.25">
      <c r="A29" s="5">
        <f>Student!A29</f>
        <v>445</v>
      </c>
      <c r="B29" s="21" t="str">
        <f>Student!B29</f>
        <v xml:space="preserve">AKATAYURE REGINA  </v>
      </c>
      <c r="C29" s="20">
        <f>SUM('Test 1'!B29,'Test 2'!B29,'Project Work'!B29,'Group Work'!B29)</f>
        <v>78</v>
      </c>
      <c r="D29" s="20">
        <f>SUM('Test 1'!C29,'Test 2'!C29,'Project Work'!C29,'Group Work'!C29)</f>
        <v>78</v>
      </c>
      <c r="E29" s="20">
        <f>SUM('Test 1'!D29,'Test 2'!D29,'Project Work'!D29,'Group Work'!D29)</f>
        <v>41</v>
      </c>
      <c r="F29" s="20">
        <f>SUM('Test 1'!E29,'Test 2'!E29,'Project Work'!E29,'Group Work'!E29)</f>
        <v>65</v>
      </c>
      <c r="G29" s="20">
        <f>SUM('Test 1'!F29,'Test 2'!F29,'Project Work'!F29,'Group Work'!F29)</f>
        <v>64</v>
      </c>
      <c r="H29" s="20">
        <f>SUM('Test 1'!G29,'Test 2'!G29,'Project Work'!G29,'Group Work'!G29)</f>
        <v>50</v>
      </c>
      <c r="I29" s="20">
        <f>SUM('Test 1'!H29,'Test 2'!H29,'Project Work'!H29,'Group Work'!H29)</f>
        <v>40</v>
      </c>
      <c r="J29" s="20">
        <f>SUM('Test 1'!I29,'Test 2'!I29,'Project Work'!I29,'Group Work'!I29)</f>
        <v>63</v>
      </c>
      <c r="K29" s="20">
        <f>SUM('Test 1'!J29,'Test 2'!J29,'Project Work'!J29,'Group Work'!J29)</f>
        <v>41</v>
      </c>
      <c r="L29" s="20">
        <f>SUM('Test 1'!K29,'Test 2'!K29,'Project Work'!K29,'Group Work'!K29)</f>
        <v>64</v>
      </c>
      <c r="M29">
        <f t="shared" si="1"/>
        <v>39</v>
      </c>
      <c r="N29">
        <f t="shared" si="2"/>
        <v>39</v>
      </c>
      <c r="O29">
        <f t="shared" si="3"/>
        <v>20.5</v>
      </c>
      <c r="P29">
        <f t="shared" si="4"/>
        <v>32.5</v>
      </c>
      <c r="Q29">
        <f t="shared" si="5"/>
        <v>32</v>
      </c>
      <c r="R29">
        <f t="shared" si="6"/>
        <v>25</v>
      </c>
      <c r="S29">
        <f t="shared" si="7"/>
        <v>20</v>
      </c>
      <c r="T29">
        <f t="shared" si="8"/>
        <v>31.5</v>
      </c>
      <c r="U29">
        <f t="shared" si="9"/>
        <v>20.5</v>
      </c>
      <c r="V29">
        <f t="shared" si="10"/>
        <v>32</v>
      </c>
    </row>
    <row r="30" spans="1:22" ht="15.75" x14ac:dyDescent="0.25">
      <c r="A30" s="5" t="str">
        <f>Student!A30</f>
        <v>A071</v>
      </c>
      <c r="B30" s="21" t="str">
        <f>Student!B30</f>
        <v>AKROFI DORCAS</v>
      </c>
      <c r="C30" s="20">
        <f>SUM('Test 1'!B30,'Test 2'!B30,'Project Work'!B30,'Group Work'!B30)</f>
        <v>56</v>
      </c>
      <c r="D30" s="20">
        <f>SUM('Test 1'!C30,'Test 2'!C30,'Project Work'!C30,'Group Work'!C30)</f>
        <v>84</v>
      </c>
      <c r="E30" s="20">
        <f>SUM('Test 1'!D30,'Test 2'!D30,'Project Work'!D30,'Group Work'!D30)</f>
        <v>58</v>
      </c>
      <c r="F30" s="20">
        <f>SUM('Test 1'!E30,'Test 2'!E30,'Project Work'!E30,'Group Work'!E30)</f>
        <v>47</v>
      </c>
      <c r="G30" s="20">
        <f>SUM('Test 1'!F30,'Test 2'!F30,'Project Work'!F30,'Group Work'!F30)</f>
        <v>65</v>
      </c>
      <c r="H30" s="20">
        <f>SUM('Test 1'!G30,'Test 2'!G30,'Project Work'!G30,'Group Work'!G30)</f>
        <v>50</v>
      </c>
      <c r="I30" s="20">
        <f>SUM('Test 1'!H30,'Test 2'!H30,'Project Work'!H30,'Group Work'!H30)</f>
        <v>30</v>
      </c>
      <c r="J30" s="20">
        <f>SUM('Test 1'!I30,'Test 2'!I30,'Project Work'!I30,'Group Work'!I30)</f>
        <v>68</v>
      </c>
      <c r="K30" s="20">
        <f>SUM('Test 1'!J30,'Test 2'!J30,'Project Work'!J30,'Group Work'!J30)</f>
        <v>53</v>
      </c>
      <c r="L30" s="20">
        <f>SUM('Test 1'!K30,'Test 2'!K30,'Project Work'!K30,'Group Work'!K30)</f>
        <v>66</v>
      </c>
      <c r="M30">
        <f t="shared" si="1"/>
        <v>28</v>
      </c>
      <c r="N30">
        <f t="shared" si="2"/>
        <v>42</v>
      </c>
      <c r="O30">
        <f t="shared" si="3"/>
        <v>29</v>
      </c>
      <c r="P30">
        <f t="shared" si="4"/>
        <v>23.5</v>
      </c>
      <c r="Q30">
        <f t="shared" si="5"/>
        <v>32.5</v>
      </c>
      <c r="R30">
        <f t="shared" si="6"/>
        <v>25</v>
      </c>
      <c r="S30">
        <f t="shared" si="7"/>
        <v>15</v>
      </c>
      <c r="T30">
        <f t="shared" si="8"/>
        <v>34</v>
      </c>
      <c r="U30">
        <f t="shared" si="9"/>
        <v>26.5</v>
      </c>
      <c r="V30">
        <f t="shared" si="10"/>
        <v>33</v>
      </c>
    </row>
    <row r="31" spans="1:22" ht="15.75" x14ac:dyDescent="0.25">
      <c r="A31" s="5">
        <f>Student!A31</f>
        <v>511</v>
      </c>
      <c r="B31" s="21" t="str">
        <f>Student!B31</f>
        <v xml:space="preserve">AMOAH SAFOA </v>
      </c>
      <c r="C31" s="20">
        <f>SUM('Test 1'!B31,'Test 2'!B31,'Project Work'!B31,'Group Work'!B31)</f>
        <v>96</v>
      </c>
      <c r="D31" s="20">
        <f>SUM('Test 1'!C31,'Test 2'!C31,'Project Work'!C31,'Group Work'!C31)</f>
        <v>89</v>
      </c>
      <c r="E31" s="20">
        <f>SUM('Test 1'!D31,'Test 2'!D31,'Project Work'!D31,'Group Work'!D31)</f>
        <v>73</v>
      </c>
      <c r="F31" s="20">
        <f>SUM('Test 1'!E31,'Test 2'!E31,'Project Work'!E31,'Group Work'!E31)</f>
        <v>79</v>
      </c>
      <c r="G31" s="20">
        <f>SUM('Test 1'!F31,'Test 2'!F31,'Project Work'!F31,'Group Work'!F31)</f>
        <v>75</v>
      </c>
      <c r="H31" s="20">
        <f>SUM('Test 1'!G31,'Test 2'!G31,'Project Work'!G31,'Group Work'!G31)</f>
        <v>55</v>
      </c>
      <c r="I31" s="20">
        <f>SUM('Test 1'!H31,'Test 2'!H31,'Project Work'!H31,'Group Work'!H31)</f>
        <v>30</v>
      </c>
      <c r="J31" s="20">
        <f>SUM('Test 1'!I31,'Test 2'!I31,'Project Work'!I31,'Group Work'!I31)</f>
        <v>40</v>
      </c>
      <c r="K31" s="20">
        <f>SUM('Test 1'!J31,'Test 2'!J31,'Project Work'!J31,'Group Work'!J31)</f>
        <v>53</v>
      </c>
      <c r="L31" s="20">
        <f>SUM('Test 1'!K31,'Test 2'!K31,'Project Work'!K31,'Group Work'!K31)</f>
        <v>69</v>
      </c>
      <c r="M31">
        <f t="shared" si="1"/>
        <v>48</v>
      </c>
      <c r="N31">
        <f t="shared" si="2"/>
        <v>44.5</v>
      </c>
      <c r="O31">
        <f t="shared" si="3"/>
        <v>36.5</v>
      </c>
      <c r="P31">
        <f t="shared" si="4"/>
        <v>39.5</v>
      </c>
      <c r="Q31">
        <f t="shared" si="5"/>
        <v>37.5</v>
      </c>
      <c r="R31">
        <f t="shared" si="6"/>
        <v>27.5</v>
      </c>
      <c r="S31">
        <f t="shared" si="7"/>
        <v>15</v>
      </c>
      <c r="T31">
        <f t="shared" si="8"/>
        <v>20</v>
      </c>
      <c r="U31">
        <f t="shared" si="9"/>
        <v>26.5</v>
      </c>
      <c r="V31">
        <f t="shared" si="10"/>
        <v>34.5</v>
      </c>
    </row>
    <row r="32" spans="1:22" ht="15.75" x14ac:dyDescent="0.25">
      <c r="A32" s="5">
        <f>Student!A32</f>
        <v>698</v>
      </c>
      <c r="B32" s="21" t="str">
        <f>Student!B32</f>
        <v>ANIM AMOAH NHYIRABA</v>
      </c>
      <c r="C32" s="20">
        <f>SUM('Test 1'!B32,'Test 2'!B32,'Project Work'!B32,'Group Work'!B32)</f>
        <v>78</v>
      </c>
      <c r="D32" s="20">
        <f>SUM('Test 1'!C32,'Test 2'!C32,'Project Work'!C32,'Group Work'!C32)</f>
        <v>77</v>
      </c>
      <c r="E32" s="20">
        <f>SUM('Test 1'!D32,'Test 2'!D32,'Project Work'!D32,'Group Work'!D32)</f>
        <v>70</v>
      </c>
      <c r="F32" s="20">
        <f>SUM('Test 1'!E32,'Test 2'!E32,'Project Work'!E32,'Group Work'!E32)</f>
        <v>51</v>
      </c>
      <c r="G32" s="20">
        <f>SUM('Test 1'!F32,'Test 2'!F32,'Project Work'!F32,'Group Work'!F32)</f>
        <v>71</v>
      </c>
      <c r="H32" s="20">
        <f>SUM('Test 1'!G32,'Test 2'!G32,'Project Work'!G32,'Group Work'!G32)</f>
        <v>55</v>
      </c>
      <c r="I32" s="20">
        <f>SUM('Test 1'!H32,'Test 2'!H32,'Project Work'!H32,'Group Work'!H32)</f>
        <v>30</v>
      </c>
      <c r="J32" s="20">
        <f>SUM('Test 1'!I32,'Test 2'!I32,'Project Work'!I32,'Group Work'!I32)</f>
        <v>10</v>
      </c>
      <c r="K32" s="20">
        <f>SUM('Test 1'!J32,'Test 2'!J32,'Project Work'!J32,'Group Work'!J32)</f>
        <v>50</v>
      </c>
      <c r="L32" s="20">
        <f>SUM('Test 1'!K32,'Test 2'!K32,'Project Work'!K32,'Group Work'!K32)</f>
        <v>82</v>
      </c>
      <c r="M32">
        <f t="shared" si="1"/>
        <v>39</v>
      </c>
      <c r="N32">
        <f t="shared" si="2"/>
        <v>38.5</v>
      </c>
      <c r="O32">
        <f t="shared" si="3"/>
        <v>35</v>
      </c>
      <c r="P32">
        <f t="shared" si="4"/>
        <v>25.5</v>
      </c>
      <c r="Q32">
        <f t="shared" si="5"/>
        <v>35.5</v>
      </c>
      <c r="R32">
        <f t="shared" si="6"/>
        <v>27.5</v>
      </c>
      <c r="S32">
        <f t="shared" si="7"/>
        <v>15</v>
      </c>
      <c r="T32">
        <f t="shared" si="8"/>
        <v>5</v>
      </c>
      <c r="U32">
        <f t="shared" si="9"/>
        <v>25</v>
      </c>
      <c r="V32">
        <f t="shared" si="10"/>
        <v>41</v>
      </c>
    </row>
    <row r="33" spans="1:22" ht="15.75" x14ac:dyDescent="0.25">
      <c r="A33" s="5">
        <f>Student!A33</f>
        <v>432</v>
      </c>
      <c r="B33" s="21" t="str">
        <f>Student!B33</f>
        <v xml:space="preserve">APPIAH GLADYS  </v>
      </c>
      <c r="C33" s="20">
        <f>SUM('Test 1'!B33,'Test 2'!B33,'Project Work'!B33,'Group Work'!B33)</f>
        <v>90</v>
      </c>
      <c r="D33" s="20">
        <f>SUM('Test 1'!C33,'Test 2'!C33,'Project Work'!C33,'Group Work'!C33)</f>
        <v>82</v>
      </c>
      <c r="E33" s="20">
        <f>SUM('Test 1'!D33,'Test 2'!D33,'Project Work'!D33,'Group Work'!D33)</f>
        <v>58</v>
      </c>
      <c r="F33" s="20">
        <f>SUM('Test 1'!E33,'Test 2'!E33,'Project Work'!E33,'Group Work'!E33)</f>
        <v>79</v>
      </c>
      <c r="G33" s="20">
        <f>SUM('Test 1'!F33,'Test 2'!F33,'Project Work'!F33,'Group Work'!F33)</f>
        <v>66</v>
      </c>
      <c r="H33" s="20">
        <f>SUM('Test 1'!G33,'Test 2'!G33,'Project Work'!G33,'Group Work'!G33)</f>
        <v>53</v>
      </c>
      <c r="I33" s="20">
        <f>SUM('Test 1'!H33,'Test 2'!H33,'Project Work'!H33,'Group Work'!H33)</f>
        <v>54</v>
      </c>
      <c r="J33" s="20">
        <f>SUM('Test 1'!I33,'Test 2'!I33,'Project Work'!I33,'Group Work'!I33)</f>
        <v>56</v>
      </c>
      <c r="K33" s="20">
        <f>SUM('Test 1'!J33,'Test 2'!J33,'Project Work'!J33,'Group Work'!J33)</f>
        <v>40</v>
      </c>
      <c r="L33" s="20">
        <f>SUM('Test 1'!K33,'Test 2'!K33,'Project Work'!K33,'Group Work'!K33)</f>
        <v>76</v>
      </c>
      <c r="M33">
        <f t="shared" si="1"/>
        <v>45</v>
      </c>
      <c r="N33">
        <f t="shared" si="2"/>
        <v>41</v>
      </c>
      <c r="O33">
        <f t="shared" si="3"/>
        <v>29</v>
      </c>
      <c r="P33">
        <f t="shared" si="4"/>
        <v>39.5</v>
      </c>
      <c r="Q33">
        <f t="shared" si="5"/>
        <v>33</v>
      </c>
      <c r="R33">
        <f t="shared" si="6"/>
        <v>26.5</v>
      </c>
      <c r="S33">
        <f t="shared" si="7"/>
        <v>27</v>
      </c>
      <c r="T33">
        <f t="shared" si="8"/>
        <v>28</v>
      </c>
      <c r="U33">
        <f t="shared" si="9"/>
        <v>20</v>
      </c>
      <c r="V33">
        <f t="shared" si="10"/>
        <v>38</v>
      </c>
    </row>
    <row r="34" spans="1:22" ht="15.75" x14ac:dyDescent="0.25">
      <c r="A34" s="5">
        <f>Student!A34</f>
        <v>320</v>
      </c>
      <c r="B34" s="21" t="str">
        <f>Student!B34</f>
        <v xml:space="preserve">ASAMOAH STELLA  </v>
      </c>
      <c r="C34" s="20">
        <f>SUM('Test 1'!B34,'Test 2'!B34,'Project Work'!B34,'Group Work'!B34)</f>
        <v>98</v>
      </c>
      <c r="D34" s="20">
        <f>SUM('Test 1'!C34,'Test 2'!C34,'Project Work'!C34,'Group Work'!C34)</f>
        <v>91</v>
      </c>
      <c r="E34" s="20">
        <f>SUM('Test 1'!D34,'Test 2'!D34,'Project Work'!D34,'Group Work'!D34)</f>
        <v>43</v>
      </c>
      <c r="F34" s="20">
        <f>SUM('Test 1'!E34,'Test 2'!E34,'Project Work'!E34,'Group Work'!E34)</f>
        <v>61</v>
      </c>
      <c r="G34" s="20">
        <f>SUM('Test 1'!F34,'Test 2'!F34,'Project Work'!F34,'Group Work'!F34)</f>
        <v>62</v>
      </c>
      <c r="H34" s="20">
        <f>SUM('Test 1'!G34,'Test 2'!G34,'Project Work'!G34,'Group Work'!G34)</f>
        <v>53</v>
      </c>
      <c r="I34" s="20">
        <f>SUM('Test 1'!H34,'Test 2'!H34,'Project Work'!H34,'Group Work'!H34)</f>
        <v>30</v>
      </c>
      <c r="J34" s="20">
        <f>SUM('Test 1'!I34,'Test 2'!I34,'Project Work'!I34,'Group Work'!I34)</f>
        <v>41</v>
      </c>
      <c r="K34" s="20">
        <f>SUM('Test 1'!J34,'Test 2'!J34,'Project Work'!J34,'Group Work'!J34)</f>
        <v>35</v>
      </c>
      <c r="L34" s="20">
        <f>SUM('Test 1'!K34,'Test 2'!K34,'Project Work'!K34,'Group Work'!K34)</f>
        <v>73</v>
      </c>
      <c r="M34">
        <f t="shared" si="1"/>
        <v>49</v>
      </c>
      <c r="N34">
        <f t="shared" si="2"/>
        <v>45.5</v>
      </c>
      <c r="O34">
        <f t="shared" si="3"/>
        <v>21.5</v>
      </c>
      <c r="P34">
        <f t="shared" si="4"/>
        <v>30.5</v>
      </c>
      <c r="Q34">
        <f t="shared" si="5"/>
        <v>31</v>
      </c>
      <c r="R34">
        <f t="shared" si="6"/>
        <v>26.5</v>
      </c>
      <c r="S34">
        <f t="shared" si="7"/>
        <v>15</v>
      </c>
      <c r="T34">
        <f t="shared" si="8"/>
        <v>20.5</v>
      </c>
      <c r="U34">
        <f t="shared" si="9"/>
        <v>17.5</v>
      </c>
      <c r="V34">
        <f t="shared" si="10"/>
        <v>36.5</v>
      </c>
    </row>
    <row r="35" spans="1:22" ht="15.75" x14ac:dyDescent="0.25">
      <c r="A35" s="5">
        <f>Student!A35</f>
        <v>2325</v>
      </c>
      <c r="B35" s="21" t="str">
        <f>Student!B35</f>
        <v xml:space="preserve">ASHANGBOR ABIGAIL  </v>
      </c>
      <c r="C35" s="20">
        <f>SUM('Test 1'!B35,'Test 2'!B35,'Project Work'!B35,'Group Work'!B35)</f>
        <v>78</v>
      </c>
      <c r="D35" s="20">
        <f>SUM('Test 1'!C35,'Test 2'!C35,'Project Work'!C35,'Group Work'!C35)</f>
        <v>79</v>
      </c>
      <c r="E35" s="20">
        <f>SUM('Test 1'!D35,'Test 2'!D35,'Project Work'!D35,'Group Work'!D35)</f>
        <v>63</v>
      </c>
      <c r="F35" s="20">
        <f>SUM('Test 1'!E35,'Test 2'!E35,'Project Work'!E35,'Group Work'!E35)</f>
        <v>91</v>
      </c>
      <c r="G35" s="20">
        <f>SUM('Test 1'!F35,'Test 2'!F35,'Project Work'!F35,'Group Work'!F35)</f>
        <v>73</v>
      </c>
      <c r="H35" s="20">
        <f>SUM('Test 1'!G35,'Test 2'!G35,'Project Work'!G35,'Group Work'!G35)</f>
        <v>43</v>
      </c>
      <c r="I35" s="20">
        <f>SUM('Test 1'!H35,'Test 2'!H35,'Project Work'!H35,'Group Work'!H35)</f>
        <v>48</v>
      </c>
      <c r="J35" s="20">
        <f>SUM('Test 1'!I35,'Test 2'!I35,'Project Work'!I35,'Group Work'!I35)</f>
        <v>45</v>
      </c>
      <c r="K35" s="20">
        <f>SUM('Test 1'!J35,'Test 2'!J35,'Project Work'!J35,'Group Work'!J35)</f>
        <v>56</v>
      </c>
      <c r="L35" s="20">
        <f>SUM('Test 1'!K35,'Test 2'!K35,'Project Work'!K35,'Group Work'!K35)</f>
        <v>73</v>
      </c>
      <c r="M35">
        <f t="shared" si="1"/>
        <v>39</v>
      </c>
      <c r="N35">
        <f t="shared" si="2"/>
        <v>39.5</v>
      </c>
      <c r="O35">
        <f t="shared" si="3"/>
        <v>31.5</v>
      </c>
      <c r="P35">
        <f t="shared" si="4"/>
        <v>45.5</v>
      </c>
      <c r="Q35">
        <f t="shared" si="5"/>
        <v>36.5</v>
      </c>
      <c r="R35">
        <f t="shared" si="6"/>
        <v>21.5</v>
      </c>
      <c r="S35">
        <f t="shared" si="7"/>
        <v>24</v>
      </c>
      <c r="T35">
        <f t="shared" si="8"/>
        <v>22.5</v>
      </c>
      <c r="U35">
        <f t="shared" si="9"/>
        <v>28</v>
      </c>
      <c r="V35">
        <f t="shared" si="10"/>
        <v>36.5</v>
      </c>
    </row>
    <row r="36" spans="1:22" ht="15.75" x14ac:dyDescent="0.25">
      <c r="A36" s="5">
        <f>Student!A36</f>
        <v>272</v>
      </c>
      <c r="B36" s="21" t="str">
        <f>Student!B36</f>
        <v xml:space="preserve">ASIGBEY JOYCE  </v>
      </c>
      <c r="C36" s="20">
        <f>SUM('Test 1'!B36,'Test 2'!B36,'Project Work'!B36,'Group Work'!B36)</f>
        <v>100</v>
      </c>
      <c r="D36" s="20">
        <f>SUM('Test 1'!C36,'Test 2'!C36,'Project Work'!C36,'Group Work'!C36)</f>
        <v>94</v>
      </c>
      <c r="E36" s="20">
        <f>SUM('Test 1'!D36,'Test 2'!D36,'Project Work'!D36,'Group Work'!D36)</f>
        <v>43</v>
      </c>
      <c r="F36" s="20">
        <f>SUM('Test 1'!E36,'Test 2'!E36,'Project Work'!E36,'Group Work'!E36)</f>
        <v>45</v>
      </c>
      <c r="G36" s="20">
        <f>SUM('Test 1'!F36,'Test 2'!F36,'Project Work'!F36,'Group Work'!F36)</f>
        <v>71</v>
      </c>
      <c r="H36" s="20">
        <f>SUM('Test 1'!G36,'Test 2'!G36,'Project Work'!G36,'Group Work'!G36)</f>
        <v>44</v>
      </c>
      <c r="I36" s="20">
        <f>SUM('Test 1'!H36,'Test 2'!H36,'Project Work'!H36,'Group Work'!H36)</f>
        <v>30</v>
      </c>
      <c r="J36" s="20">
        <f>SUM('Test 1'!I36,'Test 2'!I36,'Project Work'!I36,'Group Work'!I36)</f>
        <v>35</v>
      </c>
      <c r="K36" s="20">
        <f>SUM('Test 1'!J36,'Test 2'!J36,'Project Work'!J36,'Group Work'!J36)</f>
        <v>60</v>
      </c>
      <c r="L36" s="20">
        <f>SUM('Test 1'!K36,'Test 2'!K36,'Project Work'!K36,'Group Work'!K36)</f>
        <v>58</v>
      </c>
      <c r="M36">
        <f t="shared" si="1"/>
        <v>50</v>
      </c>
      <c r="N36">
        <f t="shared" si="2"/>
        <v>47</v>
      </c>
      <c r="O36">
        <f t="shared" si="3"/>
        <v>21.5</v>
      </c>
      <c r="P36">
        <f t="shared" si="4"/>
        <v>22.5</v>
      </c>
      <c r="Q36">
        <f t="shared" si="5"/>
        <v>35.5</v>
      </c>
      <c r="R36">
        <f t="shared" si="6"/>
        <v>22</v>
      </c>
      <c r="S36">
        <f t="shared" si="7"/>
        <v>15</v>
      </c>
      <c r="T36">
        <f t="shared" si="8"/>
        <v>17.5</v>
      </c>
      <c r="U36">
        <f t="shared" si="9"/>
        <v>30</v>
      </c>
      <c r="V36">
        <f t="shared" si="10"/>
        <v>29</v>
      </c>
    </row>
    <row r="37" spans="1:22" ht="15.75" x14ac:dyDescent="0.25">
      <c r="A37" s="5">
        <f>Student!A37</f>
        <v>643</v>
      </c>
      <c r="B37" s="21" t="str">
        <f>Student!B37</f>
        <v xml:space="preserve">ATTIPOE EUNICE </v>
      </c>
      <c r="C37" s="20">
        <f>SUM('Test 1'!B37,'Test 2'!B37,'Project Work'!B37,'Group Work'!B37)</f>
        <v>86</v>
      </c>
      <c r="D37" s="20">
        <f>SUM('Test 1'!C37,'Test 2'!C37,'Project Work'!C37,'Group Work'!C37)</f>
        <v>83</v>
      </c>
      <c r="E37" s="20">
        <f>SUM('Test 1'!D37,'Test 2'!D37,'Project Work'!D37,'Group Work'!D37)</f>
        <v>74</v>
      </c>
      <c r="F37" s="20">
        <f>SUM('Test 1'!E37,'Test 2'!E37,'Project Work'!E37,'Group Work'!E37)</f>
        <v>95</v>
      </c>
      <c r="G37" s="20">
        <f>SUM('Test 1'!F37,'Test 2'!F37,'Project Work'!F37,'Group Work'!F37)</f>
        <v>80</v>
      </c>
      <c r="H37" s="20">
        <f>SUM('Test 1'!G37,'Test 2'!G37,'Project Work'!G37,'Group Work'!G37)</f>
        <v>68</v>
      </c>
      <c r="I37" s="20">
        <f>SUM('Test 1'!H37,'Test 2'!H37,'Project Work'!H37,'Group Work'!H37)</f>
        <v>74</v>
      </c>
      <c r="J37" s="20">
        <f>SUM('Test 1'!I37,'Test 2'!I37,'Project Work'!I37,'Group Work'!I37)</f>
        <v>60</v>
      </c>
      <c r="K37" s="20">
        <f>SUM('Test 1'!J37,'Test 2'!J37,'Project Work'!J37,'Group Work'!J37)</f>
        <v>52</v>
      </c>
      <c r="L37" s="20">
        <f>SUM('Test 1'!K37,'Test 2'!K37,'Project Work'!K37,'Group Work'!K37)</f>
        <v>100</v>
      </c>
      <c r="M37">
        <f t="shared" si="1"/>
        <v>43</v>
      </c>
      <c r="N37">
        <f t="shared" si="2"/>
        <v>41.5</v>
      </c>
      <c r="O37">
        <f t="shared" si="3"/>
        <v>37</v>
      </c>
      <c r="P37">
        <f t="shared" si="4"/>
        <v>47.5</v>
      </c>
      <c r="Q37">
        <f t="shared" si="5"/>
        <v>40</v>
      </c>
      <c r="R37">
        <f t="shared" si="6"/>
        <v>34</v>
      </c>
      <c r="S37">
        <f t="shared" si="7"/>
        <v>37</v>
      </c>
      <c r="T37">
        <f t="shared" si="8"/>
        <v>30</v>
      </c>
      <c r="U37">
        <f t="shared" si="9"/>
        <v>26</v>
      </c>
      <c r="V37">
        <f t="shared" si="10"/>
        <v>50</v>
      </c>
    </row>
    <row r="38" spans="1:22" ht="15.75" x14ac:dyDescent="0.25">
      <c r="A38" s="5">
        <f>Student!A38</f>
        <v>4062</v>
      </c>
      <c r="B38" s="21" t="str">
        <f>Student!B38</f>
        <v xml:space="preserve">BAAH COMFORT  </v>
      </c>
      <c r="C38" s="20">
        <f>SUM('Test 1'!B38,'Test 2'!B38,'Project Work'!B38,'Group Work'!B38)</f>
        <v>92</v>
      </c>
      <c r="D38" s="20">
        <f>SUM('Test 1'!C38,'Test 2'!C38,'Project Work'!C38,'Group Work'!C38)</f>
        <v>66</v>
      </c>
      <c r="E38" s="20">
        <f>SUM('Test 1'!D38,'Test 2'!D38,'Project Work'!D38,'Group Work'!D38)</f>
        <v>40</v>
      </c>
      <c r="F38" s="20">
        <f>SUM('Test 1'!E38,'Test 2'!E38,'Project Work'!E38,'Group Work'!E38)</f>
        <v>37</v>
      </c>
      <c r="G38" s="20">
        <f>SUM('Test 1'!F38,'Test 2'!F38,'Project Work'!F38,'Group Work'!F38)</f>
        <v>88</v>
      </c>
      <c r="H38" s="20">
        <f>SUM('Test 1'!G38,'Test 2'!G38,'Project Work'!G38,'Group Work'!G38)</f>
        <v>49</v>
      </c>
      <c r="I38" s="20">
        <f>SUM('Test 1'!H38,'Test 2'!H38,'Project Work'!H38,'Group Work'!H38)</f>
        <v>47</v>
      </c>
      <c r="J38" s="20">
        <f>SUM('Test 1'!I38,'Test 2'!I38,'Project Work'!I38,'Group Work'!I38)</f>
        <v>34</v>
      </c>
      <c r="K38" s="20">
        <f>SUM('Test 1'!J38,'Test 2'!J38,'Project Work'!J38,'Group Work'!J38)</f>
        <v>27</v>
      </c>
      <c r="L38" s="20">
        <f>SUM('Test 1'!K38,'Test 2'!K38,'Project Work'!K38,'Group Work'!K38)</f>
        <v>58</v>
      </c>
      <c r="M38">
        <f t="shared" si="1"/>
        <v>46</v>
      </c>
      <c r="N38">
        <f t="shared" si="2"/>
        <v>33</v>
      </c>
      <c r="O38">
        <f t="shared" si="3"/>
        <v>20</v>
      </c>
      <c r="P38">
        <f t="shared" si="4"/>
        <v>18.5</v>
      </c>
      <c r="Q38">
        <f t="shared" si="5"/>
        <v>44</v>
      </c>
      <c r="R38">
        <f t="shared" si="6"/>
        <v>24.5</v>
      </c>
      <c r="S38">
        <f t="shared" si="7"/>
        <v>23.5</v>
      </c>
      <c r="T38">
        <f t="shared" si="8"/>
        <v>17</v>
      </c>
      <c r="U38">
        <f t="shared" si="9"/>
        <v>13.5</v>
      </c>
      <c r="V38">
        <f t="shared" si="10"/>
        <v>29</v>
      </c>
    </row>
    <row r="39" spans="1:22" ht="15.75" x14ac:dyDescent="0.25">
      <c r="A39" s="5">
        <f>Student!A39</f>
        <v>670</v>
      </c>
      <c r="B39" s="21" t="str">
        <f>Student!B39</f>
        <v xml:space="preserve">BOATENG AGNES  </v>
      </c>
      <c r="C39" s="20">
        <f>SUM('Test 1'!B39,'Test 2'!B39,'Project Work'!B39,'Group Work'!B39)</f>
        <v>92</v>
      </c>
      <c r="D39" s="20">
        <f>SUM('Test 1'!C39,'Test 2'!C39,'Project Work'!C39,'Group Work'!C39)</f>
        <v>89</v>
      </c>
      <c r="E39" s="20">
        <f>SUM('Test 1'!D39,'Test 2'!D39,'Project Work'!D39,'Group Work'!D39)</f>
        <v>61</v>
      </c>
      <c r="F39" s="20">
        <f>SUM('Test 1'!E39,'Test 2'!E39,'Project Work'!E39,'Group Work'!E39)</f>
        <v>74</v>
      </c>
      <c r="G39" s="20">
        <f>SUM('Test 1'!F39,'Test 2'!F39,'Project Work'!F39,'Group Work'!F39)</f>
        <v>80</v>
      </c>
      <c r="H39" s="20">
        <f>SUM('Test 1'!G39,'Test 2'!G39,'Project Work'!G39,'Group Work'!G39)</f>
        <v>43</v>
      </c>
      <c r="I39" s="20">
        <f>SUM('Test 1'!H39,'Test 2'!H39,'Project Work'!H39,'Group Work'!H39)</f>
        <v>36</v>
      </c>
      <c r="J39" s="20">
        <f>SUM('Test 1'!I39,'Test 2'!I39,'Project Work'!I39,'Group Work'!I39)</f>
        <v>45</v>
      </c>
      <c r="K39" s="20">
        <f>SUM('Test 1'!J39,'Test 2'!J39,'Project Work'!J39,'Group Work'!J39)</f>
        <v>40</v>
      </c>
      <c r="L39" s="20">
        <f>SUM('Test 1'!K39,'Test 2'!K39,'Project Work'!K39,'Group Work'!K39)</f>
        <v>79</v>
      </c>
      <c r="M39">
        <f t="shared" si="1"/>
        <v>46</v>
      </c>
      <c r="N39">
        <f t="shared" si="2"/>
        <v>44.5</v>
      </c>
      <c r="O39">
        <f t="shared" si="3"/>
        <v>30.5</v>
      </c>
      <c r="P39">
        <f t="shared" si="4"/>
        <v>37</v>
      </c>
      <c r="Q39">
        <f t="shared" si="5"/>
        <v>40</v>
      </c>
      <c r="R39">
        <f t="shared" si="6"/>
        <v>21.5</v>
      </c>
      <c r="S39">
        <f t="shared" si="7"/>
        <v>18</v>
      </c>
      <c r="T39">
        <f t="shared" si="8"/>
        <v>22.5</v>
      </c>
      <c r="U39">
        <f t="shared" si="9"/>
        <v>20</v>
      </c>
      <c r="V39">
        <f t="shared" si="10"/>
        <v>39.5</v>
      </c>
    </row>
    <row r="40" spans="1:22" ht="15.75" x14ac:dyDescent="0.25">
      <c r="A40" s="5">
        <f>Student!A40</f>
        <v>269</v>
      </c>
      <c r="B40" s="21" t="str">
        <f>Student!B40</f>
        <v xml:space="preserve">BONNEY CHARITY  </v>
      </c>
      <c r="C40" s="20">
        <f>SUM('Test 1'!B40,'Test 2'!B40,'Project Work'!B40,'Group Work'!B40)</f>
        <v>0</v>
      </c>
      <c r="D40" s="20">
        <f>SUM('Test 1'!C40,'Test 2'!C40,'Project Work'!C40,'Group Work'!C40)</f>
        <v>0</v>
      </c>
      <c r="E40" s="20">
        <f>SUM('Test 1'!D40,'Test 2'!D40,'Project Work'!D40,'Group Work'!D40)</f>
        <v>0</v>
      </c>
      <c r="F40" s="20">
        <f>SUM('Test 1'!E40,'Test 2'!E40,'Project Work'!E40,'Group Work'!E40)</f>
        <v>0</v>
      </c>
      <c r="G40" s="20">
        <f>SUM('Test 1'!F40,'Test 2'!F40,'Project Work'!F40,'Group Work'!F40)</f>
        <v>0</v>
      </c>
      <c r="H40" s="20">
        <f>SUM('Test 1'!G40,'Test 2'!G40,'Project Work'!G40,'Group Work'!G40)</f>
        <v>0</v>
      </c>
      <c r="I40" s="20">
        <f>SUM('Test 1'!H40,'Test 2'!H40,'Project Work'!H40,'Group Work'!H40)</f>
        <v>0</v>
      </c>
      <c r="J40" s="20">
        <f>SUM('Test 1'!I40,'Test 2'!I40,'Project Work'!I40,'Group Work'!I40)</f>
        <v>0</v>
      </c>
      <c r="K40" s="20">
        <f>SUM('Test 1'!J40,'Test 2'!J40,'Project Work'!J40,'Group Work'!J40)</f>
        <v>0</v>
      </c>
      <c r="L40" s="20">
        <f>SUM('Test 1'!K40,'Test 2'!K40,'Project Work'!K40,'Group Work'!K40)</f>
        <v>20</v>
      </c>
      <c r="M40">
        <f t="shared" si="1"/>
        <v>0</v>
      </c>
      <c r="N40">
        <f t="shared" si="2"/>
        <v>0</v>
      </c>
      <c r="O40">
        <f t="shared" si="3"/>
        <v>0</v>
      </c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  <c r="T40">
        <f t="shared" si="8"/>
        <v>0</v>
      </c>
      <c r="U40">
        <f t="shared" si="9"/>
        <v>0</v>
      </c>
      <c r="V40">
        <f t="shared" si="10"/>
        <v>10</v>
      </c>
    </row>
    <row r="41" spans="1:22" ht="15.75" x14ac:dyDescent="0.25">
      <c r="A41" s="5">
        <f>Student!A41</f>
        <v>514</v>
      </c>
      <c r="B41" s="21" t="str">
        <f>Student!B41</f>
        <v xml:space="preserve">DIXON HARRIET  </v>
      </c>
      <c r="C41" s="20">
        <f>SUM('Test 1'!B42,'Test 2'!B42,'Project Work'!B42,'Group Work'!B42)</f>
        <v>86</v>
      </c>
      <c r="D41" s="20">
        <f>SUM('Test 1'!C42,'Test 2'!C42,'Project Work'!C42,'Group Work'!C42)</f>
        <v>84</v>
      </c>
      <c r="E41" s="20">
        <f>SUM('Test 1'!D42,'Test 2'!D42,'Project Work'!D42,'Group Work'!D42)</f>
        <v>63</v>
      </c>
      <c r="F41" s="20">
        <f>SUM('Test 1'!E42,'Test 2'!E42,'Project Work'!E42,'Group Work'!E42)</f>
        <v>78</v>
      </c>
      <c r="G41" s="20">
        <f>SUM('Test 1'!F42,'Test 2'!F42,'Project Work'!F42,'Group Work'!F42)</f>
        <v>80</v>
      </c>
      <c r="H41" s="20">
        <f>SUM('Test 1'!G42,'Test 2'!G42,'Project Work'!G42,'Group Work'!G42)</f>
        <v>44</v>
      </c>
      <c r="I41" s="20">
        <f>SUM('Test 1'!H42,'Test 2'!H42,'Project Work'!H42,'Group Work'!H42)</f>
        <v>25</v>
      </c>
      <c r="J41" s="20">
        <f>SUM('Test 1'!I42,'Test 2'!I42,'Project Work'!I42,'Group Work'!I42)</f>
        <v>72</v>
      </c>
      <c r="K41" s="20">
        <f>SUM('Test 1'!J42,'Test 2'!J42,'Project Work'!J42,'Group Work'!J42)</f>
        <v>52</v>
      </c>
      <c r="L41" s="20">
        <f>SUM('Test 1'!K42,'Test 2'!K42,'Project Work'!K42,'Group Work'!K42)</f>
        <v>94</v>
      </c>
      <c r="M41">
        <f t="shared" si="1"/>
        <v>43</v>
      </c>
      <c r="N41">
        <f t="shared" si="2"/>
        <v>42</v>
      </c>
      <c r="O41">
        <f t="shared" si="3"/>
        <v>31.5</v>
      </c>
      <c r="P41">
        <f t="shared" si="4"/>
        <v>39</v>
      </c>
      <c r="Q41">
        <f t="shared" si="5"/>
        <v>40</v>
      </c>
      <c r="R41">
        <f t="shared" si="6"/>
        <v>22</v>
      </c>
      <c r="S41">
        <f t="shared" si="7"/>
        <v>12.5</v>
      </c>
      <c r="T41">
        <f t="shared" si="8"/>
        <v>36</v>
      </c>
      <c r="U41">
        <f t="shared" si="9"/>
        <v>26</v>
      </c>
      <c r="V41">
        <f t="shared" si="10"/>
        <v>47</v>
      </c>
    </row>
    <row r="42" spans="1:22" ht="15.75" x14ac:dyDescent="0.25">
      <c r="A42" s="5">
        <f>Student!A42</f>
        <v>270</v>
      </c>
      <c r="B42" s="21" t="str">
        <f>Student!B42</f>
        <v xml:space="preserve">DJABA BELINDA  </v>
      </c>
      <c r="C42" s="20">
        <f>SUM('Test 1'!B43,'Test 2'!B43,'Project Work'!B43,'Group Work'!B43)</f>
        <v>84</v>
      </c>
      <c r="D42" s="20">
        <f>SUM('Test 1'!C43,'Test 2'!C43,'Project Work'!C43,'Group Work'!C43)</f>
        <v>78</v>
      </c>
      <c r="E42" s="20">
        <f>SUM('Test 1'!D43,'Test 2'!D43,'Project Work'!D43,'Group Work'!D43)</f>
        <v>65</v>
      </c>
      <c r="F42" s="20">
        <f>SUM('Test 1'!E43,'Test 2'!E43,'Project Work'!E43,'Group Work'!E43)</f>
        <v>45</v>
      </c>
      <c r="G42" s="20">
        <f>SUM('Test 1'!F43,'Test 2'!F43,'Project Work'!F43,'Group Work'!F43)</f>
        <v>69</v>
      </c>
      <c r="H42" s="20">
        <f>SUM('Test 1'!G43,'Test 2'!G43,'Project Work'!G43,'Group Work'!G43)</f>
        <v>39</v>
      </c>
      <c r="I42" s="20">
        <f>SUM('Test 1'!H43,'Test 2'!H43,'Project Work'!H43,'Group Work'!H43)</f>
        <v>25</v>
      </c>
      <c r="J42" s="20">
        <f>SUM('Test 1'!I43,'Test 2'!I43,'Project Work'!I43,'Group Work'!I43)</f>
        <v>53</v>
      </c>
      <c r="K42" s="20">
        <f>SUM('Test 1'!J43,'Test 2'!J43,'Project Work'!J43,'Group Work'!J43)</f>
        <v>34</v>
      </c>
      <c r="L42" s="20">
        <f>SUM('Test 1'!K43,'Test 2'!K43,'Project Work'!K43,'Group Work'!K43)</f>
        <v>61</v>
      </c>
      <c r="M42">
        <f t="shared" si="1"/>
        <v>42</v>
      </c>
      <c r="N42">
        <f t="shared" si="2"/>
        <v>39</v>
      </c>
      <c r="O42">
        <f t="shared" si="3"/>
        <v>32.5</v>
      </c>
      <c r="P42">
        <f t="shared" si="4"/>
        <v>22.5</v>
      </c>
      <c r="Q42">
        <f t="shared" si="5"/>
        <v>34.5</v>
      </c>
      <c r="R42">
        <f t="shared" si="6"/>
        <v>19.5</v>
      </c>
      <c r="S42">
        <f t="shared" si="7"/>
        <v>12.5</v>
      </c>
      <c r="T42">
        <f t="shared" si="8"/>
        <v>26.5</v>
      </c>
      <c r="U42">
        <f t="shared" si="9"/>
        <v>17</v>
      </c>
      <c r="V42">
        <f t="shared" si="10"/>
        <v>30.5</v>
      </c>
    </row>
    <row r="43" spans="1:22" ht="15.75" x14ac:dyDescent="0.25">
      <c r="A43" s="5">
        <f>Student!A43</f>
        <v>318</v>
      </c>
      <c r="B43" s="21" t="str">
        <f>Student!B43</f>
        <v xml:space="preserve">ESSEL EMMANUELLA  </v>
      </c>
      <c r="C43" s="20">
        <f>SUM('Test 1'!B44,'Test 2'!B44,'Project Work'!B44,'Group Work'!B44)</f>
        <v>82</v>
      </c>
      <c r="D43" s="20">
        <f>SUM('Test 1'!C44,'Test 2'!C44,'Project Work'!C44,'Group Work'!C44)</f>
        <v>74</v>
      </c>
      <c r="E43" s="20">
        <f>SUM('Test 1'!D44,'Test 2'!D44,'Project Work'!D44,'Group Work'!D44)</f>
        <v>43</v>
      </c>
      <c r="F43" s="20">
        <f>SUM('Test 1'!E44,'Test 2'!E44,'Project Work'!E44,'Group Work'!E44)</f>
        <v>75</v>
      </c>
      <c r="G43" s="20">
        <f>SUM('Test 1'!F44,'Test 2'!F44,'Project Work'!F44,'Group Work'!F44)</f>
        <v>69</v>
      </c>
      <c r="H43" s="20">
        <f>SUM('Test 1'!G44,'Test 2'!G44,'Project Work'!G44,'Group Work'!G44)</f>
        <v>39</v>
      </c>
      <c r="I43" s="20">
        <f>SUM('Test 1'!H44,'Test 2'!H44,'Project Work'!H44,'Group Work'!H44)</f>
        <v>34</v>
      </c>
      <c r="J43" s="20">
        <f>SUM('Test 1'!I44,'Test 2'!I44,'Project Work'!I44,'Group Work'!I44)</f>
        <v>38</v>
      </c>
      <c r="K43" s="20">
        <f>SUM('Test 1'!J44,'Test 2'!J44,'Project Work'!J44,'Group Work'!J44)</f>
        <v>55</v>
      </c>
      <c r="L43" s="20">
        <f>SUM('Test 1'!K44,'Test 2'!K44,'Project Work'!K44,'Group Work'!K44)</f>
        <v>85</v>
      </c>
      <c r="M43">
        <f t="shared" si="1"/>
        <v>41</v>
      </c>
      <c r="N43">
        <f t="shared" si="2"/>
        <v>37</v>
      </c>
      <c r="O43">
        <f t="shared" si="3"/>
        <v>21.5</v>
      </c>
      <c r="P43">
        <f t="shared" si="4"/>
        <v>37.5</v>
      </c>
      <c r="Q43">
        <f t="shared" si="5"/>
        <v>34.5</v>
      </c>
      <c r="R43">
        <f t="shared" si="6"/>
        <v>19.5</v>
      </c>
      <c r="S43">
        <f t="shared" si="7"/>
        <v>17</v>
      </c>
      <c r="T43">
        <f t="shared" si="8"/>
        <v>19</v>
      </c>
      <c r="U43">
        <f t="shared" si="9"/>
        <v>27.5</v>
      </c>
      <c r="V43">
        <f t="shared" si="10"/>
        <v>42.5</v>
      </c>
    </row>
    <row r="44" spans="1:22" ht="15.75" x14ac:dyDescent="0.25">
      <c r="A44" s="5">
        <f>Student!A44</f>
        <v>4063</v>
      </c>
      <c r="B44" s="21" t="str">
        <f>Student!B44</f>
        <v xml:space="preserve">GAMAH ANGELA  </v>
      </c>
      <c r="C44" s="20">
        <f>SUM('Test 1'!B45,'Test 2'!B45,'Project Work'!B45,'Group Work'!B45)</f>
        <v>84</v>
      </c>
      <c r="D44" s="20">
        <f>SUM('Test 1'!C45,'Test 2'!C45,'Project Work'!C45,'Group Work'!C45)</f>
        <v>78</v>
      </c>
      <c r="E44" s="20">
        <f>SUM('Test 1'!D45,'Test 2'!D45,'Project Work'!D45,'Group Work'!D45)</f>
        <v>58</v>
      </c>
      <c r="F44" s="20">
        <f>SUM('Test 1'!E45,'Test 2'!E45,'Project Work'!E45,'Group Work'!E45)</f>
        <v>90</v>
      </c>
      <c r="G44" s="20">
        <f>SUM('Test 1'!F45,'Test 2'!F45,'Project Work'!F45,'Group Work'!F45)</f>
        <v>88</v>
      </c>
      <c r="H44" s="20">
        <f>SUM('Test 1'!G45,'Test 2'!G45,'Project Work'!G45,'Group Work'!G45)</f>
        <v>41</v>
      </c>
      <c r="I44" s="20">
        <f>SUM('Test 1'!H45,'Test 2'!H45,'Project Work'!H45,'Group Work'!H45)</f>
        <v>52</v>
      </c>
      <c r="J44" s="20">
        <f>SUM('Test 1'!I45,'Test 2'!I45,'Project Work'!I45,'Group Work'!I45)</f>
        <v>60</v>
      </c>
      <c r="K44" s="20">
        <f>SUM('Test 1'!J45,'Test 2'!J45,'Project Work'!J45,'Group Work'!J45)</f>
        <v>76</v>
      </c>
      <c r="L44" s="20">
        <f>SUM('Test 1'!K45,'Test 2'!K45,'Project Work'!K45,'Group Work'!K45)</f>
        <v>100</v>
      </c>
      <c r="M44">
        <f t="shared" si="1"/>
        <v>42</v>
      </c>
      <c r="N44">
        <f t="shared" si="2"/>
        <v>39</v>
      </c>
      <c r="O44">
        <f t="shared" si="3"/>
        <v>29</v>
      </c>
      <c r="P44">
        <f t="shared" si="4"/>
        <v>45</v>
      </c>
      <c r="Q44">
        <f t="shared" si="5"/>
        <v>44</v>
      </c>
      <c r="R44">
        <f t="shared" si="6"/>
        <v>20.5</v>
      </c>
      <c r="S44">
        <f t="shared" si="7"/>
        <v>26</v>
      </c>
      <c r="T44">
        <f t="shared" si="8"/>
        <v>30</v>
      </c>
      <c r="U44">
        <f t="shared" si="9"/>
        <v>38</v>
      </c>
      <c r="V44">
        <f t="shared" si="10"/>
        <v>50</v>
      </c>
    </row>
    <row r="45" spans="1:22" ht="15.75" x14ac:dyDescent="0.25">
      <c r="A45" s="5">
        <f>Student!A45</f>
        <v>160</v>
      </c>
      <c r="B45" s="21" t="str">
        <f>Student!B45</f>
        <v xml:space="preserve">GAMOR ESTHER  </v>
      </c>
      <c r="C45" s="20">
        <f>SUM('Test 1'!B46,'Test 2'!B46,'Project Work'!B46,'Group Work'!B46)</f>
        <v>90</v>
      </c>
      <c r="D45" s="20">
        <f>SUM('Test 1'!C46,'Test 2'!C46,'Project Work'!C46,'Group Work'!C46)</f>
        <v>91</v>
      </c>
      <c r="E45" s="20">
        <f>SUM('Test 1'!D46,'Test 2'!D46,'Project Work'!D46,'Group Work'!D46)</f>
        <v>43</v>
      </c>
      <c r="F45" s="20">
        <f>SUM('Test 1'!E46,'Test 2'!E46,'Project Work'!E46,'Group Work'!E46)</f>
        <v>54</v>
      </c>
      <c r="G45" s="20">
        <f>SUM('Test 1'!F46,'Test 2'!F46,'Project Work'!F46,'Group Work'!F46)</f>
        <v>68</v>
      </c>
      <c r="H45" s="20">
        <f>SUM('Test 1'!G46,'Test 2'!G46,'Project Work'!G46,'Group Work'!G46)</f>
        <v>44</v>
      </c>
      <c r="I45" s="20">
        <f>SUM('Test 1'!H46,'Test 2'!H46,'Project Work'!H46,'Group Work'!H46)</f>
        <v>30</v>
      </c>
      <c r="J45" s="20">
        <f>SUM('Test 1'!I46,'Test 2'!I46,'Project Work'!I46,'Group Work'!I46)</f>
        <v>71</v>
      </c>
      <c r="K45" s="20">
        <f>SUM('Test 1'!J46,'Test 2'!J46,'Project Work'!J46,'Group Work'!J46)</f>
        <v>71</v>
      </c>
      <c r="L45" s="20">
        <f>SUM('Test 1'!K46,'Test 2'!K46,'Project Work'!K46,'Group Work'!K46)</f>
        <v>64</v>
      </c>
      <c r="M45">
        <f t="shared" si="1"/>
        <v>45</v>
      </c>
      <c r="N45">
        <f t="shared" si="2"/>
        <v>45.5</v>
      </c>
      <c r="O45">
        <f t="shared" si="3"/>
        <v>21.5</v>
      </c>
      <c r="P45">
        <f t="shared" si="4"/>
        <v>27</v>
      </c>
      <c r="Q45">
        <f t="shared" si="5"/>
        <v>34</v>
      </c>
      <c r="R45">
        <f t="shared" si="6"/>
        <v>22</v>
      </c>
      <c r="S45">
        <f t="shared" si="7"/>
        <v>15</v>
      </c>
      <c r="T45">
        <f t="shared" si="8"/>
        <v>35.5</v>
      </c>
      <c r="U45">
        <f t="shared" si="9"/>
        <v>35.5</v>
      </c>
      <c r="V45">
        <f t="shared" si="10"/>
        <v>32</v>
      </c>
    </row>
    <row r="46" spans="1:22" ht="15.75" x14ac:dyDescent="0.25">
      <c r="A46" s="5">
        <f>Student!A46</f>
        <v>7315</v>
      </c>
      <c r="B46" s="21" t="str">
        <f>Student!B46</f>
        <v xml:space="preserve">GYEMENA SERWAH  </v>
      </c>
      <c r="C46" s="20">
        <f>SUM('Test 1'!B47,'Test 2'!B47,'Project Work'!B47,'Group Work'!B47)</f>
        <v>90</v>
      </c>
      <c r="D46" s="20">
        <f>SUM('Test 1'!C47,'Test 2'!C47,'Project Work'!C47,'Group Work'!C47)</f>
        <v>89</v>
      </c>
      <c r="E46" s="20">
        <f>SUM('Test 1'!D47,'Test 2'!D47,'Project Work'!D47,'Group Work'!D47)</f>
        <v>67</v>
      </c>
      <c r="F46" s="20">
        <f>SUM('Test 1'!E47,'Test 2'!E47,'Project Work'!E47,'Group Work'!E47)</f>
        <v>64</v>
      </c>
      <c r="G46" s="20">
        <f>SUM('Test 1'!F47,'Test 2'!F47,'Project Work'!F47,'Group Work'!F47)</f>
        <v>77</v>
      </c>
      <c r="H46" s="20">
        <f>SUM('Test 1'!G47,'Test 2'!G47,'Project Work'!G47,'Group Work'!G47)</f>
        <v>36</v>
      </c>
      <c r="I46" s="20">
        <f>SUM('Test 1'!H47,'Test 2'!H47,'Project Work'!H47,'Group Work'!H47)</f>
        <v>54</v>
      </c>
      <c r="J46" s="20">
        <f>SUM('Test 1'!I47,'Test 2'!I47,'Project Work'!I47,'Group Work'!I47)</f>
        <v>48</v>
      </c>
      <c r="K46" s="20">
        <f>SUM('Test 1'!J47,'Test 2'!J47,'Project Work'!J47,'Group Work'!J47)</f>
        <v>53</v>
      </c>
      <c r="L46" s="20">
        <f>SUM('Test 1'!K47,'Test 2'!K47,'Project Work'!K47,'Group Work'!K47)</f>
        <v>75</v>
      </c>
      <c r="M46">
        <f t="shared" si="1"/>
        <v>45</v>
      </c>
      <c r="N46">
        <f t="shared" si="2"/>
        <v>44.5</v>
      </c>
      <c r="O46">
        <f t="shared" si="3"/>
        <v>33.5</v>
      </c>
      <c r="P46">
        <f t="shared" si="4"/>
        <v>32</v>
      </c>
      <c r="Q46">
        <f t="shared" si="5"/>
        <v>38.5</v>
      </c>
      <c r="R46">
        <f t="shared" si="6"/>
        <v>18</v>
      </c>
      <c r="S46">
        <f t="shared" si="7"/>
        <v>27</v>
      </c>
      <c r="T46">
        <f t="shared" si="8"/>
        <v>24</v>
      </c>
      <c r="U46">
        <f t="shared" si="9"/>
        <v>26.5</v>
      </c>
      <c r="V46">
        <f t="shared" si="10"/>
        <v>37.5</v>
      </c>
    </row>
    <row r="47" spans="1:22" ht="15.75" x14ac:dyDescent="0.25">
      <c r="A47" s="5">
        <f>Student!A47</f>
        <v>385</v>
      </c>
      <c r="B47" s="21" t="str">
        <f>Student!B47</f>
        <v xml:space="preserve">HABLEAME SHILLA  </v>
      </c>
      <c r="C47" s="20">
        <f>SUM('Test 1'!B48,'Test 2'!B48,'Project Work'!B48,'Group Work'!B48)</f>
        <v>82</v>
      </c>
      <c r="D47" s="20">
        <f>SUM('Test 1'!C48,'Test 2'!C48,'Project Work'!C48,'Group Work'!C48)</f>
        <v>78</v>
      </c>
      <c r="E47" s="20">
        <f>SUM('Test 1'!D48,'Test 2'!D48,'Project Work'!D48,'Group Work'!D48)</f>
        <v>69</v>
      </c>
      <c r="F47" s="20">
        <f>SUM('Test 1'!E48,'Test 2'!E48,'Project Work'!E48,'Group Work'!E48)</f>
        <v>48</v>
      </c>
      <c r="G47" s="20">
        <f>SUM('Test 1'!F48,'Test 2'!F48,'Project Work'!F48,'Group Work'!F48)</f>
        <v>64</v>
      </c>
      <c r="H47" s="20">
        <f>SUM('Test 1'!G48,'Test 2'!G48,'Project Work'!G48,'Group Work'!G48)</f>
        <v>65</v>
      </c>
      <c r="I47" s="20">
        <f>SUM('Test 1'!H48,'Test 2'!H48,'Project Work'!H48,'Group Work'!H48)</f>
        <v>44</v>
      </c>
      <c r="J47" s="20">
        <f>SUM('Test 1'!I48,'Test 2'!I48,'Project Work'!I48,'Group Work'!I48)</f>
        <v>51</v>
      </c>
      <c r="K47" s="20">
        <f>SUM('Test 1'!J48,'Test 2'!J48,'Project Work'!J48,'Group Work'!J48)</f>
        <v>51</v>
      </c>
      <c r="L47" s="20">
        <f>SUM('Test 1'!K48,'Test 2'!K48,'Project Work'!K48,'Group Work'!K48)</f>
        <v>58</v>
      </c>
      <c r="M47">
        <f t="shared" si="1"/>
        <v>41</v>
      </c>
      <c r="N47">
        <f t="shared" si="2"/>
        <v>39</v>
      </c>
      <c r="O47">
        <f t="shared" si="3"/>
        <v>34.5</v>
      </c>
      <c r="P47">
        <f t="shared" si="4"/>
        <v>24</v>
      </c>
      <c r="Q47">
        <f t="shared" si="5"/>
        <v>32</v>
      </c>
      <c r="R47">
        <f t="shared" si="6"/>
        <v>32.5</v>
      </c>
      <c r="S47">
        <f t="shared" si="7"/>
        <v>22</v>
      </c>
      <c r="T47">
        <f t="shared" si="8"/>
        <v>25.5</v>
      </c>
      <c r="U47">
        <f t="shared" si="9"/>
        <v>25.5</v>
      </c>
      <c r="V47">
        <f t="shared" si="10"/>
        <v>29</v>
      </c>
    </row>
    <row r="48" spans="1:22" ht="15.75" x14ac:dyDescent="0.25">
      <c r="A48" s="5" t="str">
        <f>Student!A48</f>
        <v>A244</v>
      </c>
      <c r="B48" s="21" t="str">
        <f>Student!B48</f>
        <v xml:space="preserve">MENSAH FLORENCE  </v>
      </c>
      <c r="C48" s="20">
        <f>SUM('Test 1'!B49,'Test 2'!B49,'Project Work'!B49,'Group Work'!B49)</f>
        <v>78</v>
      </c>
      <c r="D48" s="20">
        <f>SUM('Test 1'!C49,'Test 2'!C49,'Project Work'!C49,'Group Work'!C49)</f>
        <v>69</v>
      </c>
      <c r="E48" s="20">
        <f>SUM('Test 1'!D49,'Test 2'!D49,'Project Work'!D49,'Group Work'!D49)</f>
        <v>74</v>
      </c>
      <c r="F48" s="20">
        <f>SUM('Test 1'!E49,'Test 2'!E49,'Project Work'!E49,'Group Work'!E49)</f>
        <v>72</v>
      </c>
      <c r="G48" s="20">
        <f>SUM('Test 1'!F49,'Test 2'!F49,'Project Work'!F49,'Group Work'!F49)</f>
        <v>81</v>
      </c>
      <c r="H48" s="20">
        <f>SUM('Test 1'!G49,'Test 2'!G49,'Project Work'!G49,'Group Work'!G49)</f>
        <v>36</v>
      </c>
      <c r="I48" s="20">
        <f>SUM('Test 1'!H49,'Test 2'!H49,'Project Work'!H49,'Group Work'!H49)</f>
        <v>32</v>
      </c>
      <c r="J48" s="20">
        <f>SUM('Test 1'!I49,'Test 2'!I49,'Project Work'!I49,'Group Work'!I49)</f>
        <v>51</v>
      </c>
      <c r="K48" s="20">
        <f>SUM('Test 1'!J49,'Test 2'!J49,'Project Work'!J49,'Group Work'!J49)</f>
        <v>63</v>
      </c>
      <c r="L48" s="20">
        <f>SUM('Test 1'!K49,'Test 2'!K49,'Project Work'!K49,'Group Work'!K49)</f>
        <v>93</v>
      </c>
      <c r="M48">
        <f t="shared" si="1"/>
        <v>39</v>
      </c>
      <c r="N48">
        <f t="shared" si="2"/>
        <v>34.5</v>
      </c>
      <c r="O48">
        <f t="shared" si="3"/>
        <v>37</v>
      </c>
      <c r="P48">
        <f t="shared" si="4"/>
        <v>36</v>
      </c>
      <c r="Q48">
        <f t="shared" si="5"/>
        <v>40.5</v>
      </c>
      <c r="R48">
        <f t="shared" si="6"/>
        <v>18</v>
      </c>
      <c r="S48">
        <f t="shared" si="7"/>
        <v>16</v>
      </c>
      <c r="T48">
        <f t="shared" si="8"/>
        <v>25.5</v>
      </c>
      <c r="U48">
        <f t="shared" si="9"/>
        <v>31.5</v>
      </c>
      <c r="V48">
        <f t="shared" si="10"/>
        <v>46.5</v>
      </c>
    </row>
    <row r="49" spans="1:22" ht="15.75" x14ac:dyDescent="0.25">
      <c r="A49" s="5">
        <f>Student!A49</f>
        <v>508</v>
      </c>
      <c r="B49" s="21" t="str">
        <f>Student!B49</f>
        <v xml:space="preserve">MENSAH VANESSA  </v>
      </c>
      <c r="C49" s="20">
        <f>SUM('Test 1'!B50,'Test 2'!B50,'Project Work'!B50,'Group Work'!B50)</f>
        <v>0</v>
      </c>
      <c r="D49" s="20">
        <f>SUM('Test 1'!C50,'Test 2'!C50,'Project Work'!C50,'Group Work'!C50)</f>
        <v>0</v>
      </c>
      <c r="E49" s="20">
        <f>SUM('Test 1'!D50,'Test 2'!D50,'Project Work'!D50,'Group Work'!D50)</f>
        <v>0</v>
      </c>
      <c r="F49" s="20">
        <f>SUM('Test 1'!E50,'Test 2'!E50,'Project Work'!E50,'Group Work'!E50)</f>
        <v>0</v>
      </c>
      <c r="G49" s="20">
        <f>SUM('Test 1'!F50,'Test 2'!F50,'Project Work'!F50,'Group Work'!F50)</f>
        <v>0</v>
      </c>
      <c r="H49" s="20">
        <f>SUM('Test 1'!G50,'Test 2'!G50,'Project Work'!G50,'Group Work'!G50)</f>
        <v>0</v>
      </c>
      <c r="I49" s="20">
        <f>SUM('Test 1'!H50,'Test 2'!H50,'Project Work'!H50,'Group Work'!H50)</f>
        <v>0</v>
      </c>
      <c r="J49" s="20">
        <f>SUM('Test 1'!I50,'Test 2'!I50,'Project Work'!I50,'Group Work'!I50)</f>
        <v>0</v>
      </c>
      <c r="K49" s="20">
        <f>SUM('Test 1'!J50,'Test 2'!J50,'Project Work'!J50,'Group Work'!J50)</f>
        <v>0</v>
      </c>
      <c r="L49" s="20">
        <f>SUM('Test 1'!K50,'Test 2'!K50,'Project Work'!K50,'Group Work'!K50)</f>
        <v>0</v>
      </c>
      <c r="M49">
        <f t="shared" si="1"/>
        <v>0</v>
      </c>
      <c r="N49">
        <f t="shared" si="2"/>
        <v>0</v>
      </c>
      <c r="O49">
        <f t="shared" si="3"/>
        <v>0</v>
      </c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  <c r="T49">
        <f t="shared" si="8"/>
        <v>0</v>
      </c>
      <c r="U49">
        <f t="shared" si="9"/>
        <v>0</v>
      </c>
      <c r="V49">
        <f t="shared" si="10"/>
        <v>0</v>
      </c>
    </row>
    <row r="50" spans="1:22" ht="15.75" x14ac:dyDescent="0.25">
      <c r="A50" s="5">
        <f>Student!A50</f>
        <v>433</v>
      </c>
      <c r="B50" s="21" t="str">
        <f>Student!B50</f>
        <v xml:space="preserve">NKETIA POKUAA CECELIA  </v>
      </c>
      <c r="C50" s="20">
        <f>SUM('Test 1'!B51,'Test 2'!B51,'Project Work'!B51,'Group Work'!B51)</f>
        <v>88</v>
      </c>
      <c r="D50" s="20">
        <f>SUM('Test 1'!C51,'Test 2'!C51,'Project Work'!C51,'Group Work'!C51)</f>
        <v>91</v>
      </c>
      <c r="E50" s="20">
        <f>SUM('Test 1'!D51,'Test 2'!D51,'Project Work'!D51,'Group Work'!D51)</f>
        <v>58</v>
      </c>
      <c r="F50" s="20">
        <f>SUM('Test 1'!E51,'Test 2'!E51,'Project Work'!E51,'Group Work'!E51)</f>
        <v>82</v>
      </c>
      <c r="G50" s="20">
        <f>SUM('Test 1'!F51,'Test 2'!F51,'Project Work'!F51,'Group Work'!F51)</f>
        <v>73</v>
      </c>
      <c r="H50" s="20">
        <f>SUM('Test 1'!G51,'Test 2'!G51,'Project Work'!G51,'Group Work'!G51)</f>
        <v>68</v>
      </c>
      <c r="I50" s="20">
        <f>SUM('Test 1'!H51,'Test 2'!H51,'Project Work'!H51,'Group Work'!H51)</f>
        <v>32</v>
      </c>
      <c r="J50" s="20">
        <f>SUM('Test 1'!I51,'Test 2'!I51,'Project Work'!I51,'Group Work'!I51)</f>
        <v>70</v>
      </c>
      <c r="K50" s="20">
        <f>SUM('Test 1'!J51,'Test 2'!J51,'Project Work'!J51,'Group Work'!J51)</f>
        <v>57</v>
      </c>
      <c r="L50" s="20">
        <f>SUM('Test 1'!K51,'Test 2'!K51,'Project Work'!K51,'Group Work'!K51)</f>
        <v>82</v>
      </c>
      <c r="M50">
        <f t="shared" si="1"/>
        <v>44</v>
      </c>
      <c r="N50">
        <f t="shared" si="2"/>
        <v>45.5</v>
      </c>
      <c r="O50">
        <f t="shared" si="3"/>
        <v>29</v>
      </c>
      <c r="P50">
        <f t="shared" si="4"/>
        <v>41</v>
      </c>
      <c r="Q50">
        <f t="shared" si="5"/>
        <v>36.5</v>
      </c>
      <c r="R50">
        <f t="shared" si="6"/>
        <v>34</v>
      </c>
      <c r="S50">
        <f t="shared" si="7"/>
        <v>16</v>
      </c>
      <c r="T50">
        <f t="shared" si="8"/>
        <v>35</v>
      </c>
      <c r="U50">
        <f t="shared" si="9"/>
        <v>28.5</v>
      </c>
      <c r="V50">
        <f t="shared" si="10"/>
        <v>41</v>
      </c>
    </row>
    <row r="51" spans="1:22" ht="15.75" x14ac:dyDescent="0.25">
      <c r="A51" s="5">
        <f>Student!A51</f>
        <v>593</v>
      </c>
      <c r="B51" s="21" t="str">
        <f>Student!B51</f>
        <v xml:space="preserve">ODOI MARGARET  </v>
      </c>
      <c r="C51" s="20">
        <f>SUM('Test 1'!B52,'Test 2'!B52,'Project Work'!B52,'Group Work'!B52)</f>
        <v>88</v>
      </c>
      <c r="D51" s="20">
        <f>SUM('Test 1'!C52,'Test 2'!C52,'Project Work'!C52,'Group Work'!C52)</f>
        <v>75</v>
      </c>
      <c r="E51" s="20">
        <f>SUM('Test 1'!D52,'Test 2'!D52,'Project Work'!D52,'Group Work'!D52)</f>
        <v>72</v>
      </c>
      <c r="F51" s="20">
        <f>SUM('Test 1'!E52,'Test 2'!E52,'Project Work'!E52,'Group Work'!E52)</f>
        <v>26</v>
      </c>
      <c r="G51" s="20">
        <f>SUM('Test 1'!F52,'Test 2'!F52,'Project Work'!F52,'Group Work'!F52)</f>
        <v>40</v>
      </c>
      <c r="H51" s="20">
        <f>SUM('Test 1'!G52,'Test 2'!G52,'Project Work'!G52,'Group Work'!G52)</f>
        <v>42</v>
      </c>
      <c r="I51" s="20">
        <f>SUM('Test 1'!H52,'Test 2'!H52,'Project Work'!H52,'Group Work'!H52)</f>
        <v>47</v>
      </c>
      <c r="J51" s="20">
        <f>SUM('Test 1'!I52,'Test 2'!I52,'Project Work'!I52,'Group Work'!I52)</f>
        <v>25</v>
      </c>
      <c r="K51" s="20">
        <f>SUM('Test 1'!J52,'Test 2'!J52,'Project Work'!J52,'Group Work'!J52)</f>
        <v>25</v>
      </c>
      <c r="L51" s="20">
        <f>SUM('Test 1'!K52,'Test 2'!K52,'Project Work'!K52,'Group Work'!K52)</f>
        <v>60</v>
      </c>
      <c r="M51">
        <f t="shared" si="1"/>
        <v>44</v>
      </c>
      <c r="N51">
        <f t="shared" si="2"/>
        <v>37.5</v>
      </c>
      <c r="O51">
        <f t="shared" si="3"/>
        <v>36</v>
      </c>
      <c r="P51">
        <f t="shared" si="4"/>
        <v>13</v>
      </c>
      <c r="Q51">
        <f t="shared" si="5"/>
        <v>20</v>
      </c>
      <c r="R51">
        <f t="shared" si="6"/>
        <v>21</v>
      </c>
      <c r="S51">
        <f t="shared" si="7"/>
        <v>23.5</v>
      </c>
      <c r="T51">
        <f t="shared" si="8"/>
        <v>12.5</v>
      </c>
      <c r="U51">
        <f t="shared" si="9"/>
        <v>12.5</v>
      </c>
      <c r="V51">
        <f t="shared" si="10"/>
        <v>30</v>
      </c>
    </row>
    <row r="52" spans="1:22" ht="15.75" x14ac:dyDescent="0.25">
      <c r="A52" s="5">
        <f>Student!A52</f>
        <v>388</v>
      </c>
      <c r="B52" s="21" t="str">
        <f>Student!B52</f>
        <v xml:space="preserve">OKYERE PRISCILLA  </v>
      </c>
      <c r="C52" s="20">
        <f>SUM('Test 1'!B53,'Test 2'!B53,'Project Work'!B53,'Group Work'!B53)</f>
        <v>88</v>
      </c>
      <c r="D52" s="20">
        <f>SUM('Test 1'!C53,'Test 2'!C53,'Project Work'!C53,'Group Work'!C53)</f>
        <v>83</v>
      </c>
      <c r="E52" s="20">
        <f>SUM('Test 1'!D53,'Test 2'!D53,'Project Work'!D53,'Group Work'!D53)</f>
        <v>70</v>
      </c>
      <c r="F52" s="20">
        <f>SUM('Test 1'!E53,'Test 2'!E53,'Project Work'!E53,'Group Work'!E53)</f>
        <v>84</v>
      </c>
      <c r="G52" s="20">
        <f>SUM('Test 1'!F53,'Test 2'!F53,'Project Work'!F53,'Group Work'!F53)</f>
        <v>87</v>
      </c>
      <c r="H52" s="20">
        <f>SUM('Test 1'!G53,'Test 2'!G53,'Project Work'!G53,'Group Work'!G53)</f>
        <v>73</v>
      </c>
      <c r="I52" s="20">
        <f>SUM('Test 1'!H53,'Test 2'!H53,'Project Work'!H53,'Group Work'!H53)</f>
        <v>62</v>
      </c>
      <c r="J52" s="20">
        <f>SUM('Test 1'!I53,'Test 2'!I53,'Project Work'!I53,'Group Work'!I53)</f>
        <v>71</v>
      </c>
      <c r="K52" s="20">
        <f>SUM('Test 1'!J53,'Test 2'!J53,'Project Work'!J53,'Group Work'!J53)</f>
        <v>69</v>
      </c>
      <c r="L52" s="20">
        <f>SUM('Test 1'!K53,'Test 2'!K53,'Project Work'!K53,'Group Work'!K53)</f>
        <v>72</v>
      </c>
      <c r="M52">
        <f t="shared" si="1"/>
        <v>44</v>
      </c>
      <c r="N52">
        <f t="shared" si="2"/>
        <v>41.5</v>
      </c>
      <c r="O52">
        <f t="shared" si="3"/>
        <v>35</v>
      </c>
      <c r="P52">
        <f t="shared" si="4"/>
        <v>42</v>
      </c>
      <c r="Q52">
        <f t="shared" si="5"/>
        <v>43.5</v>
      </c>
      <c r="R52">
        <f t="shared" si="6"/>
        <v>36.5</v>
      </c>
      <c r="S52">
        <f t="shared" si="7"/>
        <v>31</v>
      </c>
      <c r="T52">
        <f t="shared" si="8"/>
        <v>35.5</v>
      </c>
      <c r="U52">
        <f t="shared" si="9"/>
        <v>34.5</v>
      </c>
      <c r="V52">
        <f t="shared" si="10"/>
        <v>36</v>
      </c>
    </row>
    <row r="53" spans="1:22" ht="15.75" x14ac:dyDescent="0.25">
      <c r="A53" s="5">
        <f>Student!A53</f>
        <v>437</v>
      </c>
      <c r="B53" s="21" t="str">
        <f>Student!B53</f>
        <v xml:space="preserve">SALIFU ZULAIHA  </v>
      </c>
      <c r="C53" s="20">
        <f>SUM('Test 1'!B54,'Test 2'!B54,'Project Work'!B54,'Group Work'!B54)</f>
        <v>75</v>
      </c>
      <c r="D53" s="20">
        <f>SUM('Test 1'!C54,'Test 2'!C54,'Project Work'!C54,'Group Work'!C54)</f>
        <v>73</v>
      </c>
      <c r="E53" s="20">
        <f>SUM('Test 1'!D54,'Test 2'!D54,'Project Work'!D54,'Group Work'!D54)</f>
        <v>41</v>
      </c>
      <c r="F53" s="20">
        <f>SUM('Test 1'!E54,'Test 2'!E54,'Project Work'!E54,'Group Work'!E54)</f>
        <v>69</v>
      </c>
      <c r="G53" s="20">
        <f>SUM('Test 1'!F54,'Test 2'!F54,'Project Work'!F54,'Group Work'!F54)</f>
        <v>74</v>
      </c>
      <c r="H53" s="20">
        <f>SUM('Test 1'!G54,'Test 2'!G54,'Project Work'!G54,'Group Work'!G54)</f>
        <v>39</v>
      </c>
      <c r="I53" s="20">
        <f>SUM('Test 1'!H54,'Test 2'!H54,'Project Work'!H54,'Group Work'!H54)</f>
        <v>37</v>
      </c>
      <c r="J53" s="20">
        <f>SUM('Test 1'!I54,'Test 2'!I54,'Project Work'!I54,'Group Work'!I54)</f>
        <v>33</v>
      </c>
      <c r="K53" s="20">
        <f>SUM('Test 1'!J54,'Test 2'!J54,'Project Work'!J54,'Group Work'!J54)</f>
        <v>35</v>
      </c>
      <c r="L53" s="20">
        <f>SUM('Test 1'!K54,'Test 2'!K54,'Project Work'!K54,'Group Work'!K54)</f>
        <v>91</v>
      </c>
      <c r="M53">
        <f t="shared" si="1"/>
        <v>37.5</v>
      </c>
      <c r="N53">
        <f t="shared" si="2"/>
        <v>36.5</v>
      </c>
      <c r="O53">
        <f t="shared" si="3"/>
        <v>20.5</v>
      </c>
      <c r="P53">
        <f t="shared" si="4"/>
        <v>34.5</v>
      </c>
      <c r="Q53">
        <f t="shared" si="5"/>
        <v>37</v>
      </c>
      <c r="R53">
        <f t="shared" si="6"/>
        <v>19.5</v>
      </c>
      <c r="S53">
        <f t="shared" si="7"/>
        <v>18.5</v>
      </c>
      <c r="T53">
        <f t="shared" si="8"/>
        <v>16.5</v>
      </c>
      <c r="U53">
        <f t="shared" si="9"/>
        <v>17.5</v>
      </c>
      <c r="V53">
        <f t="shared" si="10"/>
        <v>45.5</v>
      </c>
    </row>
    <row r="54" spans="1:22" ht="15.75" x14ac:dyDescent="0.25">
      <c r="A54" s="5">
        <f>Student!A54</f>
        <v>709</v>
      </c>
      <c r="B54" s="21" t="str">
        <f>Student!B54</f>
        <v>SEFA AMA OWUSUWAA</v>
      </c>
      <c r="C54" s="20">
        <f>SUM('Test 1'!B55,'Test 2'!B55,'Project Work'!B55,'Group Work'!B55)</f>
        <v>79</v>
      </c>
      <c r="D54" s="20">
        <f>SUM('Test 1'!C55,'Test 2'!C55,'Project Work'!C55,'Group Work'!C55)</f>
        <v>71</v>
      </c>
      <c r="E54" s="20">
        <f>SUM('Test 1'!D55,'Test 2'!D55,'Project Work'!D55,'Group Work'!D55)</f>
        <v>40</v>
      </c>
      <c r="F54" s="20">
        <f>SUM('Test 1'!E55,'Test 2'!E55,'Project Work'!E55,'Group Work'!E55)</f>
        <v>58</v>
      </c>
      <c r="G54" s="20">
        <f>SUM('Test 1'!F55,'Test 2'!F55,'Project Work'!F55,'Group Work'!F55)</f>
        <v>51</v>
      </c>
      <c r="H54" s="20">
        <f>SUM('Test 1'!G55,'Test 2'!G55,'Project Work'!G55,'Group Work'!G55)</f>
        <v>50</v>
      </c>
      <c r="I54" s="20">
        <f>SUM('Test 1'!H55,'Test 2'!H55,'Project Work'!H55,'Group Work'!H55)</f>
        <v>31</v>
      </c>
      <c r="J54" s="20">
        <f>SUM('Test 1'!I55,'Test 2'!I55,'Project Work'!I55,'Group Work'!I55)</f>
        <v>37</v>
      </c>
      <c r="K54" s="20">
        <f>SUM('Test 1'!J55,'Test 2'!J55,'Project Work'!J55,'Group Work'!J55)</f>
        <v>60</v>
      </c>
      <c r="L54" s="20">
        <f>SUM('Test 1'!K55,'Test 2'!K55,'Project Work'!K55,'Group Work'!K55)</f>
        <v>64</v>
      </c>
      <c r="M54">
        <f t="shared" si="1"/>
        <v>39.5</v>
      </c>
      <c r="N54">
        <f t="shared" si="2"/>
        <v>35.5</v>
      </c>
      <c r="O54">
        <f t="shared" si="3"/>
        <v>20</v>
      </c>
      <c r="P54">
        <f t="shared" si="4"/>
        <v>29</v>
      </c>
      <c r="Q54">
        <f t="shared" si="5"/>
        <v>25.5</v>
      </c>
      <c r="R54">
        <f t="shared" si="6"/>
        <v>25</v>
      </c>
      <c r="S54">
        <f t="shared" si="7"/>
        <v>15.5</v>
      </c>
      <c r="T54">
        <f t="shared" si="8"/>
        <v>18.5</v>
      </c>
      <c r="U54">
        <f t="shared" si="9"/>
        <v>30</v>
      </c>
      <c r="V54">
        <f t="shared" si="10"/>
        <v>32</v>
      </c>
    </row>
    <row r="55" spans="1:22" ht="15.75" x14ac:dyDescent="0.25">
      <c r="A55" s="5">
        <f>Student!A55</f>
        <v>140</v>
      </c>
      <c r="B55" s="21" t="str">
        <f>Student!B55</f>
        <v xml:space="preserve">TETTEH MAVIS  </v>
      </c>
      <c r="C55" s="20">
        <f>SUM('Test 1'!B56,'Test 2'!B56,'Project Work'!B56,'Group Work'!B56)</f>
        <v>98</v>
      </c>
      <c r="D55" s="20">
        <f>SUM('Test 1'!C56,'Test 2'!C56,'Project Work'!C56,'Group Work'!C56)</f>
        <v>88</v>
      </c>
      <c r="E55" s="20">
        <f>SUM('Test 1'!D56,'Test 2'!D56,'Project Work'!D56,'Group Work'!D56)</f>
        <v>58</v>
      </c>
      <c r="F55" s="20">
        <f>SUM('Test 1'!E56,'Test 2'!E56,'Project Work'!E56,'Group Work'!E56)</f>
        <v>56</v>
      </c>
      <c r="G55" s="20">
        <f>SUM('Test 1'!F56,'Test 2'!F56,'Project Work'!F56,'Group Work'!F56)</f>
        <v>61</v>
      </c>
      <c r="H55" s="20">
        <f>SUM('Test 1'!G56,'Test 2'!G56,'Project Work'!G56,'Group Work'!G56)</f>
        <v>42</v>
      </c>
      <c r="I55" s="20">
        <f>SUM('Test 1'!H56,'Test 2'!H56,'Project Work'!H56,'Group Work'!H56)</f>
        <v>54</v>
      </c>
      <c r="J55" s="20">
        <f>SUM('Test 1'!I56,'Test 2'!I56,'Project Work'!I56,'Group Work'!I56)</f>
        <v>50</v>
      </c>
      <c r="K55" s="20">
        <f>SUM('Test 1'!J56,'Test 2'!J56,'Project Work'!J56,'Group Work'!J56)</f>
        <v>42</v>
      </c>
      <c r="L55" s="20">
        <f>SUM('Test 1'!K56,'Test 2'!K56,'Project Work'!K56,'Group Work'!K56)</f>
        <v>73</v>
      </c>
      <c r="M55">
        <f t="shared" si="1"/>
        <v>49</v>
      </c>
      <c r="N55">
        <f t="shared" si="2"/>
        <v>44</v>
      </c>
      <c r="O55">
        <f t="shared" si="3"/>
        <v>29</v>
      </c>
      <c r="P55">
        <f t="shared" si="4"/>
        <v>28</v>
      </c>
      <c r="Q55">
        <f t="shared" si="5"/>
        <v>30.5</v>
      </c>
      <c r="R55">
        <f t="shared" si="6"/>
        <v>21</v>
      </c>
      <c r="S55">
        <f t="shared" si="7"/>
        <v>27</v>
      </c>
      <c r="T55">
        <f t="shared" si="8"/>
        <v>25</v>
      </c>
      <c r="U55">
        <f t="shared" si="9"/>
        <v>21</v>
      </c>
      <c r="V55">
        <f t="shared" si="10"/>
        <v>36.5</v>
      </c>
    </row>
    <row r="56" spans="1:22" ht="15.75" x14ac:dyDescent="0.25">
      <c r="A56" s="5">
        <f>Student!A56</f>
        <v>4065</v>
      </c>
      <c r="B56" s="21" t="str">
        <f>Student!B56</f>
        <v xml:space="preserve">TWUMASI VERA  </v>
      </c>
      <c r="C56" s="20">
        <f>SUM('Test 1'!B57,'Test 2'!B57,'Project Work'!B57,'Group Work'!B57)</f>
        <v>86</v>
      </c>
      <c r="D56" s="20">
        <f>SUM('Test 1'!C57,'Test 2'!C57,'Project Work'!C57,'Group Work'!C57)</f>
        <v>82</v>
      </c>
      <c r="E56" s="20">
        <f>SUM('Test 1'!D57,'Test 2'!D57,'Project Work'!D57,'Group Work'!D57)</f>
        <v>67</v>
      </c>
      <c r="F56" s="20">
        <f>SUM('Test 1'!E57,'Test 2'!E57,'Project Work'!E57,'Group Work'!E57)</f>
        <v>56</v>
      </c>
      <c r="G56" s="20">
        <f>SUM('Test 1'!F57,'Test 2'!F57,'Project Work'!F57,'Group Work'!F57)</f>
        <v>59</v>
      </c>
      <c r="H56" s="20">
        <f>SUM('Test 1'!G57,'Test 2'!G57,'Project Work'!G57,'Group Work'!G57)</f>
        <v>38</v>
      </c>
      <c r="I56" s="20">
        <f>SUM('Test 1'!H57,'Test 2'!H57,'Project Work'!H57,'Group Work'!H57)</f>
        <v>25</v>
      </c>
      <c r="J56" s="20">
        <f>SUM('Test 1'!I57,'Test 2'!I57,'Project Work'!I57,'Group Work'!I57)</f>
        <v>73</v>
      </c>
      <c r="K56" s="20">
        <f>SUM('Test 1'!J57,'Test 2'!J57,'Project Work'!J57,'Group Work'!J57)</f>
        <v>75</v>
      </c>
      <c r="L56" s="20">
        <f>SUM('Test 1'!K57,'Test 2'!K57,'Project Work'!K57,'Group Work'!K57)</f>
        <v>64</v>
      </c>
      <c r="M56">
        <f t="shared" si="1"/>
        <v>43</v>
      </c>
      <c r="N56">
        <f t="shared" si="2"/>
        <v>41</v>
      </c>
      <c r="O56">
        <f t="shared" si="3"/>
        <v>33.5</v>
      </c>
      <c r="P56">
        <f t="shared" si="4"/>
        <v>28</v>
      </c>
      <c r="Q56">
        <f t="shared" si="5"/>
        <v>29.5</v>
      </c>
      <c r="R56">
        <f t="shared" si="6"/>
        <v>19</v>
      </c>
      <c r="S56">
        <f t="shared" si="7"/>
        <v>12.5</v>
      </c>
      <c r="T56">
        <f t="shared" si="8"/>
        <v>36.5</v>
      </c>
      <c r="U56">
        <f t="shared" si="9"/>
        <v>37.5</v>
      </c>
      <c r="V56">
        <f t="shared" si="10"/>
        <v>32</v>
      </c>
    </row>
    <row r="57" spans="1:22" ht="15.75" x14ac:dyDescent="0.25">
      <c r="A57" s="5">
        <f>Student!A57</f>
        <v>616</v>
      </c>
      <c r="B57" s="21" t="str">
        <f>Student!B57</f>
        <v xml:space="preserve">WORMENOR JULIA  </v>
      </c>
      <c r="C57" s="20">
        <f>SUM('Test 1'!B58,'Test 2'!B58,'Project Work'!B58,'Group Work'!B58)</f>
        <v>100</v>
      </c>
      <c r="D57" s="20">
        <f>SUM('Test 1'!C58,'Test 2'!C58,'Project Work'!C58,'Group Work'!C58)</f>
        <v>86</v>
      </c>
      <c r="E57" s="20">
        <f>SUM('Test 1'!D58,'Test 2'!D58,'Project Work'!D58,'Group Work'!D58)</f>
        <v>76</v>
      </c>
      <c r="F57" s="20">
        <f>SUM('Test 1'!E58,'Test 2'!E58,'Project Work'!E58,'Group Work'!E58)</f>
        <v>100</v>
      </c>
      <c r="G57" s="20">
        <f>SUM('Test 1'!F58,'Test 2'!F58,'Project Work'!F58,'Group Work'!F58)</f>
        <v>96</v>
      </c>
      <c r="H57" s="20">
        <f>SUM('Test 1'!G58,'Test 2'!G58,'Project Work'!G58,'Group Work'!G58)</f>
        <v>39</v>
      </c>
      <c r="I57" s="20">
        <f>SUM('Test 1'!H58,'Test 2'!H58,'Project Work'!H58,'Group Work'!H58)</f>
        <v>64</v>
      </c>
      <c r="J57" s="20">
        <f>SUM('Test 1'!I58,'Test 2'!I58,'Project Work'!I58,'Group Work'!I58)</f>
        <v>76</v>
      </c>
      <c r="K57" s="20">
        <f>SUM('Test 1'!J58,'Test 2'!J58,'Project Work'!J58,'Group Work'!J58)</f>
        <v>80</v>
      </c>
      <c r="L57" s="20">
        <f>SUM('Test 1'!K58,'Test 2'!K58,'Project Work'!K58,'Group Work'!K58)</f>
        <v>100</v>
      </c>
      <c r="M57">
        <f t="shared" si="1"/>
        <v>50</v>
      </c>
      <c r="N57">
        <f t="shared" si="2"/>
        <v>43</v>
      </c>
      <c r="O57">
        <f t="shared" si="3"/>
        <v>38</v>
      </c>
      <c r="P57">
        <f t="shared" si="4"/>
        <v>50</v>
      </c>
      <c r="Q57">
        <f t="shared" si="5"/>
        <v>48</v>
      </c>
      <c r="R57">
        <f t="shared" si="6"/>
        <v>19.5</v>
      </c>
      <c r="S57">
        <f t="shared" si="7"/>
        <v>32</v>
      </c>
      <c r="T57">
        <f t="shared" si="8"/>
        <v>38</v>
      </c>
      <c r="U57">
        <f t="shared" si="9"/>
        <v>40</v>
      </c>
      <c r="V57">
        <f t="shared" si="10"/>
        <v>50</v>
      </c>
    </row>
    <row r="58" spans="1:22" ht="15.75" x14ac:dyDescent="0.25">
      <c r="A58" s="5">
        <f>Student!A58</f>
        <v>339</v>
      </c>
      <c r="B58" s="21" t="str">
        <f>Student!B58</f>
        <v xml:space="preserve">YEBOAH OLIVIA  </v>
      </c>
      <c r="C58" s="20">
        <f>SUM('Test 1'!B59,'Test 2'!B59,'Project Work'!B59,'Group Work'!B59)</f>
        <v>90</v>
      </c>
      <c r="D58" s="20">
        <f>SUM('Test 1'!C59,'Test 2'!C59,'Project Work'!C59,'Group Work'!C59)</f>
        <v>84</v>
      </c>
      <c r="E58" s="20">
        <f>SUM('Test 1'!D59,'Test 2'!D59,'Project Work'!D59,'Group Work'!D59)</f>
        <v>58</v>
      </c>
      <c r="F58" s="20">
        <f>SUM('Test 1'!E59,'Test 2'!E59,'Project Work'!E59,'Group Work'!E59)</f>
        <v>48</v>
      </c>
      <c r="G58" s="20">
        <f>SUM('Test 1'!F59,'Test 2'!F59,'Project Work'!F59,'Group Work'!F59)</f>
        <v>61</v>
      </c>
      <c r="H58" s="20">
        <f>SUM('Test 1'!G59,'Test 2'!G59,'Project Work'!G59,'Group Work'!G59)</f>
        <v>61</v>
      </c>
      <c r="I58" s="20">
        <f>SUM('Test 1'!H59,'Test 2'!H59,'Project Work'!H59,'Group Work'!H59)</f>
        <v>25</v>
      </c>
      <c r="J58" s="20">
        <f>SUM('Test 1'!I59,'Test 2'!I59,'Project Work'!I59,'Group Work'!I59)</f>
        <v>43</v>
      </c>
      <c r="K58" s="20">
        <f>SUM('Test 1'!J59,'Test 2'!J59,'Project Work'!J59,'Group Work'!J59)</f>
        <v>40</v>
      </c>
      <c r="L58" s="20">
        <f>SUM('Test 1'!K59,'Test 2'!K59,'Project Work'!K59,'Group Work'!K59)</f>
        <v>64</v>
      </c>
      <c r="M58">
        <f t="shared" si="1"/>
        <v>45</v>
      </c>
      <c r="N58">
        <f t="shared" si="2"/>
        <v>42</v>
      </c>
      <c r="O58">
        <f t="shared" si="3"/>
        <v>29</v>
      </c>
      <c r="P58">
        <f t="shared" si="4"/>
        <v>24</v>
      </c>
      <c r="Q58">
        <f t="shared" si="5"/>
        <v>30.5</v>
      </c>
      <c r="R58">
        <f t="shared" si="6"/>
        <v>30.5</v>
      </c>
      <c r="S58">
        <f t="shared" si="7"/>
        <v>12.5</v>
      </c>
      <c r="T58">
        <f t="shared" si="8"/>
        <v>21.5</v>
      </c>
      <c r="U58">
        <f t="shared" si="9"/>
        <v>20</v>
      </c>
      <c r="V58">
        <f t="shared" si="10"/>
        <v>32</v>
      </c>
    </row>
    <row r="59" spans="1:22" ht="15.75" x14ac:dyDescent="0.25">
      <c r="A59" s="5">
        <f>Student!A59</f>
        <v>768</v>
      </c>
      <c r="B59" s="21" t="str">
        <f>Student!B59</f>
        <v>BRAHENE PRISCILLA</v>
      </c>
      <c r="C59" s="20">
        <f>SUM('Test 1'!B60,'Test 2'!B60,'Project Work'!B60,'Group Work'!B60)</f>
        <v>0</v>
      </c>
      <c r="D59" s="20">
        <f>SUM('Test 1'!C60,'Test 2'!C60,'Project Work'!C60,'Group Work'!C60)</f>
        <v>0</v>
      </c>
      <c r="E59" s="20">
        <f>SUM('Test 1'!D60,'Test 2'!D60,'Project Work'!D60,'Group Work'!D60)</f>
        <v>0</v>
      </c>
      <c r="F59" s="20">
        <f>SUM('Test 1'!E60,'Test 2'!E60,'Project Work'!E60,'Group Work'!E60)</f>
        <v>0</v>
      </c>
      <c r="G59" s="20">
        <f>SUM('Test 1'!F60,'Test 2'!F60,'Project Work'!F60,'Group Work'!F60)</f>
        <v>0</v>
      </c>
      <c r="H59" s="20">
        <f>SUM('Test 1'!G60,'Test 2'!G60,'Project Work'!G60,'Group Work'!G60)</f>
        <v>0</v>
      </c>
      <c r="I59" s="20">
        <f>SUM('Test 1'!H60,'Test 2'!H60,'Project Work'!H60,'Group Work'!H60)</f>
        <v>0</v>
      </c>
      <c r="J59" s="20">
        <f>SUM('Test 1'!I60,'Test 2'!I60,'Project Work'!I60,'Group Work'!I60)</f>
        <v>0</v>
      </c>
      <c r="K59" s="20">
        <f>SUM('Test 1'!J60,'Test 2'!J60,'Project Work'!J60,'Group Work'!J60)</f>
        <v>0</v>
      </c>
      <c r="L59" s="20">
        <f>SUM('Test 1'!K60,'Test 2'!K60,'Project Work'!K60,'Group Work'!K60)</f>
        <v>0</v>
      </c>
      <c r="M59">
        <f t="shared" si="1"/>
        <v>0</v>
      </c>
      <c r="N59">
        <f t="shared" si="2"/>
        <v>0</v>
      </c>
      <c r="O59">
        <f t="shared" si="3"/>
        <v>0</v>
      </c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  <c r="U59">
        <f t="shared" si="9"/>
        <v>0</v>
      </c>
      <c r="V59">
        <f t="shared" si="10"/>
        <v>0</v>
      </c>
    </row>
    <row r="60" spans="1:22" ht="15.75" x14ac:dyDescent="0.25">
      <c r="A60" s="5">
        <f>Student!A60</f>
        <v>0</v>
      </c>
      <c r="B60" s="21">
        <f>Student!B60</f>
        <v>0</v>
      </c>
      <c r="C60" s="20">
        <f>SUM('Test 1'!B61,'Test 2'!B61,'Project Work'!B61,'Group Work'!B61)</f>
        <v>0</v>
      </c>
      <c r="D60" s="20">
        <f>SUM('Test 1'!C61,'Test 2'!C61,'Project Work'!C61,'Group Work'!C61)</f>
        <v>0</v>
      </c>
      <c r="E60" s="20">
        <f>SUM('Test 1'!D61,'Test 2'!D61,'Project Work'!D61,'Group Work'!D61)</f>
        <v>0</v>
      </c>
      <c r="F60" s="20">
        <f>SUM('Test 1'!E61,'Test 2'!E61,'Project Work'!E61,'Group Work'!E61)</f>
        <v>0</v>
      </c>
      <c r="G60" s="20">
        <f>SUM('Test 1'!F61,'Test 2'!F61,'Project Work'!F61,'Group Work'!F61)</f>
        <v>0</v>
      </c>
      <c r="H60" s="20">
        <f>SUM('Test 1'!G61,'Test 2'!G61,'Project Work'!G61,'Group Work'!G61)</f>
        <v>0</v>
      </c>
      <c r="I60" s="20">
        <f>SUM('Test 1'!H61,'Test 2'!H61,'Project Work'!H61,'Group Work'!H61)</f>
        <v>0</v>
      </c>
      <c r="J60" s="20">
        <f>SUM('Test 1'!I61,'Test 2'!I61,'Project Work'!I61,'Group Work'!I61)</f>
        <v>0</v>
      </c>
      <c r="K60" s="20">
        <f>SUM('Test 1'!J61,'Test 2'!J61,'Project Work'!J61,'Group Work'!J61)</f>
        <v>0</v>
      </c>
      <c r="L60" s="20">
        <f>SUM('Test 1'!K61,'Test 2'!K61,'Project Work'!K61,'Group Work'!K61)</f>
        <v>0</v>
      </c>
      <c r="M60">
        <f t="shared" si="1"/>
        <v>0</v>
      </c>
      <c r="N60">
        <f t="shared" si="2"/>
        <v>0</v>
      </c>
      <c r="O60">
        <f t="shared" si="3"/>
        <v>0</v>
      </c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  <c r="U60">
        <f t="shared" si="9"/>
        <v>0</v>
      </c>
      <c r="V60">
        <f t="shared" si="10"/>
        <v>0</v>
      </c>
    </row>
    <row r="61" spans="1:22" ht="15.75" x14ac:dyDescent="0.25">
      <c r="A61" s="5">
        <f>Student!A61</f>
        <v>0</v>
      </c>
      <c r="B61" s="21">
        <f>Student!B61</f>
        <v>0</v>
      </c>
      <c r="C61" s="20">
        <f>SUM('Test 1'!B62,'Test 2'!B62,'Project Work'!B62,'Group Work'!B62)</f>
        <v>0</v>
      </c>
      <c r="D61" s="20">
        <f>SUM('Test 1'!C62,'Test 2'!C62,'Project Work'!C62,'Group Work'!C62)</f>
        <v>0</v>
      </c>
      <c r="E61" s="20">
        <f>SUM('Test 1'!D62,'Test 2'!D62,'Project Work'!D62,'Group Work'!D62)</f>
        <v>0</v>
      </c>
      <c r="F61" s="20">
        <f>SUM('Test 1'!E62,'Test 2'!E62,'Project Work'!E62,'Group Work'!E62)</f>
        <v>0</v>
      </c>
      <c r="G61" s="20">
        <f>SUM('Test 1'!F62,'Test 2'!F62,'Project Work'!F62,'Group Work'!F62)</f>
        <v>0</v>
      </c>
      <c r="H61" s="20">
        <f>SUM('Test 1'!G62,'Test 2'!G62,'Project Work'!G62,'Group Work'!G62)</f>
        <v>0</v>
      </c>
      <c r="I61" s="20">
        <f>SUM('Test 1'!H62,'Test 2'!H62,'Project Work'!H62,'Group Work'!H62)</f>
        <v>0</v>
      </c>
      <c r="J61" s="20">
        <f>SUM('Test 1'!I62,'Test 2'!I62,'Project Work'!I62,'Group Work'!I62)</f>
        <v>0</v>
      </c>
      <c r="K61" s="20">
        <f>SUM('Test 1'!J62,'Test 2'!J62,'Project Work'!J62,'Group Work'!J62)</f>
        <v>0</v>
      </c>
      <c r="L61" s="20">
        <f>SUM('Test 1'!K62,'Test 2'!K62,'Project Work'!K62,'Group Work'!K62)</f>
        <v>0</v>
      </c>
      <c r="M61">
        <f t="shared" si="1"/>
        <v>0</v>
      </c>
      <c r="N61">
        <f t="shared" si="2"/>
        <v>0</v>
      </c>
      <c r="O61">
        <f t="shared" si="3"/>
        <v>0</v>
      </c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  <c r="U61">
        <f t="shared" si="9"/>
        <v>0</v>
      </c>
      <c r="V61">
        <f t="shared" si="10"/>
        <v>0</v>
      </c>
    </row>
    <row r="62" spans="1:22" ht="15.75" x14ac:dyDescent="0.25">
      <c r="A62" s="5">
        <f>Student!A62</f>
        <v>0</v>
      </c>
      <c r="B62" s="21">
        <f>Student!B62</f>
        <v>0</v>
      </c>
      <c r="C62" s="20">
        <f>SUM('Test 1'!B63,'Test 2'!B63,'Project Work'!B63,'Group Work'!B63)</f>
        <v>0</v>
      </c>
      <c r="D62" s="20">
        <f>SUM('Test 1'!C63,'Test 2'!C63,'Project Work'!C63,'Group Work'!C63)</f>
        <v>0</v>
      </c>
      <c r="E62" s="20">
        <f>SUM('Test 1'!D63,'Test 2'!D63,'Project Work'!D63,'Group Work'!D63)</f>
        <v>0</v>
      </c>
      <c r="F62" s="20">
        <f>SUM('Test 1'!E63,'Test 2'!E63,'Project Work'!E63,'Group Work'!E63)</f>
        <v>0</v>
      </c>
      <c r="G62" s="20">
        <f>SUM('Test 1'!F63,'Test 2'!F63,'Project Work'!F63,'Group Work'!F63)</f>
        <v>0</v>
      </c>
      <c r="H62" s="20">
        <f>SUM('Test 1'!G63,'Test 2'!G63,'Project Work'!G63,'Group Work'!G63)</f>
        <v>0</v>
      </c>
      <c r="I62" s="20">
        <f>SUM('Test 1'!H63,'Test 2'!H63,'Project Work'!H63,'Group Work'!H63)</f>
        <v>0</v>
      </c>
      <c r="J62" s="20">
        <f>SUM('Test 1'!I63,'Test 2'!I63,'Project Work'!I63,'Group Work'!I63)</f>
        <v>0</v>
      </c>
      <c r="K62" s="20">
        <f>SUM('Test 1'!J63,'Test 2'!J63,'Project Work'!J63,'Group Work'!J63)</f>
        <v>0</v>
      </c>
      <c r="L62" s="20">
        <f>SUM('Test 1'!K63,'Test 2'!K63,'Project Work'!K63,'Group Work'!K63)</f>
        <v>0</v>
      </c>
      <c r="M62">
        <f t="shared" si="1"/>
        <v>0</v>
      </c>
      <c r="N62">
        <f t="shared" si="2"/>
        <v>0</v>
      </c>
      <c r="O62">
        <f t="shared" si="3"/>
        <v>0</v>
      </c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  <c r="U62">
        <f t="shared" si="9"/>
        <v>0</v>
      </c>
      <c r="V62">
        <f t="shared" si="10"/>
        <v>0</v>
      </c>
    </row>
    <row r="63" spans="1:22" ht="15.75" x14ac:dyDescent="0.25">
      <c r="A63" s="5">
        <f>Student!A63</f>
        <v>0</v>
      </c>
      <c r="B63" s="21">
        <f>Student!B63</f>
        <v>0</v>
      </c>
      <c r="C63" s="20">
        <f>SUM('Test 1'!B64,'Test 2'!B64,'Project Work'!B64,'Group Work'!B64)</f>
        <v>0</v>
      </c>
      <c r="D63" s="20">
        <f>SUM('Test 1'!C64,'Test 2'!C64,'Project Work'!C64,'Group Work'!C64)</f>
        <v>0</v>
      </c>
      <c r="E63" s="20">
        <f>SUM('Test 1'!D64,'Test 2'!D64,'Project Work'!D64,'Group Work'!D64)</f>
        <v>0</v>
      </c>
      <c r="F63" s="20">
        <f>SUM('Test 1'!E64,'Test 2'!E64,'Project Work'!E64,'Group Work'!E64)</f>
        <v>0</v>
      </c>
      <c r="G63" s="20">
        <f>SUM('Test 1'!F64,'Test 2'!F64,'Project Work'!F64,'Group Work'!F64)</f>
        <v>0</v>
      </c>
      <c r="H63" s="20">
        <f>SUM('Test 1'!G64,'Test 2'!G64,'Project Work'!G64,'Group Work'!G64)</f>
        <v>0</v>
      </c>
      <c r="I63" s="20">
        <f>SUM('Test 1'!H64,'Test 2'!H64,'Project Work'!H64,'Group Work'!H64)</f>
        <v>0</v>
      </c>
      <c r="J63" s="20">
        <f>SUM('Test 1'!I64,'Test 2'!I64,'Project Work'!I64,'Group Work'!I64)</f>
        <v>0</v>
      </c>
      <c r="K63" s="20">
        <f>SUM('Test 1'!J64,'Test 2'!J64,'Project Work'!J64,'Group Work'!J64)</f>
        <v>0</v>
      </c>
      <c r="L63" s="20">
        <f>SUM('Test 1'!K64,'Test 2'!K64,'Project Work'!K64,'Group Work'!K64)</f>
        <v>0</v>
      </c>
      <c r="M63">
        <f t="shared" si="1"/>
        <v>0</v>
      </c>
      <c r="N63">
        <f t="shared" si="2"/>
        <v>0</v>
      </c>
      <c r="O63">
        <f t="shared" si="3"/>
        <v>0</v>
      </c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  <c r="U63">
        <f t="shared" si="9"/>
        <v>0</v>
      </c>
      <c r="V63">
        <f t="shared" si="10"/>
        <v>0</v>
      </c>
    </row>
    <row r="64" spans="1:22" ht="15.75" x14ac:dyDescent="0.25">
      <c r="A64" s="5">
        <f>Student!A64</f>
        <v>0</v>
      </c>
      <c r="B64" s="21">
        <f>Student!B64</f>
        <v>0</v>
      </c>
      <c r="C64" s="20">
        <f>SUM('Test 1'!B65,'Test 2'!B65,'Project Work'!B65,'Group Work'!B65)</f>
        <v>0</v>
      </c>
      <c r="D64" s="20">
        <f>SUM('Test 1'!C65,'Test 2'!C65,'Project Work'!C65,'Group Work'!C65)</f>
        <v>0</v>
      </c>
      <c r="E64" s="20">
        <f>SUM('Test 1'!D65,'Test 2'!D65,'Project Work'!D65,'Group Work'!D65)</f>
        <v>0</v>
      </c>
      <c r="F64" s="20">
        <f>SUM('Test 1'!E65,'Test 2'!E65,'Project Work'!E65,'Group Work'!E65)</f>
        <v>0</v>
      </c>
      <c r="G64" s="20">
        <f>SUM('Test 1'!F65,'Test 2'!F65,'Project Work'!F65,'Group Work'!F65)</f>
        <v>0</v>
      </c>
      <c r="H64" s="20">
        <f>SUM('Test 1'!G65,'Test 2'!G65,'Project Work'!G65,'Group Work'!G65)</f>
        <v>0</v>
      </c>
      <c r="I64" s="20">
        <f>SUM('Test 1'!H65,'Test 2'!H65,'Project Work'!H65,'Group Work'!H65)</f>
        <v>0</v>
      </c>
      <c r="J64" s="20">
        <f>SUM('Test 1'!I65,'Test 2'!I65,'Project Work'!I65,'Group Work'!I65)</f>
        <v>0</v>
      </c>
      <c r="K64" s="20">
        <f>SUM('Test 1'!J65,'Test 2'!J65,'Project Work'!J65,'Group Work'!J65)</f>
        <v>0</v>
      </c>
      <c r="L64" s="20">
        <f>SUM('Test 1'!K65,'Test 2'!K65,'Project Work'!K65,'Group Work'!K65)</f>
        <v>0</v>
      </c>
      <c r="M64">
        <f t="shared" si="1"/>
        <v>0</v>
      </c>
      <c r="N64">
        <f t="shared" si="2"/>
        <v>0</v>
      </c>
      <c r="O64">
        <f t="shared" si="3"/>
        <v>0</v>
      </c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  <c r="U64">
        <f t="shared" si="9"/>
        <v>0</v>
      </c>
      <c r="V64">
        <f t="shared" si="10"/>
        <v>0</v>
      </c>
    </row>
    <row r="65" spans="1:22" ht="15.75" x14ac:dyDescent="0.25">
      <c r="A65" s="5">
        <f>Student!A65</f>
        <v>0</v>
      </c>
      <c r="B65" s="21">
        <f>Student!B65</f>
        <v>0</v>
      </c>
      <c r="C65" s="20">
        <f>SUM('Test 1'!B66,'Test 2'!B66,'Project Work'!B66,'Group Work'!B66)</f>
        <v>0</v>
      </c>
      <c r="D65" s="20">
        <f>SUM('Test 1'!C66,'Test 2'!C66,'Project Work'!C66,'Group Work'!C66)</f>
        <v>0</v>
      </c>
      <c r="E65" s="20">
        <f>SUM('Test 1'!D66,'Test 2'!D66,'Project Work'!D66,'Group Work'!D66)</f>
        <v>0</v>
      </c>
      <c r="F65" s="20">
        <f>SUM('Test 1'!E66,'Test 2'!E66,'Project Work'!E66,'Group Work'!E66)</f>
        <v>0</v>
      </c>
      <c r="G65" s="20">
        <f>SUM('Test 1'!F66,'Test 2'!F66,'Project Work'!F66,'Group Work'!F66)</f>
        <v>0</v>
      </c>
      <c r="H65" s="20">
        <f>SUM('Test 1'!G66,'Test 2'!G66,'Project Work'!G66,'Group Work'!G66)</f>
        <v>0</v>
      </c>
      <c r="I65" s="20">
        <f>SUM('Test 1'!H66,'Test 2'!H66,'Project Work'!H66,'Group Work'!H66)</f>
        <v>0</v>
      </c>
      <c r="J65" s="20">
        <f>SUM('Test 1'!I66,'Test 2'!I66,'Project Work'!I66,'Group Work'!I66)</f>
        <v>0</v>
      </c>
      <c r="K65" s="20">
        <f>SUM('Test 1'!J66,'Test 2'!J66,'Project Work'!J66,'Group Work'!J66)</f>
        <v>0</v>
      </c>
      <c r="L65" s="20">
        <f>SUM('Test 1'!K66,'Test 2'!K66,'Project Work'!K66,'Group Work'!K66)</f>
        <v>0</v>
      </c>
      <c r="M65">
        <f t="shared" si="1"/>
        <v>0</v>
      </c>
      <c r="N65">
        <f t="shared" si="2"/>
        <v>0</v>
      </c>
      <c r="O65">
        <f t="shared" si="3"/>
        <v>0</v>
      </c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  <c r="U65">
        <f t="shared" si="9"/>
        <v>0</v>
      </c>
      <c r="V65">
        <f t="shared" si="10"/>
        <v>0</v>
      </c>
    </row>
    <row r="66" spans="1:22" ht="15.75" x14ac:dyDescent="0.25">
      <c r="A66" s="5">
        <f>Student!A66</f>
        <v>0</v>
      </c>
      <c r="B66" s="21">
        <f>Student!B66</f>
        <v>0</v>
      </c>
      <c r="C66" s="20">
        <f>SUM('Test 1'!B67,'Test 2'!B67,'Project Work'!B67,'Group Work'!B67)</f>
        <v>0</v>
      </c>
      <c r="D66" s="20">
        <f>SUM('Test 1'!C67,'Test 2'!C67,'Project Work'!C67,'Group Work'!C67)</f>
        <v>0</v>
      </c>
      <c r="E66" s="20">
        <f>SUM('Test 1'!D67,'Test 2'!D67,'Project Work'!D67,'Group Work'!D67)</f>
        <v>0</v>
      </c>
      <c r="F66" s="20">
        <f>SUM('Test 1'!E67,'Test 2'!E67,'Project Work'!E67,'Group Work'!E67)</f>
        <v>0</v>
      </c>
      <c r="G66" s="20">
        <f>SUM('Test 1'!F67,'Test 2'!F67,'Project Work'!F67,'Group Work'!F67)</f>
        <v>0</v>
      </c>
      <c r="H66" s="20">
        <f>SUM('Test 1'!G67,'Test 2'!G67,'Project Work'!G67,'Group Work'!G67)</f>
        <v>0</v>
      </c>
      <c r="I66" s="20">
        <f>SUM('Test 1'!H67,'Test 2'!H67,'Project Work'!H67,'Group Work'!H67)</f>
        <v>0</v>
      </c>
      <c r="J66" s="20">
        <f>SUM('Test 1'!I67,'Test 2'!I67,'Project Work'!I67,'Group Work'!I67)</f>
        <v>0</v>
      </c>
      <c r="K66" s="20">
        <f>SUM('Test 1'!J67,'Test 2'!J67,'Project Work'!J67,'Group Work'!J67)</f>
        <v>0</v>
      </c>
      <c r="L66" s="20">
        <f>SUM('Test 1'!K67,'Test 2'!K67,'Project Work'!K67,'Group Work'!K67)</f>
        <v>0</v>
      </c>
      <c r="M66">
        <f t="shared" ref="M66:M98" si="11">50%*C66</f>
        <v>0</v>
      </c>
      <c r="N66">
        <f t="shared" ref="N66:N98" si="12">50%*D66</f>
        <v>0</v>
      </c>
      <c r="O66">
        <f t="shared" ref="O66:O98" si="13">50%*E66</f>
        <v>0</v>
      </c>
      <c r="P66">
        <f t="shared" ref="P66:P98" si="14">50%*F66</f>
        <v>0</v>
      </c>
      <c r="Q66">
        <f t="shared" ref="Q66:Q98" si="15">50%*G66</f>
        <v>0</v>
      </c>
      <c r="R66">
        <f t="shared" ref="R66:R98" si="16">50%*H66</f>
        <v>0</v>
      </c>
      <c r="S66">
        <f t="shared" ref="S66:S98" si="17">50%*I66</f>
        <v>0</v>
      </c>
      <c r="T66">
        <f t="shared" ref="T66:T98" si="18">50%*J66</f>
        <v>0</v>
      </c>
      <c r="U66">
        <f t="shared" ref="U66:U98" si="19">50%*K66</f>
        <v>0</v>
      </c>
      <c r="V66">
        <f t="shared" ref="V66:V98" si="20">50%*L66</f>
        <v>0</v>
      </c>
    </row>
    <row r="67" spans="1:22" ht="15.75" x14ac:dyDescent="0.25">
      <c r="A67" s="5">
        <f>Student!A67</f>
        <v>0</v>
      </c>
      <c r="B67" s="21">
        <f>Student!B67</f>
        <v>0</v>
      </c>
      <c r="C67" s="20">
        <f>SUM('Test 1'!B68,'Test 2'!B68,'Project Work'!B68,'Group Work'!B68)</f>
        <v>0</v>
      </c>
      <c r="D67" s="20">
        <f>SUM('Test 1'!C68,'Test 2'!C68,'Project Work'!C68,'Group Work'!C68)</f>
        <v>0</v>
      </c>
      <c r="E67" s="20">
        <f>SUM('Test 1'!D68,'Test 2'!D68,'Project Work'!D68,'Group Work'!D68)</f>
        <v>0</v>
      </c>
      <c r="F67" s="20">
        <f>SUM('Test 1'!E68,'Test 2'!E68,'Project Work'!E68,'Group Work'!E68)</f>
        <v>0</v>
      </c>
      <c r="G67" s="20">
        <f>SUM('Test 1'!F68,'Test 2'!F68,'Project Work'!F68,'Group Work'!F68)</f>
        <v>0</v>
      </c>
      <c r="H67" s="20">
        <f>SUM('Test 1'!G68,'Test 2'!G68,'Project Work'!G68,'Group Work'!G68)</f>
        <v>0</v>
      </c>
      <c r="I67" s="20">
        <f>SUM('Test 1'!H68,'Test 2'!H68,'Project Work'!H68,'Group Work'!H68)</f>
        <v>0</v>
      </c>
      <c r="J67" s="20">
        <f>SUM('Test 1'!I68,'Test 2'!I68,'Project Work'!I68,'Group Work'!I68)</f>
        <v>0</v>
      </c>
      <c r="K67" s="20">
        <f>SUM('Test 1'!J68,'Test 2'!J68,'Project Work'!J68,'Group Work'!J68)</f>
        <v>0</v>
      </c>
      <c r="L67" s="20">
        <f>SUM('Test 1'!K68,'Test 2'!K68,'Project Work'!K68,'Group Work'!K68)</f>
        <v>0</v>
      </c>
      <c r="M67">
        <f t="shared" si="11"/>
        <v>0</v>
      </c>
      <c r="N67">
        <f t="shared" si="12"/>
        <v>0</v>
      </c>
      <c r="O67">
        <f t="shared" si="13"/>
        <v>0</v>
      </c>
      <c r="P67">
        <f t="shared" si="14"/>
        <v>0</v>
      </c>
      <c r="Q67">
        <f t="shared" si="15"/>
        <v>0</v>
      </c>
      <c r="R67">
        <f t="shared" si="16"/>
        <v>0</v>
      </c>
      <c r="S67">
        <f t="shared" si="17"/>
        <v>0</v>
      </c>
      <c r="T67">
        <f t="shared" si="18"/>
        <v>0</v>
      </c>
      <c r="U67">
        <f t="shared" si="19"/>
        <v>0</v>
      </c>
      <c r="V67">
        <f t="shared" si="20"/>
        <v>0</v>
      </c>
    </row>
    <row r="68" spans="1:22" ht="15.75" x14ac:dyDescent="0.25">
      <c r="A68" s="5">
        <f>Student!A68</f>
        <v>0</v>
      </c>
      <c r="B68" s="21">
        <f>Student!B68</f>
        <v>0</v>
      </c>
      <c r="C68" s="20">
        <f>SUM('Test 1'!B69,'Test 2'!B69,'Project Work'!B69,'Group Work'!B69)</f>
        <v>0</v>
      </c>
      <c r="D68" s="20">
        <f>SUM('Test 1'!C69,'Test 2'!C69,'Project Work'!C69,'Group Work'!C69)</f>
        <v>0</v>
      </c>
      <c r="E68" s="20">
        <f>SUM('Test 1'!D69,'Test 2'!D69,'Project Work'!D69,'Group Work'!D69)</f>
        <v>0</v>
      </c>
      <c r="F68" s="20">
        <f>SUM('Test 1'!E69,'Test 2'!E69,'Project Work'!E69,'Group Work'!E69)</f>
        <v>0</v>
      </c>
      <c r="G68" s="20">
        <f>SUM('Test 1'!F69,'Test 2'!F69,'Project Work'!F69,'Group Work'!F69)</f>
        <v>0</v>
      </c>
      <c r="H68" s="20">
        <f>SUM('Test 1'!G69,'Test 2'!G69,'Project Work'!G69,'Group Work'!G69)</f>
        <v>0</v>
      </c>
      <c r="I68" s="20">
        <f>SUM('Test 1'!H69,'Test 2'!H69,'Project Work'!H69,'Group Work'!H69)</f>
        <v>0</v>
      </c>
      <c r="J68" s="20">
        <f>SUM('Test 1'!I69,'Test 2'!I69,'Project Work'!I69,'Group Work'!I69)</f>
        <v>0</v>
      </c>
      <c r="K68" s="20">
        <f>SUM('Test 1'!J69,'Test 2'!J69,'Project Work'!J69,'Group Work'!J69)</f>
        <v>0</v>
      </c>
      <c r="L68" s="20">
        <f>SUM('Test 1'!K69,'Test 2'!K69,'Project Work'!K69,'Group Work'!K69)</f>
        <v>0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15"/>
        <v>0</v>
      </c>
      <c r="R68">
        <f t="shared" si="16"/>
        <v>0</v>
      </c>
      <c r="S68">
        <f t="shared" si="17"/>
        <v>0</v>
      </c>
      <c r="T68">
        <f t="shared" si="18"/>
        <v>0</v>
      </c>
      <c r="U68">
        <f t="shared" si="19"/>
        <v>0</v>
      </c>
      <c r="V68">
        <f t="shared" si="20"/>
        <v>0</v>
      </c>
    </row>
    <row r="69" spans="1:22" ht="15.75" x14ac:dyDescent="0.25">
      <c r="A69" s="5">
        <f>Student!A69</f>
        <v>0</v>
      </c>
      <c r="B69" s="21">
        <f>Student!B69</f>
        <v>0</v>
      </c>
      <c r="C69" s="20">
        <f>SUM('Test 1'!B70,'Test 2'!B70,'Project Work'!B70,'Group Work'!B70)</f>
        <v>0</v>
      </c>
      <c r="D69" s="20">
        <f>SUM('Test 1'!C70,'Test 2'!C70,'Project Work'!C70,'Group Work'!C70)</f>
        <v>0</v>
      </c>
      <c r="E69" s="20">
        <f>SUM('Test 1'!D70,'Test 2'!D70,'Project Work'!D70,'Group Work'!D70)</f>
        <v>0</v>
      </c>
      <c r="F69" s="20">
        <f>SUM('Test 1'!E70,'Test 2'!E70,'Project Work'!E70,'Group Work'!E70)</f>
        <v>0</v>
      </c>
      <c r="G69" s="20">
        <f>SUM('Test 1'!F70,'Test 2'!F70,'Project Work'!F70,'Group Work'!F70)</f>
        <v>0</v>
      </c>
      <c r="H69" s="20">
        <f>SUM('Test 1'!G70,'Test 2'!G70,'Project Work'!G70,'Group Work'!G70)</f>
        <v>0</v>
      </c>
      <c r="I69" s="20">
        <f>SUM('Test 1'!H70,'Test 2'!H70,'Project Work'!H70,'Group Work'!H70)</f>
        <v>0</v>
      </c>
      <c r="J69" s="20">
        <f>SUM('Test 1'!I70,'Test 2'!I70,'Project Work'!I70,'Group Work'!I70)</f>
        <v>0</v>
      </c>
      <c r="K69" s="20">
        <f>SUM('Test 1'!J70,'Test 2'!J70,'Project Work'!J70,'Group Work'!J70)</f>
        <v>0</v>
      </c>
      <c r="L69" s="20">
        <f>SUM('Test 1'!K70,'Test 2'!K70,'Project Work'!K70,'Group Work'!K70)</f>
        <v>0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15"/>
        <v>0</v>
      </c>
      <c r="R69">
        <f t="shared" si="16"/>
        <v>0</v>
      </c>
      <c r="S69">
        <f t="shared" si="17"/>
        <v>0</v>
      </c>
      <c r="T69">
        <f t="shared" si="18"/>
        <v>0</v>
      </c>
      <c r="U69">
        <f t="shared" si="19"/>
        <v>0</v>
      </c>
      <c r="V69">
        <f t="shared" si="20"/>
        <v>0</v>
      </c>
    </row>
    <row r="70" spans="1:22" ht="15.75" x14ac:dyDescent="0.25">
      <c r="A70" s="5">
        <f>Student!A70</f>
        <v>0</v>
      </c>
      <c r="B70" s="21">
        <f>Student!B70</f>
        <v>0</v>
      </c>
      <c r="C70" s="20">
        <f>SUM('Test 1'!B71,'Test 2'!B71,'Project Work'!B71,'Group Work'!B71)</f>
        <v>0</v>
      </c>
      <c r="D70" s="20">
        <f>SUM('Test 1'!C71,'Test 2'!C71,'Project Work'!C71,'Group Work'!C71)</f>
        <v>0</v>
      </c>
      <c r="E70" s="20">
        <f>SUM('Test 1'!D71,'Test 2'!D71,'Project Work'!D71,'Group Work'!D71)</f>
        <v>0</v>
      </c>
      <c r="F70" s="20">
        <f>SUM('Test 1'!E71,'Test 2'!E71,'Project Work'!E71,'Group Work'!E71)</f>
        <v>0</v>
      </c>
      <c r="G70" s="20">
        <f>SUM('Test 1'!F71,'Test 2'!F71,'Project Work'!F71,'Group Work'!F71)</f>
        <v>0</v>
      </c>
      <c r="H70" s="20">
        <f>SUM('Test 1'!G71,'Test 2'!G71,'Project Work'!G71,'Group Work'!G71)</f>
        <v>0</v>
      </c>
      <c r="I70" s="20">
        <f>SUM('Test 1'!H71,'Test 2'!H71,'Project Work'!H71,'Group Work'!H71)</f>
        <v>0</v>
      </c>
      <c r="J70" s="20">
        <f>SUM('Test 1'!I71,'Test 2'!I71,'Project Work'!I71,'Group Work'!I71)</f>
        <v>0</v>
      </c>
      <c r="K70" s="20">
        <f>SUM('Test 1'!J71,'Test 2'!J71,'Project Work'!J71,'Group Work'!J71)</f>
        <v>0</v>
      </c>
      <c r="L70" s="20">
        <f>SUM('Test 1'!K71,'Test 2'!K71,'Project Work'!K71,'Group Work'!K71)</f>
        <v>0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15"/>
        <v>0</v>
      </c>
      <c r="R70">
        <f t="shared" si="16"/>
        <v>0</v>
      </c>
      <c r="S70">
        <f t="shared" si="17"/>
        <v>0</v>
      </c>
      <c r="T70">
        <f t="shared" si="18"/>
        <v>0</v>
      </c>
      <c r="U70">
        <f t="shared" si="19"/>
        <v>0</v>
      </c>
      <c r="V70">
        <f t="shared" si="20"/>
        <v>0</v>
      </c>
    </row>
    <row r="71" spans="1:22" ht="15.75" x14ac:dyDescent="0.25">
      <c r="A71" s="5">
        <f>Student!A71</f>
        <v>0</v>
      </c>
      <c r="B71" s="21">
        <f>Student!B71</f>
        <v>0</v>
      </c>
      <c r="C71" s="20">
        <f>SUM('Test 1'!B72,'Test 2'!B72,'Project Work'!B72,'Group Work'!B72)</f>
        <v>0</v>
      </c>
      <c r="D71" s="20">
        <f>SUM('Test 1'!C72,'Test 2'!C72,'Project Work'!C72,'Group Work'!C72)</f>
        <v>0</v>
      </c>
      <c r="E71" s="20">
        <f>SUM('Test 1'!D72,'Test 2'!D72,'Project Work'!D72,'Group Work'!D72)</f>
        <v>0</v>
      </c>
      <c r="F71" s="20">
        <f>SUM('Test 1'!E72,'Test 2'!E72,'Project Work'!E72,'Group Work'!E72)</f>
        <v>0</v>
      </c>
      <c r="G71" s="20">
        <f>SUM('Test 1'!F72,'Test 2'!F72,'Project Work'!F72,'Group Work'!F72)</f>
        <v>0</v>
      </c>
      <c r="H71" s="20">
        <f>SUM('Test 1'!G72,'Test 2'!G72,'Project Work'!G72,'Group Work'!G72)</f>
        <v>0</v>
      </c>
      <c r="I71" s="20">
        <f>SUM('Test 1'!H72,'Test 2'!H72,'Project Work'!H72,'Group Work'!H72)</f>
        <v>0</v>
      </c>
      <c r="J71" s="20">
        <f>SUM('Test 1'!I72,'Test 2'!I72,'Project Work'!I72,'Group Work'!I72)</f>
        <v>0</v>
      </c>
      <c r="K71" s="20">
        <f>SUM('Test 1'!J72,'Test 2'!J72,'Project Work'!J72,'Group Work'!J72)</f>
        <v>0</v>
      </c>
      <c r="L71" s="20">
        <f>SUM('Test 1'!K72,'Test 2'!K72,'Project Work'!K72,'Group Work'!K72)</f>
        <v>0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15"/>
        <v>0</v>
      </c>
      <c r="R71">
        <f t="shared" si="16"/>
        <v>0</v>
      </c>
      <c r="S71">
        <f t="shared" si="17"/>
        <v>0</v>
      </c>
      <c r="T71">
        <f t="shared" si="18"/>
        <v>0</v>
      </c>
      <c r="U71">
        <f t="shared" si="19"/>
        <v>0</v>
      </c>
      <c r="V71">
        <f t="shared" si="20"/>
        <v>0</v>
      </c>
    </row>
    <row r="72" spans="1:22" ht="15.75" x14ac:dyDescent="0.25">
      <c r="A72" s="5">
        <f>Student!A72</f>
        <v>0</v>
      </c>
      <c r="B72" s="21">
        <f>Student!B72</f>
        <v>0</v>
      </c>
      <c r="C72" s="20">
        <f>SUM('Test 1'!B73,'Test 2'!B73,'Project Work'!B73,'Group Work'!B73)</f>
        <v>0</v>
      </c>
      <c r="D72" s="20">
        <f>SUM('Test 1'!C73,'Test 2'!C73,'Project Work'!C73,'Group Work'!C73)</f>
        <v>0</v>
      </c>
      <c r="E72" s="20">
        <f>SUM('Test 1'!D73,'Test 2'!D73,'Project Work'!D73,'Group Work'!D73)</f>
        <v>0</v>
      </c>
      <c r="F72" s="20">
        <f>SUM('Test 1'!E73,'Test 2'!E73,'Project Work'!E73,'Group Work'!E73)</f>
        <v>0</v>
      </c>
      <c r="G72" s="20">
        <f>SUM('Test 1'!F73,'Test 2'!F73,'Project Work'!F73,'Group Work'!F73)</f>
        <v>0</v>
      </c>
      <c r="H72" s="20">
        <f>SUM('Test 1'!G73,'Test 2'!G73,'Project Work'!G73,'Group Work'!G73)</f>
        <v>0</v>
      </c>
      <c r="I72" s="20">
        <f>SUM('Test 1'!H73,'Test 2'!H73,'Project Work'!H73,'Group Work'!H73)</f>
        <v>0</v>
      </c>
      <c r="J72" s="20">
        <f>SUM('Test 1'!I73,'Test 2'!I73,'Project Work'!I73,'Group Work'!I73)</f>
        <v>0</v>
      </c>
      <c r="K72" s="20">
        <f>SUM('Test 1'!J73,'Test 2'!J73,'Project Work'!J73,'Group Work'!J73)</f>
        <v>0</v>
      </c>
      <c r="L72" s="20">
        <f>SUM('Test 1'!K73,'Test 2'!K73,'Project Work'!K73,'Group Work'!K73)</f>
        <v>0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15"/>
        <v>0</v>
      </c>
      <c r="R72">
        <f t="shared" si="16"/>
        <v>0</v>
      </c>
      <c r="S72">
        <f t="shared" si="17"/>
        <v>0</v>
      </c>
      <c r="T72">
        <f t="shared" si="18"/>
        <v>0</v>
      </c>
      <c r="U72">
        <f t="shared" si="19"/>
        <v>0</v>
      </c>
      <c r="V72">
        <f t="shared" si="20"/>
        <v>0</v>
      </c>
    </row>
    <row r="73" spans="1:22" ht="15.75" x14ac:dyDescent="0.25">
      <c r="A73" s="5">
        <f>Student!A73</f>
        <v>0</v>
      </c>
      <c r="B73" s="21">
        <f>Student!B73</f>
        <v>0</v>
      </c>
      <c r="C73" s="20">
        <f>SUM('Test 1'!B74,'Test 2'!B74,'Project Work'!B74,'Group Work'!B74)</f>
        <v>0</v>
      </c>
      <c r="D73" s="20">
        <f>SUM('Test 1'!C74,'Test 2'!C74,'Project Work'!C74,'Group Work'!C74)</f>
        <v>0</v>
      </c>
      <c r="E73" s="20">
        <f>SUM('Test 1'!D74,'Test 2'!D74,'Project Work'!D74,'Group Work'!D74)</f>
        <v>0</v>
      </c>
      <c r="F73" s="20">
        <f>SUM('Test 1'!E74,'Test 2'!E74,'Project Work'!E74,'Group Work'!E74)</f>
        <v>0</v>
      </c>
      <c r="G73" s="20">
        <f>SUM('Test 1'!F74,'Test 2'!F74,'Project Work'!F74,'Group Work'!F74)</f>
        <v>0</v>
      </c>
      <c r="H73" s="20">
        <f>SUM('Test 1'!G74,'Test 2'!G74,'Project Work'!G74,'Group Work'!G74)</f>
        <v>0</v>
      </c>
      <c r="I73" s="20">
        <f>SUM('Test 1'!H74,'Test 2'!H74,'Project Work'!H74,'Group Work'!H74)</f>
        <v>0</v>
      </c>
      <c r="J73" s="20">
        <f>SUM('Test 1'!I74,'Test 2'!I74,'Project Work'!I74,'Group Work'!I74)</f>
        <v>0</v>
      </c>
      <c r="K73" s="20">
        <f>SUM('Test 1'!J74,'Test 2'!J74,'Project Work'!J74,'Group Work'!J74)</f>
        <v>0</v>
      </c>
      <c r="L73" s="20">
        <f>SUM('Test 1'!K74,'Test 2'!K74,'Project Work'!K74,'Group Work'!K74)</f>
        <v>0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15"/>
        <v>0</v>
      </c>
      <c r="R73">
        <f t="shared" si="16"/>
        <v>0</v>
      </c>
      <c r="S73">
        <f t="shared" si="17"/>
        <v>0</v>
      </c>
      <c r="T73">
        <f t="shared" si="18"/>
        <v>0</v>
      </c>
      <c r="U73">
        <f t="shared" si="19"/>
        <v>0</v>
      </c>
      <c r="V73">
        <f t="shared" si="20"/>
        <v>0</v>
      </c>
    </row>
    <row r="74" spans="1:22" ht="15.75" x14ac:dyDescent="0.25">
      <c r="A74" s="5">
        <f>Student!A74</f>
        <v>0</v>
      </c>
      <c r="B74" s="21">
        <f>Student!B74</f>
        <v>0</v>
      </c>
      <c r="C74" s="20">
        <f>SUM('Test 1'!B75,'Test 2'!B75,'Project Work'!B75,'Group Work'!B75)</f>
        <v>0</v>
      </c>
      <c r="D74" s="20">
        <f>SUM('Test 1'!C75,'Test 2'!C75,'Project Work'!C75,'Group Work'!C75)</f>
        <v>0</v>
      </c>
      <c r="E74" s="20">
        <f>SUM('Test 1'!D75,'Test 2'!D75,'Project Work'!D75,'Group Work'!D75)</f>
        <v>0</v>
      </c>
      <c r="F74" s="20">
        <f>SUM('Test 1'!E75,'Test 2'!E75,'Project Work'!E75,'Group Work'!E75)</f>
        <v>0</v>
      </c>
      <c r="G74" s="20">
        <f>SUM('Test 1'!F75,'Test 2'!F75,'Project Work'!F75,'Group Work'!F75)</f>
        <v>0</v>
      </c>
      <c r="H74" s="20">
        <f>SUM('Test 1'!G75,'Test 2'!G75,'Project Work'!G75,'Group Work'!G75)</f>
        <v>0</v>
      </c>
      <c r="I74" s="20">
        <f>SUM('Test 1'!H75,'Test 2'!H75,'Project Work'!H75,'Group Work'!H75)</f>
        <v>0</v>
      </c>
      <c r="J74" s="20">
        <f>SUM('Test 1'!I75,'Test 2'!I75,'Project Work'!I75,'Group Work'!I75)</f>
        <v>0</v>
      </c>
      <c r="K74" s="20">
        <f>SUM('Test 1'!J75,'Test 2'!J75,'Project Work'!J75,'Group Work'!J75)</f>
        <v>0</v>
      </c>
      <c r="L74" s="20">
        <f>SUM('Test 1'!K75,'Test 2'!K75,'Project Work'!K75,'Group Work'!K75)</f>
        <v>0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15"/>
        <v>0</v>
      </c>
      <c r="R74">
        <f t="shared" si="16"/>
        <v>0</v>
      </c>
      <c r="S74">
        <f t="shared" si="17"/>
        <v>0</v>
      </c>
      <c r="T74">
        <f t="shared" si="18"/>
        <v>0</v>
      </c>
      <c r="U74">
        <f t="shared" si="19"/>
        <v>0</v>
      </c>
      <c r="V74">
        <f t="shared" si="20"/>
        <v>0</v>
      </c>
    </row>
    <row r="75" spans="1:22" ht="15.75" x14ac:dyDescent="0.25">
      <c r="A75" s="5">
        <f>Student!A75</f>
        <v>0</v>
      </c>
      <c r="B75" s="21">
        <f>Student!B75</f>
        <v>0</v>
      </c>
      <c r="C75" s="20">
        <f>SUM('Test 1'!B76,'Test 2'!B76,'Project Work'!B76,'Group Work'!B76)</f>
        <v>0</v>
      </c>
      <c r="D75" s="20">
        <f>SUM('Test 1'!C76,'Test 2'!C76,'Project Work'!C76,'Group Work'!C76)</f>
        <v>0</v>
      </c>
      <c r="E75" s="20">
        <f>SUM('Test 1'!D76,'Test 2'!D76,'Project Work'!D76,'Group Work'!D76)</f>
        <v>0</v>
      </c>
      <c r="F75" s="20">
        <f>SUM('Test 1'!E76,'Test 2'!E76,'Project Work'!E76,'Group Work'!E76)</f>
        <v>0</v>
      </c>
      <c r="G75" s="20">
        <f>SUM('Test 1'!F76,'Test 2'!F76,'Project Work'!F76,'Group Work'!F76)</f>
        <v>0</v>
      </c>
      <c r="H75" s="20">
        <f>SUM('Test 1'!G76,'Test 2'!G76,'Project Work'!G76,'Group Work'!G76)</f>
        <v>0</v>
      </c>
      <c r="I75" s="20">
        <f>SUM('Test 1'!H76,'Test 2'!H76,'Project Work'!H76,'Group Work'!H76)</f>
        <v>0</v>
      </c>
      <c r="J75" s="20">
        <f>SUM('Test 1'!I76,'Test 2'!I76,'Project Work'!I76,'Group Work'!I76)</f>
        <v>0</v>
      </c>
      <c r="K75" s="20">
        <f>SUM('Test 1'!J76,'Test 2'!J76,'Project Work'!J76,'Group Work'!J76)</f>
        <v>0</v>
      </c>
      <c r="L75" s="20">
        <f>SUM('Test 1'!K76,'Test 2'!K76,'Project Work'!K76,'Group Work'!K76)</f>
        <v>0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15"/>
        <v>0</v>
      </c>
      <c r="R75">
        <f t="shared" si="16"/>
        <v>0</v>
      </c>
      <c r="S75">
        <f t="shared" si="17"/>
        <v>0</v>
      </c>
      <c r="T75">
        <f t="shared" si="18"/>
        <v>0</v>
      </c>
      <c r="U75">
        <f t="shared" si="19"/>
        <v>0</v>
      </c>
      <c r="V75">
        <f t="shared" si="20"/>
        <v>0</v>
      </c>
    </row>
    <row r="76" spans="1:22" ht="15.75" x14ac:dyDescent="0.25">
      <c r="A76" s="5">
        <f>Student!A76</f>
        <v>0</v>
      </c>
      <c r="B76" s="21">
        <f>Student!B76</f>
        <v>0</v>
      </c>
      <c r="C76" s="20">
        <f>SUM('Test 1'!B77,'Test 2'!B77,'Project Work'!B77,'Group Work'!B77)</f>
        <v>0</v>
      </c>
      <c r="D76" s="20">
        <f>SUM('Test 1'!C77,'Test 2'!C77,'Project Work'!C77,'Group Work'!C77)</f>
        <v>0</v>
      </c>
      <c r="E76" s="20">
        <f>SUM('Test 1'!D77,'Test 2'!D77,'Project Work'!D77,'Group Work'!D77)</f>
        <v>0</v>
      </c>
      <c r="F76" s="20">
        <f>SUM('Test 1'!E77,'Test 2'!E77,'Project Work'!E77,'Group Work'!E77)</f>
        <v>0</v>
      </c>
      <c r="G76" s="20">
        <f>SUM('Test 1'!F77,'Test 2'!F77,'Project Work'!F77,'Group Work'!F77)</f>
        <v>0</v>
      </c>
      <c r="H76" s="20">
        <f>SUM('Test 1'!G77,'Test 2'!G77,'Project Work'!G77,'Group Work'!G77)</f>
        <v>0</v>
      </c>
      <c r="I76" s="20">
        <f>SUM('Test 1'!H77,'Test 2'!H77,'Project Work'!H77,'Group Work'!H77)</f>
        <v>0</v>
      </c>
      <c r="J76" s="20">
        <f>SUM('Test 1'!I77,'Test 2'!I77,'Project Work'!I77,'Group Work'!I77)</f>
        <v>0</v>
      </c>
      <c r="K76" s="20">
        <f>SUM('Test 1'!J77,'Test 2'!J77,'Project Work'!J77,'Group Work'!J77)</f>
        <v>0</v>
      </c>
      <c r="L76" s="20">
        <f>SUM('Test 1'!K77,'Test 2'!K77,'Project Work'!K77,'Group Work'!K77)</f>
        <v>0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15"/>
        <v>0</v>
      </c>
      <c r="R76">
        <f t="shared" si="16"/>
        <v>0</v>
      </c>
      <c r="S76">
        <f t="shared" si="17"/>
        <v>0</v>
      </c>
      <c r="T76">
        <f t="shared" si="18"/>
        <v>0</v>
      </c>
      <c r="U76">
        <f t="shared" si="19"/>
        <v>0</v>
      </c>
      <c r="V76">
        <f t="shared" si="20"/>
        <v>0</v>
      </c>
    </row>
    <row r="77" spans="1:22" ht="15.75" x14ac:dyDescent="0.25">
      <c r="A77" s="5">
        <f>Student!A77</f>
        <v>0</v>
      </c>
      <c r="B77" s="21">
        <f>Student!B77</f>
        <v>0</v>
      </c>
      <c r="C77" s="20">
        <f>SUM('Test 1'!B78,'Test 2'!B78,'Project Work'!B78,'Group Work'!B78)</f>
        <v>0</v>
      </c>
      <c r="D77" s="20">
        <f>SUM('Test 1'!C78,'Test 2'!C78,'Project Work'!C78,'Group Work'!C78)</f>
        <v>0</v>
      </c>
      <c r="E77" s="20">
        <f>SUM('Test 1'!D78,'Test 2'!D78,'Project Work'!D78,'Group Work'!D78)</f>
        <v>0</v>
      </c>
      <c r="F77" s="20">
        <f>SUM('Test 1'!E78,'Test 2'!E78,'Project Work'!E78,'Group Work'!E78)</f>
        <v>0</v>
      </c>
      <c r="G77" s="20">
        <f>SUM('Test 1'!F78,'Test 2'!F78,'Project Work'!F78,'Group Work'!F78)</f>
        <v>0</v>
      </c>
      <c r="H77" s="20">
        <f>SUM('Test 1'!G78,'Test 2'!G78,'Project Work'!G78,'Group Work'!G78)</f>
        <v>0</v>
      </c>
      <c r="I77" s="20">
        <f>SUM('Test 1'!H78,'Test 2'!H78,'Project Work'!H78,'Group Work'!H78)</f>
        <v>0</v>
      </c>
      <c r="J77" s="20">
        <f>SUM('Test 1'!I78,'Test 2'!I78,'Project Work'!I78,'Group Work'!I78)</f>
        <v>0</v>
      </c>
      <c r="K77" s="20">
        <f>SUM('Test 1'!J78,'Test 2'!J78,'Project Work'!J78,'Group Work'!J78)</f>
        <v>0</v>
      </c>
      <c r="L77" s="20">
        <f>SUM('Test 1'!K78,'Test 2'!K78,'Project Work'!K78,'Group Work'!K78)</f>
        <v>0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15"/>
        <v>0</v>
      </c>
      <c r="R77">
        <f t="shared" si="16"/>
        <v>0</v>
      </c>
      <c r="S77">
        <f t="shared" si="17"/>
        <v>0</v>
      </c>
      <c r="T77">
        <f t="shared" si="18"/>
        <v>0</v>
      </c>
      <c r="U77">
        <f t="shared" si="19"/>
        <v>0</v>
      </c>
      <c r="V77">
        <f t="shared" si="20"/>
        <v>0</v>
      </c>
    </row>
    <row r="78" spans="1:22" ht="15.75" x14ac:dyDescent="0.25">
      <c r="A78" s="5">
        <f>Student!A78</f>
        <v>0</v>
      </c>
      <c r="B78" s="21">
        <f>Student!B78</f>
        <v>0</v>
      </c>
      <c r="C78" s="20">
        <f>SUM('Test 1'!B79,'Test 2'!B79,'Project Work'!B79,'Group Work'!B79)</f>
        <v>0</v>
      </c>
      <c r="D78" s="20">
        <f>SUM('Test 1'!C79,'Test 2'!C79,'Project Work'!C79,'Group Work'!C79)</f>
        <v>0</v>
      </c>
      <c r="E78" s="20">
        <f>SUM('Test 1'!D79,'Test 2'!D79,'Project Work'!D79,'Group Work'!D79)</f>
        <v>0</v>
      </c>
      <c r="F78" s="20">
        <f>SUM('Test 1'!E79,'Test 2'!E79,'Project Work'!E79,'Group Work'!E79)</f>
        <v>0</v>
      </c>
      <c r="G78" s="20">
        <f>SUM('Test 1'!F79,'Test 2'!F79,'Project Work'!F79,'Group Work'!F79)</f>
        <v>0</v>
      </c>
      <c r="H78" s="20">
        <f>SUM('Test 1'!G79,'Test 2'!G79,'Project Work'!G79,'Group Work'!G79)</f>
        <v>0</v>
      </c>
      <c r="I78" s="20">
        <f>SUM('Test 1'!H79,'Test 2'!H79,'Project Work'!H79,'Group Work'!H79)</f>
        <v>0</v>
      </c>
      <c r="J78" s="20">
        <f>SUM('Test 1'!I79,'Test 2'!I79,'Project Work'!I79,'Group Work'!I79)</f>
        <v>0</v>
      </c>
      <c r="K78" s="20">
        <f>SUM('Test 1'!J79,'Test 2'!J79,'Project Work'!J79,'Group Work'!J79)</f>
        <v>0</v>
      </c>
      <c r="L78" s="20">
        <f>SUM('Test 1'!K79,'Test 2'!K79,'Project Work'!K79,'Group Work'!K79)</f>
        <v>0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15"/>
        <v>0</v>
      </c>
      <c r="R78">
        <f t="shared" si="16"/>
        <v>0</v>
      </c>
      <c r="S78">
        <f t="shared" si="17"/>
        <v>0</v>
      </c>
      <c r="T78">
        <f t="shared" si="18"/>
        <v>0</v>
      </c>
      <c r="U78">
        <f t="shared" si="19"/>
        <v>0</v>
      </c>
      <c r="V78">
        <f t="shared" si="20"/>
        <v>0</v>
      </c>
    </row>
    <row r="79" spans="1:22" ht="15.75" x14ac:dyDescent="0.25">
      <c r="A79" s="5">
        <f>Student!A79</f>
        <v>0</v>
      </c>
      <c r="B79" s="21">
        <f>Student!B79</f>
        <v>0</v>
      </c>
      <c r="C79" s="20">
        <f>SUM('Test 1'!B80,'Test 2'!B80,'Project Work'!B80,'Group Work'!B80)</f>
        <v>0</v>
      </c>
      <c r="D79" s="20">
        <f>SUM('Test 1'!C80,'Test 2'!C80,'Project Work'!C80,'Group Work'!C80)</f>
        <v>0</v>
      </c>
      <c r="E79" s="20">
        <f>SUM('Test 1'!D80,'Test 2'!D80,'Project Work'!D80,'Group Work'!D80)</f>
        <v>0</v>
      </c>
      <c r="F79" s="20">
        <f>SUM('Test 1'!E80,'Test 2'!E80,'Project Work'!E80,'Group Work'!E80)</f>
        <v>0</v>
      </c>
      <c r="G79" s="20">
        <f>SUM('Test 1'!F80,'Test 2'!F80,'Project Work'!F80,'Group Work'!F80)</f>
        <v>0</v>
      </c>
      <c r="H79" s="20">
        <f>SUM('Test 1'!G80,'Test 2'!G80,'Project Work'!G80,'Group Work'!G80)</f>
        <v>0</v>
      </c>
      <c r="I79" s="20">
        <f>SUM('Test 1'!H80,'Test 2'!H80,'Project Work'!H80,'Group Work'!H80)</f>
        <v>0</v>
      </c>
      <c r="J79" s="20">
        <f>SUM('Test 1'!I80,'Test 2'!I80,'Project Work'!I80,'Group Work'!I80)</f>
        <v>0</v>
      </c>
      <c r="K79" s="20">
        <f>SUM('Test 1'!J80,'Test 2'!J80,'Project Work'!J80,'Group Work'!J80)</f>
        <v>0</v>
      </c>
      <c r="L79" s="20">
        <f>SUM('Test 1'!K80,'Test 2'!K80,'Project Work'!K80,'Group Work'!K80)</f>
        <v>0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15"/>
        <v>0</v>
      </c>
      <c r="R79">
        <f t="shared" si="16"/>
        <v>0</v>
      </c>
      <c r="S79">
        <f t="shared" si="17"/>
        <v>0</v>
      </c>
      <c r="T79">
        <f t="shared" si="18"/>
        <v>0</v>
      </c>
      <c r="U79">
        <f t="shared" si="19"/>
        <v>0</v>
      </c>
      <c r="V79">
        <f t="shared" si="20"/>
        <v>0</v>
      </c>
    </row>
    <row r="80" spans="1:22" ht="15.75" x14ac:dyDescent="0.25">
      <c r="A80" s="5">
        <f>Student!A80</f>
        <v>0</v>
      </c>
      <c r="B80" s="21">
        <f>Student!B80</f>
        <v>0</v>
      </c>
      <c r="C80" s="20">
        <f>SUM('Test 1'!B81,'Test 2'!B81,'Project Work'!B81,'Group Work'!B81)</f>
        <v>0</v>
      </c>
      <c r="D80" s="20">
        <f>SUM('Test 1'!C81,'Test 2'!C81,'Project Work'!C81,'Group Work'!C81)</f>
        <v>0</v>
      </c>
      <c r="E80" s="20">
        <f>SUM('Test 1'!D81,'Test 2'!D81,'Project Work'!D81,'Group Work'!D81)</f>
        <v>0</v>
      </c>
      <c r="F80" s="20">
        <f>SUM('Test 1'!E81,'Test 2'!E81,'Project Work'!E81,'Group Work'!E81)</f>
        <v>0</v>
      </c>
      <c r="G80" s="20">
        <f>SUM('Test 1'!F81,'Test 2'!F81,'Project Work'!F81,'Group Work'!F81)</f>
        <v>0</v>
      </c>
      <c r="H80" s="20">
        <f>SUM('Test 1'!G81,'Test 2'!G81,'Project Work'!G81,'Group Work'!G81)</f>
        <v>0</v>
      </c>
      <c r="I80" s="20">
        <f>SUM('Test 1'!H81,'Test 2'!H81,'Project Work'!H81,'Group Work'!H81)</f>
        <v>0</v>
      </c>
      <c r="J80" s="20">
        <f>SUM('Test 1'!I81,'Test 2'!I81,'Project Work'!I81,'Group Work'!I81)</f>
        <v>0</v>
      </c>
      <c r="K80" s="20">
        <f>SUM('Test 1'!J81,'Test 2'!J81,'Project Work'!J81,'Group Work'!J81)</f>
        <v>0</v>
      </c>
      <c r="L80" s="20">
        <f>SUM('Test 1'!K81,'Test 2'!K81,'Project Work'!K81,'Group Work'!K81)</f>
        <v>0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15"/>
        <v>0</v>
      </c>
      <c r="R80">
        <f t="shared" si="16"/>
        <v>0</v>
      </c>
      <c r="S80">
        <f t="shared" si="17"/>
        <v>0</v>
      </c>
      <c r="T80">
        <f t="shared" si="18"/>
        <v>0</v>
      </c>
      <c r="U80">
        <f t="shared" si="19"/>
        <v>0</v>
      </c>
      <c r="V80">
        <f t="shared" si="20"/>
        <v>0</v>
      </c>
    </row>
    <row r="81" spans="1:22" ht="15.75" x14ac:dyDescent="0.25">
      <c r="A81" s="5">
        <f>Student!A81</f>
        <v>0</v>
      </c>
      <c r="B81" s="21">
        <f>Student!B81</f>
        <v>0</v>
      </c>
      <c r="C81" s="20">
        <f>SUM('Test 1'!B82,'Test 2'!B82,'Project Work'!B82,'Group Work'!B82)</f>
        <v>0</v>
      </c>
      <c r="D81" s="20">
        <f>SUM('Test 1'!C82,'Test 2'!C82,'Project Work'!C82,'Group Work'!C82)</f>
        <v>0</v>
      </c>
      <c r="E81" s="20">
        <f>SUM('Test 1'!D82,'Test 2'!D82,'Project Work'!D82,'Group Work'!D82)</f>
        <v>0</v>
      </c>
      <c r="F81" s="20">
        <f>SUM('Test 1'!E82,'Test 2'!E82,'Project Work'!E82,'Group Work'!E82)</f>
        <v>0</v>
      </c>
      <c r="G81" s="20">
        <f>SUM('Test 1'!F82,'Test 2'!F82,'Project Work'!F82,'Group Work'!F82)</f>
        <v>0</v>
      </c>
      <c r="H81" s="20">
        <f>SUM('Test 1'!G82,'Test 2'!G82,'Project Work'!G82,'Group Work'!G82)</f>
        <v>0</v>
      </c>
      <c r="I81" s="20">
        <f>SUM('Test 1'!H82,'Test 2'!H82,'Project Work'!H82,'Group Work'!H82)</f>
        <v>0</v>
      </c>
      <c r="J81" s="20">
        <f>SUM('Test 1'!I82,'Test 2'!I82,'Project Work'!I82,'Group Work'!I82)</f>
        <v>0</v>
      </c>
      <c r="K81" s="20">
        <f>SUM('Test 1'!J82,'Test 2'!J82,'Project Work'!J82,'Group Work'!J82)</f>
        <v>0</v>
      </c>
      <c r="L81" s="20">
        <f>SUM('Test 1'!K82,'Test 2'!K82,'Project Work'!K82,'Group Work'!K82)</f>
        <v>0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15"/>
        <v>0</v>
      </c>
      <c r="R81">
        <f t="shared" si="16"/>
        <v>0</v>
      </c>
      <c r="S81">
        <f t="shared" si="17"/>
        <v>0</v>
      </c>
      <c r="T81">
        <f t="shared" si="18"/>
        <v>0</v>
      </c>
      <c r="U81">
        <f t="shared" si="19"/>
        <v>0</v>
      </c>
      <c r="V81">
        <f t="shared" si="20"/>
        <v>0</v>
      </c>
    </row>
    <row r="82" spans="1:22" ht="15.75" x14ac:dyDescent="0.25">
      <c r="A82" s="5">
        <f>Student!A82</f>
        <v>0</v>
      </c>
      <c r="B82" s="21">
        <f>Student!B82</f>
        <v>0</v>
      </c>
      <c r="C82" s="20">
        <f>SUM('Test 1'!B83,'Test 2'!B83,'Project Work'!B83,'Group Work'!B83)</f>
        <v>0</v>
      </c>
      <c r="D82" s="20">
        <f>SUM('Test 1'!C83,'Test 2'!C83,'Project Work'!C83,'Group Work'!C83)</f>
        <v>0</v>
      </c>
      <c r="E82" s="20">
        <f>SUM('Test 1'!D83,'Test 2'!D83,'Project Work'!D83,'Group Work'!D83)</f>
        <v>0</v>
      </c>
      <c r="F82" s="20">
        <f>SUM('Test 1'!E83,'Test 2'!E83,'Project Work'!E83,'Group Work'!E83)</f>
        <v>0</v>
      </c>
      <c r="G82" s="20">
        <f>SUM('Test 1'!F83,'Test 2'!F83,'Project Work'!F83,'Group Work'!F83)</f>
        <v>0</v>
      </c>
      <c r="H82" s="20">
        <f>SUM('Test 1'!G83,'Test 2'!G83,'Project Work'!G83,'Group Work'!G83)</f>
        <v>0</v>
      </c>
      <c r="I82" s="20">
        <f>SUM('Test 1'!H83,'Test 2'!H83,'Project Work'!H83,'Group Work'!H83)</f>
        <v>0</v>
      </c>
      <c r="J82" s="20">
        <f>SUM('Test 1'!I83,'Test 2'!I83,'Project Work'!I83,'Group Work'!I83)</f>
        <v>0</v>
      </c>
      <c r="K82" s="20">
        <f>SUM('Test 1'!J83,'Test 2'!J83,'Project Work'!J83,'Group Work'!J83)</f>
        <v>0</v>
      </c>
      <c r="L82" s="20">
        <f>SUM('Test 1'!K83,'Test 2'!K83,'Project Work'!K83,'Group Work'!K83)</f>
        <v>0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15"/>
        <v>0</v>
      </c>
      <c r="R82">
        <f t="shared" si="16"/>
        <v>0</v>
      </c>
      <c r="S82">
        <f t="shared" si="17"/>
        <v>0</v>
      </c>
      <c r="T82">
        <f t="shared" si="18"/>
        <v>0</v>
      </c>
      <c r="U82">
        <f t="shared" si="19"/>
        <v>0</v>
      </c>
      <c r="V82">
        <f t="shared" si="20"/>
        <v>0</v>
      </c>
    </row>
    <row r="83" spans="1:22" ht="15.75" x14ac:dyDescent="0.25">
      <c r="A83" s="5">
        <f>Student!A83</f>
        <v>0</v>
      </c>
      <c r="B83" s="21">
        <f>Student!B83</f>
        <v>0</v>
      </c>
      <c r="C83" s="20">
        <f>SUM('Test 1'!B84,'Test 2'!B84,'Project Work'!B84,'Group Work'!B84)</f>
        <v>0</v>
      </c>
      <c r="D83" s="20">
        <f>SUM('Test 1'!C84,'Test 2'!C84,'Project Work'!C84,'Group Work'!C84)</f>
        <v>0</v>
      </c>
      <c r="E83" s="20">
        <f>SUM('Test 1'!D84,'Test 2'!D84,'Project Work'!D84,'Group Work'!D84)</f>
        <v>0</v>
      </c>
      <c r="F83" s="20">
        <f>SUM('Test 1'!E84,'Test 2'!E84,'Project Work'!E84,'Group Work'!E84)</f>
        <v>0</v>
      </c>
      <c r="G83" s="20">
        <f>SUM('Test 1'!F84,'Test 2'!F84,'Project Work'!F84,'Group Work'!F84)</f>
        <v>0</v>
      </c>
      <c r="H83" s="20">
        <f>SUM('Test 1'!G84,'Test 2'!G84,'Project Work'!G84,'Group Work'!G84)</f>
        <v>0</v>
      </c>
      <c r="I83" s="20">
        <f>SUM('Test 1'!H84,'Test 2'!H84,'Project Work'!H84,'Group Work'!H84)</f>
        <v>0</v>
      </c>
      <c r="J83" s="20">
        <f>SUM('Test 1'!I84,'Test 2'!I84,'Project Work'!I84,'Group Work'!I84)</f>
        <v>0</v>
      </c>
      <c r="K83" s="20">
        <f>SUM('Test 1'!J84,'Test 2'!J84,'Project Work'!J84,'Group Work'!J84)</f>
        <v>0</v>
      </c>
      <c r="L83" s="20">
        <f>SUM('Test 1'!K84,'Test 2'!K84,'Project Work'!K84,'Group Work'!K84)</f>
        <v>0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15"/>
        <v>0</v>
      </c>
      <c r="R83">
        <f t="shared" si="16"/>
        <v>0</v>
      </c>
      <c r="S83">
        <f t="shared" si="17"/>
        <v>0</v>
      </c>
      <c r="T83">
        <f t="shared" si="18"/>
        <v>0</v>
      </c>
      <c r="U83">
        <f t="shared" si="19"/>
        <v>0</v>
      </c>
      <c r="V83">
        <f t="shared" si="20"/>
        <v>0</v>
      </c>
    </row>
    <row r="84" spans="1:22" ht="15.75" x14ac:dyDescent="0.25">
      <c r="A84" s="5">
        <f>Student!A84</f>
        <v>0</v>
      </c>
      <c r="B84" s="21">
        <f>Student!B84</f>
        <v>0</v>
      </c>
      <c r="C84" s="20">
        <f>SUM('Test 1'!B85,'Test 2'!B85,'Project Work'!B85,'Group Work'!B85)</f>
        <v>0</v>
      </c>
      <c r="D84" s="20">
        <f>SUM('Test 1'!C85,'Test 2'!C85,'Project Work'!C85,'Group Work'!C85)</f>
        <v>0</v>
      </c>
      <c r="E84" s="20">
        <f>SUM('Test 1'!D85,'Test 2'!D85,'Project Work'!D85,'Group Work'!D85)</f>
        <v>0</v>
      </c>
      <c r="F84" s="20">
        <f>SUM('Test 1'!E85,'Test 2'!E85,'Project Work'!E85,'Group Work'!E85)</f>
        <v>0</v>
      </c>
      <c r="G84" s="20">
        <f>SUM('Test 1'!F85,'Test 2'!F85,'Project Work'!F85,'Group Work'!F85)</f>
        <v>0</v>
      </c>
      <c r="H84" s="20">
        <f>SUM('Test 1'!G85,'Test 2'!G85,'Project Work'!G85,'Group Work'!G85)</f>
        <v>0</v>
      </c>
      <c r="I84" s="20">
        <f>SUM('Test 1'!H85,'Test 2'!H85,'Project Work'!H85,'Group Work'!H85)</f>
        <v>0</v>
      </c>
      <c r="J84" s="20">
        <f>SUM('Test 1'!I85,'Test 2'!I85,'Project Work'!I85,'Group Work'!I85)</f>
        <v>0</v>
      </c>
      <c r="K84" s="20">
        <f>SUM('Test 1'!J85,'Test 2'!J85,'Project Work'!J85,'Group Work'!J85)</f>
        <v>0</v>
      </c>
      <c r="L84" s="20">
        <f>SUM('Test 1'!K85,'Test 2'!K85,'Project Work'!K85,'Group Work'!K85)</f>
        <v>0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15"/>
        <v>0</v>
      </c>
      <c r="R84">
        <f t="shared" si="16"/>
        <v>0</v>
      </c>
      <c r="S84">
        <f t="shared" si="17"/>
        <v>0</v>
      </c>
      <c r="T84">
        <f t="shared" si="18"/>
        <v>0</v>
      </c>
      <c r="U84">
        <f t="shared" si="19"/>
        <v>0</v>
      </c>
      <c r="V84">
        <f t="shared" si="20"/>
        <v>0</v>
      </c>
    </row>
    <row r="85" spans="1:22" ht="15.75" x14ac:dyDescent="0.25">
      <c r="A85" s="5">
        <f>Student!A85</f>
        <v>0</v>
      </c>
      <c r="B85" s="21">
        <f>Student!B85</f>
        <v>0</v>
      </c>
      <c r="C85" s="20">
        <f>SUM('Test 1'!B86,'Test 2'!B86,'Project Work'!B86,'Group Work'!B86)</f>
        <v>0</v>
      </c>
      <c r="D85" s="20">
        <f>SUM('Test 1'!C86,'Test 2'!C86,'Project Work'!C86,'Group Work'!C86)</f>
        <v>0</v>
      </c>
      <c r="E85" s="20">
        <f>SUM('Test 1'!D86,'Test 2'!D86,'Project Work'!D86,'Group Work'!D86)</f>
        <v>0</v>
      </c>
      <c r="F85" s="20">
        <f>SUM('Test 1'!E86,'Test 2'!E86,'Project Work'!E86,'Group Work'!E86)</f>
        <v>0</v>
      </c>
      <c r="G85" s="20">
        <f>SUM('Test 1'!F86,'Test 2'!F86,'Project Work'!F86,'Group Work'!F86)</f>
        <v>0</v>
      </c>
      <c r="H85" s="20">
        <f>SUM('Test 1'!G86,'Test 2'!G86,'Project Work'!G86,'Group Work'!G86)</f>
        <v>0</v>
      </c>
      <c r="I85" s="20">
        <f>SUM('Test 1'!H86,'Test 2'!H86,'Project Work'!H86,'Group Work'!H86)</f>
        <v>0</v>
      </c>
      <c r="J85" s="20">
        <f>SUM('Test 1'!I86,'Test 2'!I86,'Project Work'!I86,'Group Work'!I86)</f>
        <v>0</v>
      </c>
      <c r="K85" s="20">
        <f>SUM('Test 1'!J86,'Test 2'!J86,'Project Work'!J86,'Group Work'!J86)</f>
        <v>0</v>
      </c>
      <c r="L85" s="20">
        <f>SUM('Test 1'!K86,'Test 2'!K86,'Project Work'!K86,'Group Work'!K86)</f>
        <v>0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15"/>
        <v>0</v>
      </c>
      <c r="R85">
        <f t="shared" si="16"/>
        <v>0</v>
      </c>
      <c r="S85">
        <f t="shared" si="17"/>
        <v>0</v>
      </c>
      <c r="T85">
        <f t="shared" si="18"/>
        <v>0</v>
      </c>
      <c r="U85">
        <f t="shared" si="19"/>
        <v>0</v>
      </c>
      <c r="V85">
        <f t="shared" si="20"/>
        <v>0</v>
      </c>
    </row>
    <row r="86" spans="1:22" ht="15.75" x14ac:dyDescent="0.25">
      <c r="A86" s="5">
        <f>Student!A86</f>
        <v>0</v>
      </c>
      <c r="B86" s="21">
        <f>Student!B86</f>
        <v>0</v>
      </c>
      <c r="C86" s="20">
        <f>SUM('Test 1'!B87,'Test 2'!B87,'Project Work'!B87,'Group Work'!B87)</f>
        <v>0</v>
      </c>
      <c r="D86" s="20">
        <f>SUM('Test 1'!C87,'Test 2'!C87,'Project Work'!C87,'Group Work'!C87)</f>
        <v>0</v>
      </c>
      <c r="E86" s="20">
        <f>SUM('Test 1'!D87,'Test 2'!D87,'Project Work'!D87,'Group Work'!D87)</f>
        <v>0</v>
      </c>
      <c r="F86" s="20">
        <f>SUM('Test 1'!E87,'Test 2'!E87,'Project Work'!E87,'Group Work'!E87)</f>
        <v>0</v>
      </c>
      <c r="G86" s="20">
        <f>SUM('Test 1'!F87,'Test 2'!F87,'Project Work'!F87,'Group Work'!F87)</f>
        <v>0</v>
      </c>
      <c r="H86" s="20">
        <f>SUM('Test 1'!G87,'Test 2'!G87,'Project Work'!G87,'Group Work'!G87)</f>
        <v>0</v>
      </c>
      <c r="I86" s="20">
        <f>SUM('Test 1'!H87,'Test 2'!H87,'Project Work'!H87,'Group Work'!H87)</f>
        <v>0</v>
      </c>
      <c r="J86" s="20">
        <f>SUM('Test 1'!I87,'Test 2'!I87,'Project Work'!I87,'Group Work'!I87)</f>
        <v>0</v>
      </c>
      <c r="K86" s="20">
        <f>SUM('Test 1'!J87,'Test 2'!J87,'Project Work'!J87,'Group Work'!J87)</f>
        <v>0</v>
      </c>
      <c r="L86" s="20">
        <f>SUM('Test 1'!K87,'Test 2'!K87,'Project Work'!K87,'Group Work'!K87)</f>
        <v>0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15"/>
        <v>0</v>
      </c>
      <c r="R86">
        <f t="shared" si="16"/>
        <v>0</v>
      </c>
      <c r="S86">
        <f t="shared" si="17"/>
        <v>0</v>
      </c>
      <c r="T86">
        <f t="shared" si="18"/>
        <v>0</v>
      </c>
      <c r="U86">
        <f t="shared" si="19"/>
        <v>0</v>
      </c>
      <c r="V86">
        <f t="shared" si="20"/>
        <v>0</v>
      </c>
    </row>
    <row r="87" spans="1:22" ht="15.75" x14ac:dyDescent="0.25">
      <c r="A87" s="5">
        <f>Student!A87</f>
        <v>0</v>
      </c>
      <c r="B87" s="21">
        <f>Student!B87</f>
        <v>0</v>
      </c>
      <c r="C87" s="20">
        <f>SUM('Test 1'!B88,'Test 2'!B88,'Project Work'!B88,'Group Work'!B88)</f>
        <v>0</v>
      </c>
      <c r="D87" s="20">
        <f>SUM('Test 1'!C88,'Test 2'!C88,'Project Work'!C88,'Group Work'!C88)</f>
        <v>0</v>
      </c>
      <c r="E87" s="20">
        <f>SUM('Test 1'!D88,'Test 2'!D88,'Project Work'!D88,'Group Work'!D88)</f>
        <v>0</v>
      </c>
      <c r="F87" s="20">
        <f>SUM('Test 1'!E88,'Test 2'!E88,'Project Work'!E88,'Group Work'!E88)</f>
        <v>0</v>
      </c>
      <c r="G87" s="20">
        <f>SUM('Test 1'!F88,'Test 2'!F88,'Project Work'!F88,'Group Work'!F88)</f>
        <v>0</v>
      </c>
      <c r="H87" s="20">
        <f>SUM('Test 1'!G88,'Test 2'!G88,'Project Work'!G88,'Group Work'!G88)</f>
        <v>0</v>
      </c>
      <c r="I87" s="20">
        <f>SUM('Test 1'!H88,'Test 2'!H88,'Project Work'!H88,'Group Work'!H88)</f>
        <v>0</v>
      </c>
      <c r="J87" s="20">
        <f>SUM('Test 1'!I88,'Test 2'!I88,'Project Work'!I88,'Group Work'!I88)</f>
        <v>0</v>
      </c>
      <c r="K87" s="20">
        <f>SUM('Test 1'!J88,'Test 2'!J88,'Project Work'!J88,'Group Work'!J88)</f>
        <v>0</v>
      </c>
      <c r="L87" s="20">
        <f>SUM('Test 1'!K88,'Test 2'!K88,'Project Work'!K88,'Group Work'!K88)</f>
        <v>0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15"/>
        <v>0</v>
      </c>
      <c r="R87">
        <f t="shared" si="16"/>
        <v>0</v>
      </c>
      <c r="S87">
        <f t="shared" si="17"/>
        <v>0</v>
      </c>
      <c r="T87">
        <f t="shared" si="18"/>
        <v>0</v>
      </c>
      <c r="U87">
        <f t="shared" si="19"/>
        <v>0</v>
      </c>
      <c r="V87">
        <f t="shared" si="20"/>
        <v>0</v>
      </c>
    </row>
    <row r="88" spans="1:22" ht="15.75" x14ac:dyDescent="0.25">
      <c r="A88" s="5">
        <f>Student!A88</f>
        <v>0</v>
      </c>
      <c r="B88" s="21">
        <f>Student!B88</f>
        <v>0</v>
      </c>
      <c r="C88" s="20">
        <f>SUM('Test 1'!B89,'Test 2'!B89,'Project Work'!B89,'Group Work'!B89)</f>
        <v>0</v>
      </c>
      <c r="D88" s="20">
        <f>SUM('Test 1'!C89,'Test 2'!C89,'Project Work'!C89,'Group Work'!C89)</f>
        <v>0</v>
      </c>
      <c r="E88" s="20">
        <f>SUM('Test 1'!D89,'Test 2'!D89,'Project Work'!D89,'Group Work'!D89)</f>
        <v>0</v>
      </c>
      <c r="F88" s="20">
        <f>SUM('Test 1'!E89,'Test 2'!E89,'Project Work'!E89,'Group Work'!E89)</f>
        <v>0</v>
      </c>
      <c r="G88" s="20">
        <f>SUM('Test 1'!F89,'Test 2'!F89,'Project Work'!F89,'Group Work'!F89)</f>
        <v>0</v>
      </c>
      <c r="H88" s="20">
        <f>SUM('Test 1'!G89,'Test 2'!G89,'Project Work'!G89,'Group Work'!G89)</f>
        <v>0</v>
      </c>
      <c r="I88" s="20">
        <f>SUM('Test 1'!H89,'Test 2'!H89,'Project Work'!H89,'Group Work'!H89)</f>
        <v>0</v>
      </c>
      <c r="J88" s="20">
        <f>SUM('Test 1'!I89,'Test 2'!I89,'Project Work'!I89,'Group Work'!I89)</f>
        <v>0</v>
      </c>
      <c r="K88" s="20">
        <f>SUM('Test 1'!J89,'Test 2'!J89,'Project Work'!J89,'Group Work'!J89)</f>
        <v>0</v>
      </c>
      <c r="L88" s="20">
        <f>SUM('Test 1'!K89,'Test 2'!K89,'Project Work'!K89,'Group Work'!K89)</f>
        <v>0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15"/>
        <v>0</v>
      </c>
      <c r="R88">
        <f t="shared" si="16"/>
        <v>0</v>
      </c>
      <c r="S88">
        <f t="shared" si="17"/>
        <v>0</v>
      </c>
      <c r="T88">
        <f t="shared" si="18"/>
        <v>0</v>
      </c>
      <c r="U88">
        <f t="shared" si="19"/>
        <v>0</v>
      </c>
      <c r="V88">
        <f t="shared" si="20"/>
        <v>0</v>
      </c>
    </row>
    <row r="89" spans="1:22" ht="15.75" x14ac:dyDescent="0.25">
      <c r="A89" s="5">
        <f>Student!A89</f>
        <v>0</v>
      </c>
      <c r="B89" s="21">
        <f>Student!B89</f>
        <v>0</v>
      </c>
      <c r="C89" s="20">
        <f>SUM('Test 1'!B90,'Test 2'!B90,'Project Work'!B90,'Group Work'!B90)</f>
        <v>0</v>
      </c>
      <c r="D89" s="20">
        <f>SUM('Test 1'!C90,'Test 2'!C90,'Project Work'!C90,'Group Work'!C90)</f>
        <v>0</v>
      </c>
      <c r="E89" s="20">
        <f>SUM('Test 1'!D90,'Test 2'!D90,'Project Work'!D90,'Group Work'!D90)</f>
        <v>0</v>
      </c>
      <c r="F89" s="20">
        <f>SUM('Test 1'!E90,'Test 2'!E90,'Project Work'!E90,'Group Work'!E90)</f>
        <v>0</v>
      </c>
      <c r="G89" s="20">
        <f>SUM('Test 1'!F90,'Test 2'!F90,'Project Work'!F90,'Group Work'!F90)</f>
        <v>0</v>
      </c>
      <c r="H89" s="20">
        <f>SUM('Test 1'!G90,'Test 2'!G90,'Project Work'!G90,'Group Work'!G90)</f>
        <v>0</v>
      </c>
      <c r="I89" s="20">
        <f>SUM('Test 1'!H90,'Test 2'!H90,'Project Work'!H90,'Group Work'!H90)</f>
        <v>0</v>
      </c>
      <c r="J89" s="20">
        <f>SUM('Test 1'!I90,'Test 2'!I90,'Project Work'!I90,'Group Work'!I90)</f>
        <v>0</v>
      </c>
      <c r="K89" s="20">
        <f>SUM('Test 1'!J90,'Test 2'!J90,'Project Work'!J90,'Group Work'!J90)</f>
        <v>0</v>
      </c>
      <c r="L89" s="20">
        <f>SUM('Test 1'!K90,'Test 2'!K90,'Project Work'!K90,'Group Work'!K90)</f>
        <v>0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15"/>
        <v>0</v>
      </c>
      <c r="R89">
        <f t="shared" si="16"/>
        <v>0</v>
      </c>
      <c r="S89">
        <f t="shared" si="17"/>
        <v>0</v>
      </c>
      <c r="T89">
        <f t="shared" si="18"/>
        <v>0</v>
      </c>
      <c r="U89">
        <f t="shared" si="19"/>
        <v>0</v>
      </c>
      <c r="V89">
        <f t="shared" si="20"/>
        <v>0</v>
      </c>
    </row>
    <row r="90" spans="1:22" ht="15.75" x14ac:dyDescent="0.25">
      <c r="A90" s="5">
        <f>Student!A90</f>
        <v>0</v>
      </c>
      <c r="B90" s="21">
        <f>Student!B90</f>
        <v>0</v>
      </c>
      <c r="C90" s="20">
        <f>SUM('Test 1'!B91,'Test 2'!B91,'Project Work'!B91,'Group Work'!B91)</f>
        <v>0</v>
      </c>
      <c r="D90" s="20">
        <f>SUM('Test 1'!C91,'Test 2'!C91,'Project Work'!C91,'Group Work'!C91)</f>
        <v>0</v>
      </c>
      <c r="E90" s="20">
        <f>SUM('Test 1'!D91,'Test 2'!D91,'Project Work'!D91,'Group Work'!D91)</f>
        <v>0</v>
      </c>
      <c r="F90" s="20">
        <f>SUM('Test 1'!E91,'Test 2'!E91,'Project Work'!E91,'Group Work'!E91)</f>
        <v>0</v>
      </c>
      <c r="G90" s="20">
        <f>SUM('Test 1'!F91,'Test 2'!F91,'Project Work'!F91,'Group Work'!F91)</f>
        <v>0</v>
      </c>
      <c r="H90" s="20">
        <f>SUM('Test 1'!G91,'Test 2'!G91,'Project Work'!G91,'Group Work'!G91)</f>
        <v>0</v>
      </c>
      <c r="I90" s="20">
        <f>SUM('Test 1'!H91,'Test 2'!H91,'Project Work'!H91,'Group Work'!H91)</f>
        <v>0</v>
      </c>
      <c r="J90" s="20">
        <f>SUM('Test 1'!I91,'Test 2'!I91,'Project Work'!I91,'Group Work'!I91)</f>
        <v>0</v>
      </c>
      <c r="K90" s="20">
        <f>SUM('Test 1'!J91,'Test 2'!J91,'Project Work'!J91,'Group Work'!J91)</f>
        <v>0</v>
      </c>
      <c r="L90" s="20">
        <f>SUM('Test 1'!K91,'Test 2'!K91,'Project Work'!K91,'Group Work'!K91)</f>
        <v>0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15"/>
        <v>0</v>
      </c>
      <c r="R90">
        <f t="shared" si="16"/>
        <v>0</v>
      </c>
      <c r="S90">
        <f t="shared" si="17"/>
        <v>0</v>
      </c>
      <c r="T90">
        <f t="shared" si="18"/>
        <v>0</v>
      </c>
      <c r="U90">
        <f t="shared" si="19"/>
        <v>0</v>
      </c>
      <c r="V90">
        <f t="shared" si="20"/>
        <v>0</v>
      </c>
    </row>
    <row r="91" spans="1:22" ht="15.75" x14ac:dyDescent="0.25">
      <c r="A91" s="5">
        <f>Student!A91</f>
        <v>0</v>
      </c>
      <c r="B91" s="21">
        <f>Student!B91</f>
        <v>0</v>
      </c>
      <c r="C91" s="20">
        <f>SUM('Test 1'!B92,'Test 2'!B92,'Project Work'!B92,'Group Work'!B92)</f>
        <v>0</v>
      </c>
      <c r="D91" s="20">
        <f>SUM('Test 1'!C92,'Test 2'!C92,'Project Work'!C92,'Group Work'!C92)</f>
        <v>0</v>
      </c>
      <c r="E91" s="20">
        <f>SUM('Test 1'!D92,'Test 2'!D92,'Project Work'!D92,'Group Work'!D92)</f>
        <v>0</v>
      </c>
      <c r="F91" s="20">
        <f>SUM('Test 1'!E92,'Test 2'!E92,'Project Work'!E92,'Group Work'!E92)</f>
        <v>0</v>
      </c>
      <c r="G91" s="20">
        <f>SUM('Test 1'!F92,'Test 2'!F92,'Project Work'!F92,'Group Work'!F92)</f>
        <v>0</v>
      </c>
      <c r="H91" s="20">
        <f>SUM('Test 1'!G92,'Test 2'!G92,'Project Work'!G92,'Group Work'!G92)</f>
        <v>0</v>
      </c>
      <c r="I91" s="20">
        <f>SUM('Test 1'!H92,'Test 2'!H92,'Project Work'!H92,'Group Work'!H92)</f>
        <v>0</v>
      </c>
      <c r="J91" s="20">
        <f>SUM('Test 1'!I92,'Test 2'!I92,'Project Work'!I92,'Group Work'!I92)</f>
        <v>0</v>
      </c>
      <c r="K91" s="20">
        <f>SUM('Test 1'!J92,'Test 2'!J92,'Project Work'!J92,'Group Work'!J92)</f>
        <v>0</v>
      </c>
      <c r="L91" s="20">
        <f>SUM('Test 1'!K92,'Test 2'!K92,'Project Work'!K92,'Group Work'!K92)</f>
        <v>0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15"/>
        <v>0</v>
      </c>
      <c r="R91">
        <f t="shared" si="16"/>
        <v>0</v>
      </c>
      <c r="S91">
        <f t="shared" si="17"/>
        <v>0</v>
      </c>
      <c r="T91">
        <f t="shared" si="18"/>
        <v>0</v>
      </c>
      <c r="U91">
        <f t="shared" si="19"/>
        <v>0</v>
      </c>
      <c r="V91">
        <f t="shared" si="20"/>
        <v>0</v>
      </c>
    </row>
    <row r="92" spans="1:22" ht="15.75" x14ac:dyDescent="0.25">
      <c r="A92" s="5">
        <f>Student!A92</f>
        <v>0</v>
      </c>
      <c r="B92" s="21">
        <f>Student!B92</f>
        <v>0</v>
      </c>
      <c r="C92" s="20">
        <f>SUM('Test 1'!B93,'Test 2'!B93,'Project Work'!B93,'Group Work'!B93)</f>
        <v>0</v>
      </c>
      <c r="D92" s="20">
        <f>SUM('Test 1'!C93,'Test 2'!C93,'Project Work'!C93,'Group Work'!C93)</f>
        <v>0</v>
      </c>
      <c r="E92" s="20">
        <f>SUM('Test 1'!D93,'Test 2'!D93,'Project Work'!D93,'Group Work'!D93)</f>
        <v>0</v>
      </c>
      <c r="F92" s="20">
        <f>SUM('Test 1'!E93,'Test 2'!E93,'Project Work'!E93,'Group Work'!E93)</f>
        <v>0</v>
      </c>
      <c r="G92" s="20">
        <f>SUM('Test 1'!F93,'Test 2'!F93,'Project Work'!F93,'Group Work'!F93)</f>
        <v>0</v>
      </c>
      <c r="H92" s="20">
        <f>SUM('Test 1'!G93,'Test 2'!G93,'Project Work'!G93,'Group Work'!G93)</f>
        <v>0</v>
      </c>
      <c r="I92" s="20">
        <f>SUM('Test 1'!H93,'Test 2'!H93,'Project Work'!H93,'Group Work'!H93)</f>
        <v>0</v>
      </c>
      <c r="J92" s="20">
        <f>SUM('Test 1'!I93,'Test 2'!I93,'Project Work'!I93,'Group Work'!I93)</f>
        <v>0</v>
      </c>
      <c r="K92" s="20">
        <f>SUM('Test 1'!J93,'Test 2'!J93,'Project Work'!J93,'Group Work'!J93)</f>
        <v>0</v>
      </c>
      <c r="L92" s="20">
        <f>SUM('Test 1'!K93,'Test 2'!K93,'Project Work'!K93,'Group Work'!K93)</f>
        <v>0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15"/>
        <v>0</v>
      </c>
      <c r="R92">
        <f t="shared" si="16"/>
        <v>0</v>
      </c>
      <c r="S92">
        <f t="shared" si="17"/>
        <v>0</v>
      </c>
      <c r="T92">
        <f t="shared" si="18"/>
        <v>0</v>
      </c>
      <c r="U92">
        <f t="shared" si="19"/>
        <v>0</v>
      </c>
      <c r="V92">
        <f t="shared" si="20"/>
        <v>0</v>
      </c>
    </row>
    <row r="93" spans="1:22" ht="15.75" x14ac:dyDescent="0.25">
      <c r="A93" s="5">
        <f>Student!A93</f>
        <v>0</v>
      </c>
      <c r="B93" s="21">
        <f>Student!B93</f>
        <v>0</v>
      </c>
      <c r="C93" s="20">
        <f>SUM('Test 1'!B94,'Test 2'!B94,'Project Work'!B94,'Group Work'!B94)</f>
        <v>0</v>
      </c>
      <c r="D93" s="20">
        <f>SUM('Test 1'!C94,'Test 2'!C94,'Project Work'!C94,'Group Work'!C94)</f>
        <v>0</v>
      </c>
      <c r="E93" s="20">
        <f>SUM('Test 1'!D94,'Test 2'!D94,'Project Work'!D94,'Group Work'!D94)</f>
        <v>0</v>
      </c>
      <c r="F93" s="20">
        <f>SUM('Test 1'!E94,'Test 2'!E94,'Project Work'!E94,'Group Work'!E94)</f>
        <v>0</v>
      </c>
      <c r="G93" s="20">
        <f>SUM('Test 1'!F94,'Test 2'!F94,'Project Work'!F94,'Group Work'!F94)</f>
        <v>0</v>
      </c>
      <c r="H93" s="20">
        <f>SUM('Test 1'!G94,'Test 2'!G94,'Project Work'!G94,'Group Work'!G94)</f>
        <v>0</v>
      </c>
      <c r="I93" s="20">
        <f>SUM('Test 1'!H94,'Test 2'!H94,'Project Work'!H94,'Group Work'!H94)</f>
        <v>0</v>
      </c>
      <c r="J93" s="20">
        <f>SUM('Test 1'!I94,'Test 2'!I94,'Project Work'!I94,'Group Work'!I94)</f>
        <v>0</v>
      </c>
      <c r="K93" s="20">
        <f>SUM('Test 1'!J94,'Test 2'!J94,'Project Work'!J94,'Group Work'!J94)</f>
        <v>0</v>
      </c>
      <c r="L93" s="20">
        <f>SUM('Test 1'!K94,'Test 2'!K94,'Project Work'!K94,'Group Work'!K94)</f>
        <v>0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15"/>
        <v>0</v>
      </c>
      <c r="R93">
        <f t="shared" si="16"/>
        <v>0</v>
      </c>
      <c r="S93">
        <f t="shared" si="17"/>
        <v>0</v>
      </c>
      <c r="T93">
        <f t="shared" si="18"/>
        <v>0</v>
      </c>
      <c r="U93">
        <f t="shared" si="19"/>
        <v>0</v>
      </c>
      <c r="V93">
        <f t="shared" si="20"/>
        <v>0</v>
      </c>
    </row>
    <row r="94" spans="1:22" ht="15.75" x14ac:dyDescent="0.25">
      <c r="A94" s="5">
        <f>Student!A94</f>
        <v>0</v>
      </c>
      <c r="B94" s="21">
        <f>Student!B94</f>
        <v>0</v>
      </c>
      <c r="C94" s="20">
        <f>SUM('Test 1'!B95,'Test 2'!B95,'Project Work'!B95,'Group Work'!B95)</f>
        <v>0</v>
      </c>
      <c r="D94" s="20">
        <f>SUM('Test 1'!C95,'Test 2'!C95,'Project Work'!C95,'Group Work'!C95)</f>
        <v>0</v>
      </c>
      <c r="E94" s="20">
        <f>SUM('Test 1'!D95,'Test 2'!D95,'Project Work'!D95,'Group Work'!D95)</f>
        <v>0</v>
      </c>
      <c r="F94" s="20">
        <f>SUM('Test 1'!E95,'Test 2'!E95,'Project Work'!E95,'Group Work'!E95)</f>
        <v>0</v>
      </c>
      <c r="G94" s="20">
        <f>SUM('Test 1'!F95,'Test 2'!F95,'Project Work'!F95,'Group Work'!F95)</f>
        <v>0</v>
      </c>
      <c r="H94" s="20">
        <f>SUM('Test 1'!G95,'Test 2'!G95,'Project Work'!G95,'Group Work'!G95)</f>
        <v>0</v>
      </c>
      <c r="I94" s="20">
        <f>SUM('Test 1'!H95,'Test 2'!H95,'Project Work'!H95,'Group Work'!H95)</f>
        <v>0</v>
      </c>
      <c r="J94" s="20">
        <f>SUM('Test 1'!I95,'Test 2'!I95,'Project Work'!I95,'Group Work'!I95)</f>
        <v>0</v>
      </c>
      <c r="K94" s="20">
        <f>SUM('Test 1'!J95,'Test 2'!J95,'Project Work'!J95,'Group Work'!J95)</f>
        <v>0</v>
      </c>
      <c r="L94" s="20">
        <f>SUM('Test 1'!K95,'Test 2'!K95,'Project Work'!K95,'Group Work'!K95)</f>
        <v>0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15"/>
        <v>0</v>
      </c>
      <c r="R94">
        <f t="shared" si="16"/>
        <v>0</v>
      </c>
      <c r="S94">
        <f t="shared" si="17"/>
        <v>0</v>
      </c>
      <c r="T94">
        <f t="shared" si="18"/>
        <v>0</v>
      </c>
      <c r="U94">
        <f t="shared" si="19"/>
        <v>0</v>
      </c>
      <c r="V94">
        <f t="shared" si="20"/>
        <v>0</v>
      </c>
    </row>
    <row r="95" spans="1:22" ht="15.75" x14ac:dyDescent="0.25">
      <c r="A95" s="5">
        <f>Student!A95</f>
        <v>0</v>
      </c>
      <c r="B95" s="21">
        <f>Student!B95</f>
        <v>0</v>
      </c>
      <c r="C95" s="20">
        <f>SUM('Test 1'!B96,'Test 2'!B96,'Project Work'!B96,'Group Work'!B96)</f>
        <v>0</v>
      </c>
      <c r="D95" s="20">
        <f>SUM('Test 1'!C96,'Test 2'!C96,'Project Work'!C96,'Group Work'!C96)</f>
        <v>0</v>
      </c>
      <c r="E95" s="20">
        <f>SUM('Test 1'!D96,'Test 2'!D96,'Project Work'!D96,'Group Work'!D96)</f>
        <v>0</v>
      </c>
      <c r="F95" s="20">
        <f>SUM('Test 1'!E96,'Test 2'!E96,'Project Work'!E96,'Group Work'!E96)</f>
        <v>0</v>
      </c>
      <c r="G95" s="20">
        <f>SUM('Test 1'!F96,'Test 2'!F96,'Project Work'!F96,'Group Work'!F96)</f>
        <v>0</v>
      </c>
      <c r="H95" s="20">
        <f>SUM('Test 1'!G96,'Test 2'!G96,'Project Work'!G96,'Group Work'!G96)</f>
        <v>0</v>
      </c>
      <c r="I95" s="20">
        <f>SUM('Test 1'!H96,'Test 2'!H96,'Project Work'!H96,'Group Work'!H96)</f>
        <v>0</v>
      </c>
      <c r="J95" s="20">
        <f>SUM('Test 1'!I96,'Test 2'!I96,'Project Work'!I96,'Group Work'!I96)</f>
        <v>0</v>
      </c>
      <c r="K95" s="20">
        <f>SUM('Test 1'!J96,'Test 2'!J96,'Project Work'!J96,'Group Work'!J96)</f>
        <v>0</v>
      </c>
      <c r="L95" s="20">
        <f>SUM('Test 1'!K96,'Test 2'!K96,'Project Work'!K96,'Group Work'!K96)</f>
        <v>0</v>
      </c>
      <c r="M95">
        <f t="shared" si="11"/>
        <v>0</v>
      </c>
      <c r="N95">
        <f t="shared" si="12"/>
        <v>0</v>
      </c>
      <c r="O95">
        <f t="shared" si="13"/>
        <v>0</v>
      </c>
      <c r="P95">
        <f t="shared" si="14"/>
        <v>0</v>
      </c>
      <c r="Q95">
        <f t="shared" si="15"/>
        <v>0</v>
      </c>
      <c r="R95">
        <f t="shared" si="16"/>
        <v>0</v>
      </c>
      <c r="S95">
        <f t="shared" si="17"/>
        <v>0</v>
      </c>
      <c r="T95">
        <f t="shared" si="18"/>
        <v>0</v>
      </c>
      <c r="U95">
        <f t="shared" si="19"/>
        <v>0</v>
      </c>
      <c r="V95">
        <f t="shared" si="20"/>
        <v>0</v>
      </c>
    </row>
    <row r="96" spans="1:22" ht="15.75" x14ac:dyDescent="0.25">
      <c r="A96" s="5">
        <f>Student!A96</f>
        <v>0</v>
      </c>
      <c r="B96" s="21">
        <f>Student!B96</f>
        <v>0</v>
      </c>
      <c r="C96" s="20">
        <f>SUM('Test 1'!B97,'Test 2'!B97,'Project Work'!B97,'Group Work'!B97)</f>
        <v>0</v>
      </c>
      <c r="D96" s="20">
        <f>SUM('Test 1'!C97,'Test 2'!C97,'Project Work'!C97,'Group Work'!C97)</f>
        <v>0</v>
      </c>
      <c r="E96" s="20">
        <f>SUM('Test 1'!D97,'Test 2'!D97,'Project Work'!D97,'Group Work'!D97)</f>
        <v>0</v>
      </c>
      <c r="F96" s="20">
        <f>SUM('Test 1'!E97,'Test 2'!E97,'Project Work'!E97,'Group Work'!E97)</f>
        <v>0</v>
      </c>
      <c r="G96" s="20">
        <f>SUM('Test 1'!F97,'Test 2'!F97,'Project Work'!F97,'Group Work'!F97)</f>
        <v>0</v>
      </c>
      <c r="H96" s="20">
        <f>SUM('Test 1'!G97,'Test 2'!G97,'Project Work'!G97,'Group Work'!G97)</f>
        <v>0</v>
      </c>
      <c r="I96" s="20">
        <f>SUM('Test 1'!H97,'Test 2'!H97,'Project Work'!H97,'Group Work'!H97)</f>
        <v>0</v>
      </c>
      <c r="J96" s="20">
        <f>SUM('Test 1'!I97,'Test 2'!I97,'Project Work'!I97,'Group Work'!I97)</f>
        <v>0</v>
      </c>
      <c r="K96" s="20">
        <f>SUM('Test 1'!J97,'Test 2'!J97,'Project Work'!J97,'Group Work'!J97)</f>
        <v>0</v>
      </c>
      <c r="L96" s="20">
        <f>SUM('Test 1'!K97,'Test 2'!K97,'Project Work'!K97,'Group Work'!K97)</f>
        <v>0</v>
      </c>
      <c r="M96">
        <f t="shared" si="11"/>
        <v>0</v>
      </c>
      <c r="N96">
        <f t="shared" si="12"/>
        <v>0</v>
      </c>
      <c r="O96">
        <f t="shared" si="13"/>
        <v>0</v>
      </c>
      <c r="P96">
        <f t="shared" si="14"/>
        <v>0</v>
      </c>
      <c r="Q96">
        <f t="shared" si="15"/>
        <v>0</v>
      </c>
      <c r="R96">
        <f t="shared" si="16"/>
        <v>0</v>
      </c>
      <c r="S96">
        <f t="shared" si="17"/>
        <v>0</v>
      </c>
      <c r="T96">
        <f t="shared" si="18"/>
        <v>0</v>
      </c>
      <c r="U96">
        <f t="shared" si="19"/>
        <v>0</v>
      </c>
      <c r="V96">
        <f t="shared" si="20"/>
        <v>0</v>
      </c>
    </row>
    <row r="97" spans="1:22" ht="15.75" x14ac:dyDescent="0.25">
      <c r="A97" s="5">
        <f>Student!A97</f>
        <v>0</v>
      </c>
      <c r="B97" s="21">
        <f>Student!B97</f>
        <v>0</v>
      </c>
      <c r="C97" s="20">
        <f>SUM('Test 1'!B98,'Test 2'!B98,'Project Work'!B98,'Group Work'!B98)</f>
        <v>0</v>
      </c>
      <c r="D97" s="20">
        <f>SUM('Test 1'!C98,'Test 2'!C98,'Project Work'!C98,'Group Work'!C98)</f>
        <v>0</v>
      </c>
      <c r="E97" s="20">
        <f>SUM('Test 1'!D98,'Test 2'!D98,'Project Work'!D98,'Group Work'!D98)</f>
        <v>0</v>
      </c>
      <c r="F97" s="20">
        <f>SUM('Test 1'!E98,'Test 2'!E98,'Project Work'!E98,'Group Work'!E98)</f>
        <v>0</v>
      </c>
      <c r="G97" s="20">
        <f>SUM('Test 1'!F98,'Test 2'!F98,'Project Work'!F98,'Group Work'!F98)</f>
        <v>0</v>
      </c>
      <c r="H97" s="20">
        <f>SUM('Test 1'!G98,'Test 2'!G98,'Project Work'!G98,'Group Work'!G98)</f>
        <v>0</v>
      </c>
      <c r="I97" s="20">
        <f>SUM('Test 1'!H98,'Test 2'!H98,'Project Work'!H98,'Group Work'!H98)</f>
        <v>0</v>
      </c>
      <c r="J97" s="20">
        <f>SUM('Test 1'!I98,'Test 2'!I98,'Project Work'!I98,'Group Work'!I98)</f>
        <v>0</v>
      </c>
      <c r="K97" s="20">
        <f>SUM('Test 1'!J98,'Test 2'!J98,'Project Work'!J98,'Group Work'!J98)</f>
        <v>0</v>
      </c>
      <c r="L97" s="20">
        <f>SUM('Test 1'!K98,'Test 2'!K98,'Project Work'!K98,'Group Work'!K98)</f>
        <v>0</v>
      </c>
      <c r="M97">
        <f t="shared" si="11"/>
        <v>0</v>
      </c>
      <c r="N97">
        <f t="shared" si="12"/>
        <v>0</v>
      </c>
      <c r="O97">
        <f t="shared" si="13"/>
        <v>0</v>
      </c>
      <c r="P97">
        <f t="shared" si="14"/>
        <v>0</v>
      </c>
      <c r="Q97">
        <f t="shared" si="15"/>
        <v>0</v>
      </c>
      <c r="R97">
        <f t="shared" si="16"/>
        <v>0</v>
      </c>
      <c r="S97">
        <f t="shared" si="17"/>
        <v>0</v>
      </c>
      <c r="T97">
        <f t="shared" si="18"/>
        <v>0</v>
      </c>
      <c r="U97">
        <f t="shared" si="19"/>
        <v>0</v>
      </c>
      <c r="V97">
        <f t="shared" si="20"/>
        <v>0</v>
      </c>
    </row>
    <row r="98" spans="1:22" ht="15.75" x14ac:dyDescent="0.25">
      <c r="A98" s="5">
        <f>Student!A98</f>
        <v>0</v>
      </c>
      <c r="B98" s="21">
        <f>Student!B98</f>
        <v>0</v>
      </c>
      <c r="C98" s="20">
        <f>SUM('Test 1'!B99,'Test 2'!B99,'Project Work'!B99,'Group Work'!B99)</f>
        <v>0</v>
      </c>
      <c r="D98" s="20">
        <f>SUM('Test 1'!C99,'Test 2'!C99,'Project Work'!C99,'Group Work'!C99)</f>
        <v>0</v>
      </c>
      <c r="E98" s="20">
        <f>SUM('Test 1'!D99,'Test 2'!D99,'Project Work'!D99,'Group Work'!D99)</f>
        <v>0</v>
      </c>
      <c r="F98" s="20">
        <f>SUM('Test 1'!E99,'Test 2'!E99,'Project Work'!E99,'Group Work'!E99)</f>
        <v>0</v>
      </c>
      <c r="G98" s="20">
        <f>SUM('Test 1'!F99,'Test 2'!F99,'Project Work'!F99,'Group Work'!F99)</f>
        <v>0</v>
      </c>
      <c r="H98" s="20">
        <f>SUM('Test 1'!G99,'Test 2'!G99,'Project Work'!G99,'Group Work'!G99)</f>
        <v>0</v>
      </c>
      <c r="I98" s="20">
        <f>SUM('Test 1'!H99,'Test 2'!H99,'Project Work'!H99,'Group Work'!H99)</f>
        <v>0</v>
      </c>
      <c r="J98" s="20">
        <f>SUM('Test 1'!I99,'Test 2'!I99,'Project Work'!I99,'Group Work'!I99)</f>
        <v>0</v>
      </c>
      <c r="K98" s="20">
        <f>SUM('Test 1'!J99,'Test 2'!J99,'Project Work'!J99,'Group Work'!J99)</f>
        <v>0</v>
      </c>
      <c r="L98" s="20">
        <f>SUM('Test 1'!K99,'Test 2'!K99,'Project Work'!K99,'Group Work'!K99)</f>
        <v>0</v>
      </c>
      <c r="M98">
        <f t="shared" si="11"/>
        <v>0</v>
      </c>
      <c r="N98">
        <f t="shared" si="12"/>
        <v>0</v>
      </c>
      <c r="O98">
        <f t="shared" si="13"/>
        <v>0</v>
      </c>
      <c r="P98">
        <f t="shared" si="14"/>
        <v>0</v>
      </c>
      <c r="Q98">
        <f t="shared" si="15"/>
        <v>0</v>
      </c>
      <c r="R98">
        <f t="shared" si="16"/>
        <v>0</v>
      </c>
      <c r="S98">
        <f t="shared" si="17"/>
        <v>0</v>
      </c>
      <c r="T98">
        <f t="shared" si="18"/>
        <v>0</v>
      </c>
      <c r="U98">
        <f t="shared" si="19"/>
        <v>0</v>
      </c>
      <c r="V98">
        <f t="shared" si="20"/>
        <v>0</v>
      </c>
    </row>
    <row r="99" spans="1:22" ht="15.75" x14ac:dyDescent="0.25">
      <c r="L99" s="20"/>
    </row>
    <row r="100" spans="1:22" ht="15.75" x14ac:dyDescent="0.25">
      <c r="L100" s="20"/>
    </row>
    <row r="101" spans="1:22" ht="15.75" x14ac:dyDescent="0.25">
      <c r="L101" s="20"/>
    </row>
    <row r="102" spans="1:22" ht="15.75" x14ac:dyDescent="0.25">
      <c r="L102" s="20"/>
    </row>
    <row r="103" spans="1:22" ht="15.75" x14ac:dyDescent="0.25">
      <c r="L103" s="20"/>
    </row>
    <row r="104" spans="1:22" ht="15.75" x14ac:dyDescent="0.25">
      <c r="L104" s="20"/>
    </row>
    <row r="105" spans="1:22" ht="15.75" x14ac:dyDescent="0.25">
      <c r="L105" s="20"/>
    </row>
    <row r="106" spans="1:22" ht="15.75" x14ac:dyDescent="0.25">
      <c r="L106" s="20"/>
    </row>
    <row r="107" spans="1:22" ht="15.75" x14ac:dyDescent="0.25">
      <c r="L107" s="20"/>
    </row>
    <row r="108" spans="1:22" ht="15.75" x14ac:dyDescent="0.25">
      <c r="L108" s="20"/>
    </row>
    <row r="109" spans="1:22" ht="15.75" x14ac:dyDescent="0.25">
      <c r="L109" s="20"/>
    </row>
    <row r="110" spans="1:22" ht="15.75" x14ac:dyDescent="0.25">
      <c r="L110" s="20"/>
    </row>
    <row r="111" spans="1:22" ht="15.75" x14ac:dyDescent="0.25">
      <c r="L111" s="20"/>
    </row>
    <row r="112" spans="1:22" ht="15.75" x14ac:dyDescent="0.25">
      <c r="L112" s="20"/>
    </row>
    <row r="113" spans="12:12" ht="15.75" x14ac:dyDescent="0.25">
      <c r="L113" s="20"/>
    </row>
    <row r="114" spans="12:12" ht="15.75" x14ac:dyDescent="0.25">
      <c r="L114" s="20"/>
    </row>
    <row r="115" spans="12:12" ht="15.75" x14ac:dyDescent="0.25">
      <c r="L115" s="20"/>
    </row>
    <row r="116" spans="12:12" ht="15.75" x14ac:dyDescent="0.25">
      <c r="L116" s="20"/>
    </row>
    <row r="117" spans="12:12" ht="15.75" x14ac:dyDescent="0.25">
      <c r="L117" s="20"/>
    </row>
    <row r="121" spans="12:12" ht="15.75" x14ac:dyDescent="0.25">
      <c r="L121" s="24"/>
    </row>
    <row r="122" spans="12:12" ht="15.75" x14ac:dyDescent="0.25">
      <c r="L122" s="20">
        <v>80</v>
      </c>
    </row>
    <row r="123" spans="12:12" ht="15.75" x14ac:dyDescent="0.25">
      <c r="L123" s="20">
        <v>87.5</v>
      </c>
    </row>
    <row r="124" spans="12:12" ht="15.75" x14ac:dyDescent="0.25">
      <c r="L124" s="20">
        <v>84</v>
      </c>
    </row>
    <row r="125" spans="12:12" ht="15.75" x14ac:dyDescent="0.25">
      <c r="L125" s="20">
        <v>83</v>
      </c>
    </row>
    <row r="126" spans="12:12" ht="15.75" x14ac:dyDescent="0.25">
      <c r="L126" s="20">
        <v>75</v>
      </c>
    </row>
    <row r="127" spans="12:12" ht="15.75" x14ac:dyDescent="0.25">
      <c r="L127" s="20">
        <v>64</v>
      </c>
    </row>
    <row r="128" spans="12:12" ht="15.75" x14ac:dyDescent="0.25">
      <c r="L128" s="20">
        <v>69</v>
      </c>
    </row>
    <row r="129" spans="12:12" ht="15.75" x14ac:dyDescent="0.25">
      <c r="L129" s="20">
        <v>76</v>
      </c>
    </row>
    <row r="130" spans="12:12" ht="15.75" x14ac:dyDescent="0.25">
      <c r="L130" s="20">
        <v>73</v>
      </c>
    </row>
    <row r="131" spans="12:12" ht="15.75" x14ac:dyDescent="0.25">
      <c r="L131" s="20">
        <v>71</v>
      </c>
    </row>
    <row r="132" spans="12:12" ht="15.75" x14ac:dyDescent="0.25">
      <c r="L132" s="20">
        <v>67</v>
      </c>
    </row>
    <row r="133" spans="12:12" ht="15.75" x14ac:dyDescent="0.25">
      <c r="L133" s="20">
        <v>74</v>
      </c>
    </row>
    <row r="134" spans="12:12" ht="15.75" x14ac:dyDescent="0.25">
      <c r="L134" s="20">
        <v>68</v>
      </c>
    </row>
    <row r="135" spans="12:12" ht="15.75" x14ac:dyDescent="0.25">
      <c r="L135" s="20">
        <v>75</v>
      </c>
    </row>
    <row r="136" spans="12:12" ht="15.75" x14ac:dyDescent="0.25">
      <c r="L136" s="20">
        <v>76</v>
      </c>
    </row>
    <row r="137" spans="12:12" ht="15.75" x14ac:dyDescent="0.25">
      <c r="L137" s="20">
        <v>78</v>
      </c>
    </row>
    <row r="138" spans="12:12" ht="15.75" x14ac:dyDescent="0.25">
      <c r="L138" s="20">
        <v>77</v>
      </c>
    </row>
    <row r="139" spans="12:12" ht="15.75" x14ac:dyDescent="0.25">
      <c r="L139" s="20">
        <v>82</v>
      </c>
    </row>
    <row r="140" spans="12:12" ht="15.75" x14ac:dyDescent="0.25">
      <c r="L140" s="20">
        <v>74</v>
      </c>
    </row>
    <row r="141" spans="12:12" ht="15.75" x14ac:dyDescent="0.25">
      <c r="L141" s="20">
        <v>75</v>
      </c>
    </row>
    <row r="142" spans="12:12" ht="15.75" x14ac:dyDescent="0.25">
      <c r="L142" s="20">
        <v>77</v>
      </c>
    </row>
    <row r="143" spans="12:12" ht="15.75" x14ac:dyDescent="0.25">
      <c r="L143" s="20">
        <v>73</v>
      </c>
    </row>
    <row r="144" spans="12:12" ht="15.75" x14ac:dyDescent="0.25">
      <c r="L144" s="20">
        <v>67</v>
      </c>
    </row>
    <row r="145" spans="12:12" ht="15.75" x14ac:dyDescent="0.25">
      <c r="L145" s="20">
        <v>81</v>
      </c>
    </row>
    <row r="146" spans="12:12" ht="15.75" x14ac:dyDescent="0.25">
      <c r="L146" s="20">
        <v>74</v>
      </c>
    </row>
    <row r="147" spans="12:12" ht="15.75" x14ac:dyDescent="0.25">
      <c r="L147" s="20">
        <v>59</v>
      </c>
    </row>
    <row r="148" spans="12:12" ht="15.75" x14ac:dyDescent="0.25">
      <c r="L148" s="20">
        <v>60</v>
      </c>
    </row>
    <row r="149" spans="12:12" ht="15.75" x14ac:dyDescent="0.25">
      <c r="L149" s="20">
        <v>60</v>
      </c>
    </row>
    <row r="150" spans="12:12" ht="15.75" x14ac:dyDescent="0.25">
      <c r="L150" s="20">
        <v>62</v>
      </c>
    </row>
    <row r="151" spans="12:12" ht="15.75" x14ac:dyDescent="0.25">
      <c r="L151" s="20">
        <v>63</v>
      </c>
    </row>
    <row r="152" spans="12:12" ht="15.75" x14ac:dyDescent="0.25">
      <c r="L152" s="20">
        <v>61</v>
      </c>
    </row>
    <row r="153" spans="12:12" ht="15.75" x14ac:dyDescent="0.25">
      <c r="L153" s="20">
        <v>73</v>
      </c>
    </row>
    <row r="154" spans="12:12" ht="15.75" x14ac:dyDescent="0.25">
      <c r="L154" s="20">
        <v>75</v>
      </c>
    </row>
    <row r="155" spans="12:12" ht="15.75" x14ac:dyDescent="0.25">
      <c r="L155" s="20">
        <v>66</v>
      </c>
    </row>
    <row r="156" spans="12:12" ht="15.75" x14ac:dyDescent="0.25">
      <c r="L156" s="20">
        <v>65</v>
      </c>
    </row>
    <row r="157" spans="12:12" ht="15.75" x14ac:dyDescent="0.25">
      <c r="L157" s="20">
        <v>61</v>
      </c>
    </row>
    <row r="158" spans="12:12" ht="15.75" x14ac:dyDescent="0.25">
      <c r="L158" s="20">
        <v>56</v>
      </c>
    </row>
    <row r="159" spans="12:12" ht="15.75" x14ac:dyDescent="0.25">
      <c r="L159" s="20">
        <v>63</v>
      </c>
    </row>
    <row r="160" spans="12:12" ht="15.75" x14ac:dyDescent="0.25">
      <c r="L160" s="20">
        <v>71</v>
      </c>
    </row>
    <row r="161" spans="12:12" ht="15.75" x14ac:dyDescent="0.25">
      <c r="L161" s="20">
        <v>64</v>
      </c>
    </row>
    <row r="162" spans="12:12" ht="15.75" x14ac:dyDescent="0.25">
      <c r="L162" s="20">
        <v>75</v>
      </c>
    </row>
    <row r="163" spans="12:12" ht="15.75" x14ac:dyDescent="0.25">
      <c r="L163" s="20">
        <v>63</v>
      </c>
    </row>
    <row r="164" spans="12:12" ht="15.75" x14ac:dyDescent="0.25">
      <c r="L164" s="20">
        <v>65</v>
      </c>
    </row>
    <row r="165" spans="12:12" ht="15.75" x14ac:dyDescent="0.25">
      <c r="L165" s="20">
        <v>69</v>
      </c>
    </row>
    <row r="166" spans="12:12" ht="15.75" x14ac:dyDescent="0.25">
      <c r="L166" s="20">
        <v>69</v>
      </c>
    </row>
    <row r="167" spans="12:12" ht="15.75" x14ac:dyDescent="0.25">
      <c r="L167" s="20">
        <v>60</v>
      </c>
    </row>
    <row r="168" spans="12:12" ht="15.75" x14ac:dyDescent="0.25">
      <c r="L168" s="20">
        <v>50</v>
      </c>
    </row>
    <row r="169" spans="12:12" ht="15.75" x14ac:dyDescent="0.25">
      <c r="L169" s="20">
        <v>49</v>
      </c>
    </row>
    <row r="170" spans="12:12" ht="15.75" x14ac:dyDescent="0.25">
      <c r="L170" s="20">
        <v>58</v>
      </c>
    </row>
    <row r="171" spans="12:12" ht="15.75" x14ac:dyDescent="0.25">
      <c r="L171" s="20">
        <v>60</v>
      </c>
    </row>
    <row r="172" spans="12:12" ht="15.75" x14ac:dyDescent="0.25">
      <c r="L172" s="20">
        <v>64</v>
      </c>
    </row>
    <row r="173" spans="12:12" ht="15.75" x14ac:dyDescent="0.25">
      <c r="L173" s="20">
        <v>57</v>
      </c>
    </row>
    <row r="174" spans="12:12" ht="15.75" x14ac:dyDescent="0.25">
      <c r="L174" s="20">
        <v>55</v>
      </c>
    </row>
    <row r="175" spans="12:12" ht="15.75" x14ac:dyDescent="0.25">
      <c r="L175" s="20">
        <v>53</v>
      </c>
    </row>
    <row r="176" spans="12:12" ht="15.75" x14ac:dyDescent="0.25">
      <c r="L176" s="20">
        <v>50</v>
      </c>
    </row>
    <row r="177" spans="12:12" ht="15.75" x14ac:dyDescent="0.25">
      <c r="L177" s="20">
        <v>51</v>
      </c>
    </row>
    <row r="178" spans="12:12" ht="15.75" x14ac:dyDescent="0.25">
      <c r="L178" s="20">
        <v>53</v>
      </c>
    </row>
    <row r="179" spans="12:12" ht="15.75" x14ac:dyDescent="0.25">
      <c r="L179" s="20">
        <v>51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85"/>
  <sheetViews>
    <sheetView workbookViewId="0"/>
  </sheetViews>
  <sheetFormatPr defaultRowHeight="15" x14ac:dyDescent="0.25"/>
  <cols>
    <col min="1" max="1" width="18.28515625" customWidth="1"/>
    <col min="2" max="2" width="55.28515625" customWidth="1"/>
  </cols>
  <sheetData>
    <row r="1" spans="1:2" ht="15.75" x14ac:dyDescent="0.25">
      <c r="A1" s="19" t="s">
        <v>43</v>
      </c>
      <c r="B1" s="19" t="s">
        <v>5</v>
      </c>
    </row>
    <row r="2" spans="1:2" ht="15.75" x14ac:dyDescent="0.25">
      <c r="A2" s="18">
        <v>4056</v>
      </c>
      <c r="B2" s="39" t="s">
        <v>165</v>
      </c>
    </row>
    <row r="3" spans="1:2" ht="15.75" x14ac:dyDescent="0.25">
      <c r="A3" s="18">
        <v>567</v>
      </c>
      <c r="B3" s="39" t="s">
        <v>107</v>
      </c>
    </row>
    <row r="4" spans="1:2" ht="15.75" x14ac:dyDescent="0.25">
      <c r="A4" s="18">
        <v>749</v>
      </c>
      <c r="B4" s="39" t="s">
        <v>108</v>
      </c>
    </row>
    <row r="5" spans="1:2" ht="15.75" x14ac:dyDescent="0.25">
      <c r="A5" s="18">
        <v>2050</v>
      </c>
      <c r="B5" s="39" t="s">
        <v>166</v>
      </c>
    </row>
    <row r="6" spans="1:2" ht="15.75" x14ac:dyDescent="0.25">
      <c r="A6" s="18">
        <v>696</v>
      </c>
      <c r="B6" s="39" t="s">
        <v>109</v>
      </c>
    </row>
    <row r="7" spans="1:2" ht="15.75" x14ac:dyDescent="0.25">
      <c r="A7" s="18">
        <v>435</v>
      </c>
      <c r="B7" s="39" t="s">
        <v>110</v>
      </c>
    </row>
    <row r="8" spans="1:2" ht="15.75" x14ac:dyDescent="0.25">
      <c r="A8" s="18">
        <v>4240</v>
      </c>
      <c r="B8" s="39" t="s">
        <v>111</v>
      </c>
    </row>
    <row r="9" spans="1:2" ht="15.75" x14ac:dyDescent="0.25">
      <c r="A9" s="18">
        <v>727</v>
      </c>
      <c r="B9" s="39" t="s">
        <v>206</v>
      </c>
    </row>
    <row r="10" spans="1:2" ht="15.75" x14ac:dyDescent="0.25">
      <c r="A10" s="18">
        <v>385</v>
      </c>
      <c r="B10" s="39" t="s">
        <v>112</v>
      </c>
    </row>
    <row r="11" spans="1:2" ht="15.75" x14ac:dyDescent="0.25">
      <c r="A11" s="18" t="s">
        <v>203</v>
      </c>
      <c r="B11" s="39" t="s">
        <v>113</v>
      </c>
    </row>
    <row r="12" spans="1:2" ht="15.75" x14ac:dyDescent="0.25">
      <c r="A12" s="18">
        <v>714</v>
      </c>
      <c r="B12" s="39" t="s">
        <v>114</v>
      </c>
    </row>
    <row r="13" spans="1:2" ht="15.75" x14ac:dyDescent="0.25">
      <c r="A13" s="18">
        <v>7334</v>
      </c>
      <c r="B13" s="39" t="s">
        <v>115</v>
      </c>
    </row>
    <row r="14" spans="1:2" ht="15.75" x14ac:dyDescent="0.25">
      <c r="A14" s="18">
        <v>437</v>
      </c>
      <c r="B14" s="39" t="s">
        <v>116</v>
      </c>
    </row>
    <row r="15" spans="1:2" ht="15.75" x14ac:dyDescent="0.25">
      <c r="A15" s="18">
        <v>271</v>
      </c>
      <c r="B15" s="39" t="s">
        <v>117</v>
      </c>
    </row>
    <row r="16" spans="1:2" ht="15.75" x14ac:dyDescent="0.25">
      <c r="A16" s="18">
        <v>300</v>
      </c>
      <c r="B16" s="39" t="s">
        <v>118</v>
      </c>
    </row>
    <row r="17" spans="1:2" ht="15.75" x14ac:dyDescent="0.25">
      <c r="A17" s="18" t="s">
        <v>200</v>
      </c>
      <c r="B17" s="39" t="s">
        <v>119</v>
      </c>
    </row>
    <row r="18" spans="1:2" ht="15.75" x14ac:dyDescent="0.25">
      <c r="A18" s="18">
        <v>267</v>
      </c>
      <c r="B18" s="39" t="s">
        <v>120</v>
      </c>
    </row>
    <row r="19" spans="1:2" ht="15.75" x14ac:dyDescent="0.25">
      <c r="A19" s="18">
        <v>503</v>
      </c>
      <c r="B19" s="39" t="s">
        <v>121</v>
      </c>
    </row>
    <row r="20" spans="1:2" ht="15.75" x14ac:dyDescent="0.25">
      <c r="A20" s="18">
        <v>459</v>
      </c>
      <c r="B20" s="39" t="s">
        <v>122</v>
      </c>
    </row>
    <row r="21" spans="1:2" ht="15.75" x14ac:dyDescent="0.25">
      <c r="A21" s="18">
        <v>436</v>
      </c>
      <c r="B21" s="39" t="s">
        <v>123</v>
      </c>
    </row>
    <row r="22" spans="1:2" ht="15.75" x14ac:dyDescent="0.25">
      <c r="A22" s="18">
        <v>309</v>
      </c>
      <c r="B22" s="39" t="s">
        <v>124</v>
      </c>
    </row>
    <row r="23" spans="1:2" ht="15.75" x14ac:dyDescent="0.25">
      <c r="A23" s="18">
        <v>645</v>
      </c>
      <c r="B23" s="39" t="s">
        <v>125</v>
      </c>
    </row>
    <row r="24" spans="1:2" ht="15.75" x14ac:dyDescent="0.25">
      <c r="A24" s="18">
        <v>4070</v>
      </c>
      <c r="B24" s="39" t="s">
        <v>126</v>
      </c>
    </row>
    <row r="25" spans="1:2" ht="15.75" x14ac:dyDescent="0.25">
      <c r="A25" s="18">
        <v>624</v>
      </c>
      <c r="B25" s="39" t="s">
        <v>127</v>
      </c>
    </row>
    <row r="26" spans="1:2" ht="15.75" x14ac:dyDescent="0.25">
      <c r="A26" s="18">
        <v>387</v>
      </c>
      <c r="B26" s="39" t="s">
        <v>128</v>
      </c>
    </row>
    <row r="27" spans="1:2" ht="15.75" x14ac:dyDescent="0.25">
      <c r="A27" s="18">
        <v>554</v>
      </c>
      <c r="B27" s="39" t="s">
        <v>129</v>
      </c>
    </row>
    <row r="28" spans="1:2" ht="15.75" x14ac:dyDescent="0.25">
      <c r="A28" s="18">
        <v>365</v>
      </c>
      <c r="B28" s="39" t="s">
        <v>130</v>
      </c>
    </row>
    <row r="29" spans="1:2" ht="15.75" x14ac:dyDescent="0.25">
      <c r="A29" s="18">
        <v>445</v>
      </c>
      <c r="B29" s="39" t="s">
        <v>131</v>
      </c>
    </row>
    <row r="30" spans="1:2" ht="15.75" x14ac:dyDescent="0.25">
      <c r="A30" s="18" t="s">
        <v>201</v>
      </c>
      <c r="B30" s="39" t="s">
        <v>132</v>
      </c>
    </row>
    <row r="31" spans="1:2" ht="15.75" x14ac:dyDescent="0.25">
      <c r="A31" s="18">
        <v>511</v>
      </c>
      <c r="B31" s="39" t="s">
        <v>133</v>
      </c>
    </row>
    <row r="32" spans="1:2" ht="15.75" x14ac:dyDescent="0.25">
      <c r="A32" s="18">
        <v>698</v>
      </c>
      <c r="B32" s="39" t="s">
        <v>134</v>
      </c>
    </row>
    <row r="33" spans="1:2" ht="15.75" x14ac:dyDescent="0.25">
      <c r="A33" s="18">
        <v>432</v>
      </c>
      <c r="B33" s="39" t="s">
        <v>135</v>
      </c>
    </row>
    <row r="34" spans="1:2" ht="15.75" x14ac:dyDescent="0.25">
      <c r="A34" s="18">
        <v>320</v>
      </c>
      <c r="B34" s="39" t="s">
        <v>136</v>
      </c>
    </row>
    <row r="35" spans="1:2" ht="15.75" x14ac:dyDescent="0.25">
      <c r="A35" s="18">
        <v>2325</v>
      </c>
      <c r="B35" s="39" t="s">
        <v>137</v>
      </c>
    </row>
    <row r="36" spans="1:2" ht="15.75" x14ac:dyDescent="0.25">
      <c r="A36" s="18">
        <v>272</v>
      </c>
      <c r="B36" s="39" t="s">
        <v>138</v>
      </c>
    </row>
    <row r="37" spans="1:2" ht="15.75" x14ac:dyDescent="0.25">
      <c r="A37" s="18">
        <v>643</v>
      </c>
      <c r="B37" s="39" t="s">
        <v>139</v>
      </c>
    </row>
    <row r="38" spans="1:2" ht="15.75" x14ac:dyDescent="0.25">
      <c r="A38" s="18">
        <v>4062</v>
      </c>
      <c r="B38" s="39" t="s">
        <v>140</v>
      </c>
    </row>
    <row r="39" spans="1:2" ht="15.75" x14ac:dyDescent="0.25">
      <c r="A39" s="18">
        <v>670</v>
      </c>
      <c r="B39" s="39" t="s">
        <v>141</v>
      </c>
    </row>
    <row r="40" spans="1:2" ht="15.75" x14ac:dyDescent="0.25">
      <c r="A40" s="18">
        <v>269</v>
      </c>
      <c r="B40" s="39" t="s">
        <v>142</v>
      </c>
    </row>
    <row r="41" spans="1:2" ht="15.75" x14ac:dyDescent="0.25">
      <c r="A41" s="18">
        <v>514</v>
      </c>
      <c r="B41" s="39" t="s">
        <v>143</v>
      </c>
    </row>
    <row r="42" spans="1:2" ht="15.75" x14ac:dyDescent="0.25">
      <c r="A42" s="18">
        <v>270</v>
      </c>
      <c r="B42" s="39" t="s">
        <v>144</v>
      </c>
    </row>
    <row r="43" spans="1:2" ht="15.75" x14ac:dyDescent="0.25">
      <c r="A43" s="18">
        <v>318</v>
      </c>
      <c r="B43" s="40" t="s">
        <v>145</v>
      </c>
    </row>
    <row r="44" spans="1:2" ht="15.75" x14ac:dyDescent="0.25">
      <c r="A44" s="18">
        <v>4063</v>
      </c>
      <c r="B44" s="39" t="s">
        <v>146</v>
      </c>
    </row>
    <row r="45" spans="1:2" ht="15.75" x14ac:dyDescent="0.25">
      <c r="A45" s="18">
        <v>160</v>
      </c>
      <c r="B45" s="39" t="s">
        <v>147</v>
      </c>
    </row>
    <row r="46" spans="1:2" ht="15.75" x14ac:dyDescent="0.25">
      <c r="A46" s="18">
        <v>7315</v>
      </c>
      <c r="B46" s="39" t="s">
        <v>148</v>
      </c>
    </row>
    <row r="47" spans="1:2" ht="15.75" x14ac:dyDescent="0.25">
      <c r="A47" s="18">
        <v>385</v>
      </c>
      <c r="B47" s="39" t="s">
        <v>149</v>
      </c>
    </row>
    <row r="48" spans="1:2" ht="15.75" x14ac:dyDescent="0.25">
      <c r="A48" s="18" t="s">
        <v>202</v>
      </c>
      <c r="B48" s="39" t="s">
        <v>150</v>
      </c>
    </row>
    <row r="49" spans="1:2" ht="15.75" x14ac:dyDescent="0.25">
      <c r="A49" s="18">
        <v>508</v>
      </c>
      <c r="B49" s="39" t="s">
        <v>151</v>
      </c>
    </row>
    <row r="50" spans="1:2" ht="15.75" x14ac:dyDescent="0.25">
      <c r="A50" s="18">
        <v>433</v>
      </c>
      <c r="B50" s="39" t="s">
        <v>152</v>
      </c>
    </row>
    <row r="51" spans="1:2" ht="15.75" x14ac:dyDescent="0.25">
      <c r="A51" s="18">
        <v>593</v>
      </c>
      <c r="B51" s="39" t="s">
        <v>153</v>
      </c>
    </row>
    <row r="52" spans="1:2" ht="15.75" x14ac:dyDescent="0.25">
      <c r="A52" s="18">
        <v>388</v>
      </c>
      <c r="B52" s="39" t="s">
        <v>154</v>
      </c>
    </row>
    <row r="53" spans="1:2" ht="15.75" x14ac:dyDescent="0.25">
      <c r="A53" s="18">
        <v>437</v>
      </c>
      <c r="B53" s="39" t="s">
        <v>155</v>
      </c>
    </row>
    <row r="54" spans="1:2" ht="15.75" x14ac:dyDescent="0.25">
      <c r="A54" s="18">
        <v>709</v>
      </c>
      <c r="B54" s="39" t="s">
        <v>156</v>
      </c>
    </row>
    <row r="55" spans="1:2" ht="15.75" x14ac:dyDescent="0.25">
      <c r="A55" s="18">
        <v>140</v>
      </c>
      <c r="B55" s="39" t="s">
        <v>157</v>
      </c>
    </row>
    <row r="56" spans="1:2" ht="15.75" x14ac:dyDescent="0.25">
      <c r="A56" s="18">
        <v>4065</v>
      </c>
      <c r="B56" s="39" t="s">
        <v>158</v>
      </c>
    </row>
    <row r="57" spans="1:2" ht="15.75" x14ac:dyDescent="0.25">
      <c r="A57" s="18">
        <v>616</v>
      </c>
      <c r="B57" s="39" t="s">
        <v>159</v>
      </c>
    </row>
    <row r="58" spans="1:2" ht="15.75" x14ac:dyDescent="0.25">
      <c r="A58" s="18">
        <v>339</v>
      </c>
      <c r="B58" s="39" t="s">
        <v>160</v>
      </c>
    </row>
    <row r="59" spans="1:2" ht="15.75" x14ac:dyDescent="0.25">
      <c r="A59" s="18">
        <v>768</v>
      </c>
      <c r="B59" s="33" t="s">
        <v>167</v>
      </c>
    </row>
    <row r="60" spans="1:2" ht="15.75" x14ac:dyDescent="0.25">
      <c r="A60" s="18"/>
      <c r="B60" s="33"/>
    </row>
    <row r="61" spans="1:2" ht="15.75" x14ac:dyDescent="0.25">
      <c r="A61" s="18"/>
      <c r="B61" s="33"/>
    </row>
    <row r="62" spans="1:2" ht="15.75" x14ac:dyDescent="0.25">
      <c r="A62" s="18"/>
      <c r="B62" s="33"/>
    </row>
    <row r="63" spans="1:2" ht="15.75" x14ac:dyDescent="0.25">
      <c r="A63" s="18"/>
      <c r="B63" s="33"/>
    </row>
    <row r="64" spans="1:2" ht="15.75" x14ac:dyDescent="0.25">
      <c r="A64" s="18"/>
      <c r="B64" s="33"/>
    </row>
    <row r="65" spans="1:2" ht="15.75" x14ac:dyDescent="0.25">
      <c r="A65" s="18"/>
      <c r="B65" s="33"/>
    </row>
    <row r="66" spans="1:2" ht="15.75" x14ac:dyDescent="0.25">
      <c r="A66" s="18"/>
      <c r="B66" s="33"/>
    </row>
    <row r="67" spans="1:2" ht="15.75" x14ac:dyDescent="0.25">
      <c r="A67" s="18"/>
      <c r="B67" s="33"/>
    </row>
    <row r="68" spans="1:2" ht="15.75" x14ac:dyDescent="0.25">
      <c r="A68" s="18"/>
      <c r="B68" s="1"/>
    </row>
    <row r="69" spans="1:2" ht="15.75" x14ac:dyDescent="0.25">
      <c r="A69" s="18"/>
      <c r="B69" s="1"/>
    </row>
    <row r="70" spans="1:2" ht="15.75" x14ac:dyDescent="0.25">
      <c r="A70" s="18"/>
      <c r="B70" s="1"/>
    </row>
    <row r="71" spans="1:2" ht="15.75" x14ac:dyDescent="0.25">
      <c r="A71" s="18"/>
      <c r="B71" s="1"/>
    </row>
    <row r="72" spans="1:2" ht="15.75" x14ac:dyDescent="0.25">
      <c r="A72" s="18"/>
      <c r="B72" s="1"/>
    </row>
    <row r="73" spans="1:2" ht="15.75" x14ac:dyDescent="0.25">
      <c r="A73" s="18"/>
      <c r="B73" s="1"/>
    </row>
    <row r="74" spans="1:2" ht="15.75" x14ac:dyDescent="0.25">
      <c r="A74" s="18"/>
      <c r="B74" s="1"/>
    </row>
    <row r="75" spans="1:2" ht="15.75" x14ac:dyDescent="0.25">
      <c r="A75" s="18"/>
      <c r="B75" s="1"/>
    </row>
    <row r="76" spans="1:2" x14ac:dyDescent="0.25">
      <c r="A76" s="12"/>
    </row>
    <row r="77" spans="1:2" x14ac:dyDescent="0.25">
      <c r="A77" s="12"/>
    </row>
    <row r="78" spans="1:2" x14ac:dyDescent="0.25">
      <c r="A78" s="12"/>
    </row>
    <row r="79" spans="1:2" x14ac:dyDescent="0.25">
      <c r="A79" s="12"/>
    </row>
    <row r="80" spans="1:2" x14ac:dyDescent="0.25">
      <c r="A80" s="12"/>
    </row>
    <row r="81" spans="1:1" x14ac:dyDescent="0.25">
      <c r="A81" s="12"/>
    </row>
    <row r="82" spans="1:1" x14ac:dyDescent="0.25">
      <c r="A82" s="12"/>
    </row>
    <row r="83" spans="1:1" x14ac:dyDescent="0.25">
      <c r="A83" s="12"/>
    </row>
    <row r="84" spans="1:1" x14ac:dyDescent="0.25">
      <c r="A84" s="12"/>
    </row>
    <row r="85" spans="1:1" x14ac:dyDescent="0.25">
      <c r="A85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Conduct</vt:lpstr>
      <vt:lpstr>Interest Attitude</vt:lpstr>
      <vt:lpstr>Report Card Template</vt:lpstr>
      <vt:lpstr>Class Teachers</vt:lpstr>
      <vt:lpstr>Grades Summary</vt:lpstr>
      <vt:lpstr>Subjects</vt:lpstr>
      <vt:lpstr>General Remarks</vt:lpstr>
      <vt:lpstr>Teacher's Remarks</vt:lpstr>
      <vt:lpstr>Attendance</vt:lpstr>
      <vt:lpstr>Test 1</vt:lpstr>
      <vt:lpstr>Examscore</vt:lpstr>
      <vt:lpstr>Test 2</vt:lpstr>
      <vt:lpstr>Project Work</vt:lpstr>
      <vt:lpstr>Group Work</vt:lpstr>
      <vt:lpstr>ClassScore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user</cp:lastModifiedBy>
  <cp:lastPrinted>2021-09-01T10:19:26Z</cp:lastPrinted>
  <dcterms:created xsi:type="dcterms:W3CDTF">2021-03-25T03:54:37Z</dcterms:created>
  <dcterms:modified xsi:type="dcterms:W3CDTF">2025-04-17T12:37:29Z</dcterms:modified>
</cp:coreProperties>
</file>